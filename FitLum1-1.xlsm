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17145" windowHeight="7560"/>
  </bookViews>
  <sheets>
    <sheet name="Data-Plot" sheetId="1" r:id="rId1"/>
    <sheet name="TempData" sheetId="2" state="hidden" r:id="rId2"/>
    <sheet name="Growth-Plot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C36" i="1" l="1"/>
  <c r="AD36" i="1"/>
  <c r="AE36" i="1"/>
  <c r="AF36" i="1"/>
  <c r="AC37" i="1"/>
  <c r="AD37" i="1"/>
  <c r="AE37" i="1"/>
  <c r="AF37" i="1"/>
  <c r="AC38" i="1"/>
  <c r="AD38" i="1"/>
  <c r="AE38" i="1"/>
  <c r="AF38" i="1"/>
  <c r="AC39" i="1"/>
  <c r="AD39" i="1"/>
  <c r="AE39" i="1"/>
  <c r="AF39" i="1"/>
  <c r="AC40" i="1"/>
  <c r="AD40" i="1"/>
  <c r="AE40" i="1"/>
  <c r="AF40" i="1"/>
  <c r="AC35" i="1"/>
  <c r="AD35" i="1"/>
  <c r="AE35" i="1"/>
  <c r="AF35" i="1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<sst xmlns="http://schemas.openxmlformats.org/spreadsheetml/2006/main" count="52" uniqueCount="47">
  <si>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</si>
  <si>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</si>
  <si>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</si>
  <si>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</si>
  <si>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</si>
  <si>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</si>
  <si>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</si>
  <si>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</si>
  <si>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</si>
  <si>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</si>
  <si>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</si>
  <si>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</si>
  <si>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</si>
  <si>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</si>
  <si>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</si>
  <si>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</si>
  <si>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</si>
  <si>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</si>
  <si>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</si>
  <si>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</si>
  <si>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</si>
  <si>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</si>
  <si>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</si>
  <si>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</si>
  <si>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</si>
  <si>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</si>
  <si>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</si>
  <si>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</si>
  <si>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</si>
  <si>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</si>
  <si>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</si>
  <si>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</si>
  <si>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</si>
  <si>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</si>
  <si>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</si>
  <si>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P1-160.5</t>
  </si>
  <si>
    <t>P2-217.1</t>
  </si>
  <si>
    <t>P4-327.9</t>
  </si>
  <si>
    <t>P5-399.3</t>
  </si>
  <si>
    <t>P3-273</t>
  </si>
  <si>
    <t>Fit1</t>
  </si>
  <si>
    <t>Peak1</t>
  </si>
  <si>
    <t>G 14/10/2024 16:15:47</t>
  </si>
  <si>
    <t>G 14/10/2024 16:15:51</t>
  </si>
  <si>
    <t>TL (K)</t>
  </si>
  <si>
    <t>Empty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</si>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</sst>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7616096"/>
        <c:axId val="-667615008"/>
      </c:scatterChart>
      <c:valAx>
        <c:axId val="-667616096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7615008"/>
        <c:crosses val="autoZero"/>
        <c:crossBetween val="midCat"/>
        <c:majorUnit val="100"/>
        <c:minorUnit val="50"/>
      </c:valAx>
      <c:valAx>
        <c:axId val="-667615008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7616096"/>
        <c:crosses val="autoZero"/>
        <c:crossBetween val="midCat"/>
        <c:majorUnit val="25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7622624"/>
        <c:axId val="-667620992"/>
      </c:scatterChart>
      <c:valAx>
        <c:axId val="-66762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67620992"/>
        <c:crosses val="autoZero"/>
        <c:crossBetween val="midCat"/>
      </c:valAx>
      <c:valAx>
        <c:axId val="-6676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6676226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Peak1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7619360"/>
        <c:axId val="-667617728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Fit1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7619360"/>
        <c:axId val="-667617728"/>
      </c:scatterChart>
      <c:valAx>
        <c:axId val="-667619360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layout/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7617728"/>
        <c:crosses val="autoZero"/>
        <c:crossBetween val="midCat"/>
        <c:majorUnit val="50"/>
      </c:valAx>
      <c:valAx>
        <c:axId val="-667617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667619360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/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5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F1010"/>
  <sheetViews>
    <sheetView tabSelected="1" zoomScaleNormal="100" workbookViewId="0">
      <selection activeCell="B5" sqref="B5:B8 B11:C11"/>
    </sheetView>
  </sheetViews>
  <sheetFormatPr defaultRowHeight="15" x14ac:dyDescent="0.25"/>
  <cols>
    <col min="1" max="1" width="10" style="1" bestFit="1" customWidth="1"/>
    <col min="2" max="2" width="9.140625" style="1"/>
    <col min="3" max="3" width="11.42578125" style="1" customWidth="1"/>
    <col min="4" max="4" width="17.140625" style="1" customWidth="1"/>
    <col min="5" max="14" width="10.28515625" style="1" customWidth="1"/>
    <col min="15" max="15" width="9.140625" style="1"/>
    <col min="17" max="17" width="12" bestFit="1" customWidth="1"/>
    <col min="20" max="20" width="12.140625" bestFit="1" customWidth="1"/>
    <col min="21" max="22" width="12" bestFit="1" customWidth="1"/>
  </cols>
  <sheetData>
    <row r="1" spans="1:15" x14ac:dyDescent="0.25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5" x14ac:dyDescent="0.25">
      <c r="A2" s="4" t="s">
        <v>9</v>
      </c>
      <c r="B2" s="2" t="s">
        <v>44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5" x14ac:dyDescent="0.25">
      <c r="A3" s="4" t="s">
        <v>10</v>
      </c>
      <c r="B3" s="2" t="s">
        <v>45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5" x14ac:dyDescent="0.25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3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3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AC35">
        <f t="shared" ref="AC35:AF35" si="0">Q3-Q35</f>
        <v>0</v>
      </c>
      <c r="AD35">
        <f t="shared" si="0"/>
        <v>0</v>
      </c>
      <c r="AE35">
        <f t="shared" si="0"/>
        <v>0</v>
      </c>
      <c r="AF35">
        <f t="shared" si="0"/>
        <v>0</v>
      </c>
    </row>
    <row r="36" spans="1:3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AC36">
        <f t="shared" ref="AC36:AC40" si="1">Q4-Q36</f>
        <v>0</v>
      </c>
      <c r="AD36">
        <f t="shared" ref="AD36:AD40" si="2">R4-R36</f>
        <v>0</v>
      </c>
      <c r="AE36">
        <f t="shared" ref="AE36:AE40" si="3">S4-S36</f>
        <v>0</v>
      </c>
      <c r="AF36">
        <f t="shared" ref="AF36:AF40" si="4">T4-T36</f>
        <v>0</v>
      </c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AC37">
        <f t="shared" si="1"/>
        <v>0</v>
      </c>
      <c r="AD37">
        <f t="shared" si="2"/>
        <v>0</v>
      </c>
      <c r="AE37">
        <f t="shared" si="3"/>
        <v>0</v>
      </c>
      <c r="AF37">
        <f t="shared" si="4"/>
        <v>0</v>
      </c>
    </row>
    <row r="38" spans="1:3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AC38">
        <f t="shared" si="1"/>
        <v>0</v>
      </c>
      <c r="AD38">
        <f t="shared" si="2"/>
        <v>0</v>
      </c>
      <c r="AE38">
        <f t="shared" si="3"/>
        <v>0</v>
      </c>
      <c r="AF38">
        <f t="shared" si="4"/>
        <v>0</v>
      </c>
    </row>
    <row r="39" spans="1:3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AC39">
        <f t="shared" si="1"/>
        <v>0</v>
      </c>
      <c r="AD39">
        <f t="shared" si="2"/>
        <v>0</v>
      </c>
      <c r="AE39">
        <f t="shared" si="3"/>
        <v>0</v>
      </c>
      <c r="AF39">
        <f t="shared" si="4"/>
        <v>0</v>
      </c>
    </row>
    <row r="40" spans="1:3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AC40">
        <f t="shared" si="1"/>
        <v>0</v>
      </c>
      <c r="AD40">
        <f t="shared" si="2"/>
        <v>0</v>
      </c>
      <c r="AE40">
        <f t="shared" si="3"/>
        <v>0</v>
      </c>
      <c r="AF40">
        <f t="shared" si="4"/>
        <v>0</v>
      </c>
    </row>
    <row r="41" spans="1:3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3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3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3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3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3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3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3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2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2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2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2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2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2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C1598"/>
  <sheetViews>
    <sheetView workbookViewId="0">
      <selection activeCell="P11" sqref="P11:R1010"/>
    </sheetView>
  </sheetViews>
  <sheetFormatPr defaultRowHeight="15" x14ac:dyDescent="0.25"/>
  <cols>
    <col min="1" max="1" width="10.28515625" style="16" bestFit="1" customWidth="1"/>
    <col min="2" max="2" width="9.42578125" style="16" bestFit="1" customWidth="1"/>
    <col min="3" max="6" width="11.140625" style="16" bestFit="1" customWidth="1"/>
    <col min="7" max="10" width="9.42578125" style="16" bestFit="1" customWidth="1"/>
    <col min="11" max="11" width="12.28515625" style="16" bestFit="1" customWidth="1"/>
    <col min="12" max="12" width="9.42578125" style="16" bestFit="1" customWidth="1"/>
    <col min="13" max="15" width="9.140625" style="16"/>
    <col min="16" max="18" width="9.42578125" style="16" bestFit="1" customWidth="1"/>
    <col min="19" max="19" width="12.140625" style="16" bestFit="1" customWidth="1"/>
    <col min="20" max="21" width="9.42578125" style="16" bestFit="1" customWidth="1"/>
    <col min="22" max="22" width="11.140625" style="16" bestFit="1" customWidth="1"/>
    <col min="23" max="23" width="12.140625" style="16" bestFit="1" customWidth="1"/>
    <col min="24" max="24" width="9.42578125" style="16" bestFit="1" customWidth="1"/>
    <col min="25" max="28" width="9.140625" style="16"/>
    <col min="29" max="33" width="9.42578125" style="16" bestFit="1" customWidth="1"/>
    <col min="34" max="34" width="12.140625" style="16" bestFit="1" customWidth="1"/>
    <col min="35" max="35" width="12" style="16" bestFit="1" customWidth="1"/>
    <col min="36" max="36" width="11.140625" style="16" bestFit="1" customWidth="1"/>
    <col min="37" max="38" width="12.140625" style="16" bestFit="1" customWidth="1"/>
    <col min="39" max="45" width="9.140625" style="16"/>
    <col min="46" max="48" width="9.42578125" style="16" bestFit="1" customWidth="1"/>
    <col min="49" max="49" width="12.140625" style="16" bestFit="1" customWidth="1"/>
    <col min="50" max="50" width="12" style="16" bestFit="1" customWidth="1"/>
    <col min="51" max="52" width="12.140625" style="16" bestFit="1" customWidth="1"/>
    <col min="53" max="53" width="12" style="16" bestFit="1" customWidth="1"/>
    <col min="54" max="60" width="9.140625" style="16"/>
    <col min="61" max="63" width="9.42578125" style="16" bestFit="1" customWidth="1"/>
    <col min="64" max="64" width="12.140625" style="16" bestFit="1" customWidth="1"/>
    <col min="65" max="66" width="12" style="16" bestFit="1" customWidth="1"/>
    <col min="67" max="68" width="12.140625" style="16" bestFit="1" customWidth="1"/>
    <col min="69" max="75" width="9.140625" style="16"/>
    <col min="76" max="78" width="9.42578125" style="16" bestFit="1" customWidth="1"/>
    <col min="79" max="79" width="12.140625" style="16" bestFit="1" customWidth="1"/>
    <col min="80" max="81" width="12" style="16" bestFit="1" customWidth="1"/>
    <col min="82" max="83" width="12.140625" style="16" bestFit="1" customWidth="1"/>
    <col min="84" max="90" width="9.140625" style="16"/>
    <col min="91" max="93" width="9.42578125" style="16" bestFit="1" customWidth="1"/>
    <col min="94" max="94" width="12.140625" style="16" bestFit="1" customWidth="1"/>
    <col min="95" max="95" width="12" style="16" bestFit="1" customWidth="1"/>
    <col min="96" max="96" width="11.140625" style="16" bestFit="1" customWidth="1"/>
    <col min="97" max="98" width="12.140625" style="16" bestFit="1" customWidth="1"/>
    <col min="99" max="105" width="9.140625" style="16"/>
    <col min="106" max="108" width="9.42578125" style="16" bestFit="1" customWidth="1"/>
    <col min="109" max="109" width="12.140625" style="16" bestFit="1" customWidth="1"/>
    <col min="110" max="110" width="12" style="16" bestFit="1" customWidth="1"/>
    <col min="111" max="111" width="11.140625" style="16" bestFit="1" customWidth="1"/>
    <col min="112" max="113" width="12.140625" style="16" bestFit="1" customWidth="1"/>
    <col min="114" max="120" width="9.140625" style="16"/>
    <col min="121" max="123" width="9.42578125" style="16" bestFit="1" customWidth="1"/>
    <col min="124" max="124" width="12.140625" style="16" bestFit="1" customWidth="1"/>
    <col min="125" max="125" width="12" style="16" bestFit="1" customWidth="1"/>
    <col min="126" max="126" width="11.140625" style="16" bestFit="1" customWidth="1"/>
    <col min="127" max="127" width="12.140625" style="16" bestFit="1" customWidth="1"/>
    <col min="128" max="128" width="12" style="16" bestFit="1" customWidth="1"/>
    <col min="129" max="135" width="9.140625" style="16"/>
    <col min="136" max="137" width="9.42578125" style="16" bestFit="1" customWidth="1"/>
    <col min="138" max="138" width="10.140625" style="16" bestFit="1" customWidth="1"/>
    <col min="139" max="140" width="12" style="16" bestFit="1" customWidth="1"/>
    <col min="141" max="141" width="11.140625" style="16" bestFit="1" customWidth="1"/>
    <col min="142" max="143" width="12.140625" style="16" bestFit="1" customWidth="1"/>
    <col min="144" max="16384" width="9.140625" style="16"/>
  </cols>
  <sheetData>
    <row r="1" spans="1:29" x14ac:dyDescent="0.25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25">
      <c r="A2" s="13">
        <v>3</v>
      </c>
      <c r="B2" s="12" t="s">
        <v>28</v>
      </c>
      <c r="C2" s="12" t="s">
        <v>46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25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25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25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19.8</v>
      </c>
    </row>
    <row r="6" spans="1:29" x14ac:dyDescent="0.25">
      <c r="A6" s="13"/>
      <c r="B6" s="16">
        <v>0</v>
      </c>
      <c r="C6" s="16">
        <v>9000</v>
      </c>
      <c r="D6" s="14"/>
      <c r="E6" s="14"/>
      <c r="F6" s="14">
        <v>1</v>
      </c>
      <c r="S6" s="16">
        <v>0</v>
      </c>
    </row>
    <row r="7" spans="1:29" x14ac:dyDescent="0.25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25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25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25">
      <c r="A10" s="16" t="s">
        <v>5</v>
      </c>
      <c r="B10" s="19">
        <v>0</v>
      </c>
      <c r="C10" s="13" t="s">
        <v>40</v>
      </c>
      <c r="E10" s="14" t="s">
        <v>41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35</v>
      </c>
      <c r="U10" s="16" t="s">
        <v>36</v>
      </c>
      <c r="V10" s="16" t="s">
        <v>39</v>
      </c>
      <c r="W10" s="16" t="s">
        <v>37</v>
      </c>
      <c r="X10" s="16" t="s">
        <v>38</v>
      </c>
    </row>
    <row r="11" spans="1:29" x14ac:dyDescent="0.25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25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25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25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25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25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25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25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25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25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25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25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25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25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25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25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25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25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25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25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25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25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25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25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25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25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25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25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25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25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25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25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25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25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25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25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25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25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25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25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25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25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25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25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25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25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25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25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25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25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25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25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25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25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25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25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25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25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25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25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25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25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25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25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25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25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25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25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25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25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25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25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25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25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25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25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25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25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25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25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25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25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25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25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25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25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25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25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25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25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25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25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25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25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25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25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25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25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25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25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25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25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25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25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25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25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25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25">
      <c r="C118"/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25">
      <c r="C119"/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25">
      <c r="C120"/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25">
      <c r="C121"/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25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25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25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25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25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25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25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25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25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25">
      <c r="G131" s="20"/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25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25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25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25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25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25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25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25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25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25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25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25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25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25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25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25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25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25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25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25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25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25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25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25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25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25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25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25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25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25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25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25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25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25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25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25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25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25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25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25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25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25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25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25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25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25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25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25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25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25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25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25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25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25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25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25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25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25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25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25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25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4" x14ac:dyDescent="0.25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4" x14ac:dyDescent="0.25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4" x14ac:dyDescent="0.25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4" x14ac:dyDescent="0.25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4" x14ac:dyDescent="0.25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4" x14ac:dyDescent="0.25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4" x14ac:dyDescent="0.25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4" x14ac:dyDescent="0.25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4" x14ac:dyDescent="0.25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32240.117163060557</v>
      </c>
      <c r="T201" s="16">
        <v>30.290543876534528</v>
      </c>
      <c r="U201" s="16">
        <v>1.6061250004835586E-2</v>
      </c>
      <c r="V201" s="16">
        <v>51.718949774880841</v>
      </c>
      <c r="W201" s="16">
        <v>7.4594906784863273</v>
      </c>
      <c r="X201" s="16">
        <v>32143.632117480651</v>
      </c>
    </row>
    <row r="202" spans="16:24" x14ac:dyDescent="0.25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29836.802194681037</v>
      </c>
      <c r="T202" s="16">
        <v>28.270360207356095</v>
      </c>
      <c r="U202" s="16">
        <v>1.3621911777055257E-2</v>
      </c>
      <c r="V202" s="16">
        <v>47.685478449262817</v>
      </c>
      <c r="W202" s="16">
        <v>5.4402831230248418</v>
      </c>
      <c r="X202" s="16">
        <v>29748.392450989617</v>
      </c>
    </row>
    <row r="203" spans="16:24" x14ac:dyDescent="0.25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27570.288130324639</v>
      </c>
      <c r="T203" s="16">
        <v>26.394965313566253</v>
      </c>
      <c r="U203" s="16">
        <v>1.1563723065573569E-2</v>
      </c>
      <c r="V203" s="16">
        <v>43.985961054455558</v>
      </c>
      <c r="W203" s="16">
        <v>3.9634060478628181</v>
      </c>
      <c r="X203" s="16">
        <v>27488.93223418569</v>
      </c>
    </row>
    <row r="204" spans="16:24" x14ac:dyDescent="0.25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26488.384789685144</v>
      </c>
      <c r="T204" s="16">
        <v>25.508069160770532</v>
      </c>
      <c r="U204" s="16">
        <v>1.0658027253253988E-2</v>
      </c>
      <c r="V204" s="16">
        <v>42.252214305699397</v>
      </c>
      <c r="W204" s="16">
        <v>3.381781698927055</v>
      </c>
      <c r="X204" s="16">
        <v>26410.232066492492</v>
      </c>
    </row>
    <row r="205" spans="16:24" x14ac:dyDescent="0.25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24426.463160549061</v>
      </c>
      <c r="T205" s="16">
        <v>23.82938951531241</v>
      </c>
      <c r="U205" s="16">
        <v>9.0600748607609725E-3</v>
      </c>
      <c r="V205" s="16">
        <v>38.999792138069509</v>
      </c>
      <c r="W205" s="16">
        <v>2.4607018904955633</v>
      </c>
      <c r="X205" s="16">
        <v>24354.164216930323</v>
      </c>
    </row>
    <row r="206" spans="16:24" x14ac:dyDescent="0.25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</row>
    <row r="207" spans="16:24" x14ac:dyDescent="0.25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</row>
    <row r="208" spans="16:24" x14ac:dyDescent="0.25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</row>
    <row r="209" spans="16:23" x14ac:dyDescent="0.25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</row>
    <row r="210" spans="16:23" x14ac:dyDescent="0.25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</row>
    <row r="211" spans="16:23" x14ac:dyDescent="0.25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1377.6356285874033</v>
      </c>
      <c r="T211" s="16">
        <v>0</v>
      </c>
      <c r="U211" s="16">
        <v>7.9379710039080557E-12</v>
      </c>
      <c r="V211" s="16">
        <v>138.06690068766173</v>
      </c>
      <c r="W211" s="16">
        <v>1239.5687278997336</v>
      </c>
    </row>
    <row r="212" spans="16:23" x14ac:dyDescent="0.25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1411.4154873845537</v>
      </c>
      <c r="T212" s="16">
        <v>0</v>
      </c>
      <c r="U212" s="16">
        <v>5.550045223979965E-13</v>
      </c>
      <c r="V212" s="16">
        <v>106.47156368637631</v>
      </c>
      <c r="W212" s="16">
        <v>1304.9439236981768</v>
      </c>
    </row>
    <row r="213" spans="16:23" x14ac:dyDescent="0.25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1447.4295833650822</v>
      </c>
      <c r="T213" s="16">
        <v>0</v>
      </c>
      <c r="U213" s="16">
        <v>3.2916770335420395E-14</v>
      </c>
      <c r="V213" s="16">
        <v>80.272065340176226</v>
      </c>
      <c r="W213" s="16">
        <v>1367.1575180249058</v>
      </c>
    </row>
    <row r="214" spans="16:23" x14ac:dyDescent="0.25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1484.9828141174255</v>
      </c>
      <c r="T214" s="16">
        <v>0</v>
      </c>
      <c r="U214" s="16">
        <v>1.5452349135484626E-15</v>
      </c>
      <c r="V214" s="16">
        <v>58.729080270456571</v>
      </c>
      <c r="W214" s="16">
        <v>1426.253733846969</v>
      </c>
    </row>
    <row r="215" spans="16:23" x14ac:dyDescent="0.25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1521.9985530620067</v>
      </c>
      <c r="T215" s="16">
        <v>0</v>
      </c>
      <c r="U215" s="16">
        <v>5.8202548057822342E-17</v>
      </c>
      <c r="V215" s="16">
        <v>41.728863562566502</v>
      </c>
      <c r="W215" s="16">
        <v>1480.2696894994403</v>
      </c>
    </row>
    <row r="216" spans="16:23" x14ac:dyDescent="0.25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1556.5187046895135</v>
      </c>
      <c r="T216" s="16">
        <v>0</v>
      </c>
      <c r="U216" s="16">
        <v>1.7336608184966916E-18</v>
      </c>
      <c r="V216" s="16">
        <v>28.735918379606741</v>
      </c>
      <c r="W216" s="16">
        <v>1527.7827863099067</v>
      </c>
    </row>
    <row r="217" spans="16:23" x14ac:dyDescent="0.25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1586.4418345773215</v>
      </c>
      <c r="T217" s="16">
        <v>0</v>
      </c>
      <c r="U217" s="16">
        <v>4.0214134674124247E-20</v>
      </c>
      <c r="V217" s="16">
        <v>19.136847975119711</v>
      </c>
      <c r="W217" s="16">
        <v>1567.3049866022018</v>
      </c>
    </row>
    <row r="218" spans="16:23" x14ac:dyDescent="0.25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1609.4304847915589</v>
      </c>
      <c r="T218" s="16">
        <v>0</v>
      </c>
      <c r="U218" s="16">
        <v>7.4475906303374232E-22</v>
      </c>
      <c r="V218" s="16">
        <v>12.352171921139863</v>
      </c>
      <c r="W218" s="16">
        <v>1597.078312870419</v>
      </c>
    </row>
    <row r="219" spans="16:23" x14ac:dyDescent="0.25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1623.8686526467357</v>
      </c>
      <c r="T219" s="16">
        <v>0</v>
      </c>
      <c r="U219" s="16">
        <v>9.9947013322453877E-24</v>
      </c>
      <c r="V219" s="16">
        <v>7.6414033225261724</v>
      </c>
      <c r="W219" s="16">
        <v>1616.2272493242094</v>
      </c>
    </row>
    <row r="220" spans="16:23" x14ac:dyDescent="0.25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1627.5520867676075</v>
      </c>
      <c r="T220" s="16">
        <v>0</v>
      </c>
      <c r="U220" s="16">
        <v>9.917590922188182E-26</v>
      </c>
      <c r="V220" s="16">
        <v>4.5376944060800684</v>
      </c>
      <c r="W220" s="16">
        <v>1623.0143923615274</v>
      </c>
    </row>
    <row r="221" spans="16:23" x14ac:dyDescent="0.25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1618.7971702692412</v>
      </c>
      <c r="T221" s="16">
        <v>0</v>
      </c>
      <c r="U221" s="16">
        <v>7.1362498523947729E-28</v>
      </c>
      <c r="V221" s="16">
        <v>2.5793355905596669</v>
      </c>
      <c r="W221" s="16">
        <v>1616.2178346786816</v>
      </c>
    </row>
    <row r="222" spans="16:23" x14ac:dyDescent="0.25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1596.2659181179822</v>
      </c>
      <c r="T222" s="16">
        <v>0</v>
      </c>
      <c r="U222" s="16">
        <v>3.6475269641043787E-30</v>
      </c>
      <c r="V222" s="16">
        <v>1.3992323729470453</v>
      </c>
      <c r="W222" s="16">
        <v>1594.8666857450351</v>
      </c>
    </row>
    <row r="223" spans="16:23" x14ac:dyDescent="0.25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1559.492316879293</v>
      </c>
      <c r="T223" s="16">
        <v>0</v>
      </c>
      <c r="U223" s="16">
        <v>1.3726249790156473E-32</v>
      </c>
      <c r="V223" s="16">
        <v>0.7270287817193225</v>
      </c>
      <c r="W223" s="16">
        <v>1558.7652880975736</v>
      </c>
    </row>
    <row r="224" spans="16:23" x14ac:dyDescent="0.25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1507.3365695361272</v>
      </c>
      <c r="T224" s="16">
        <v>0</v>
      </c>
      <c r="U224" s="16">
        <v>3.3240086778270061E-35</v>
      </c>
      <c r="V224" s="16">
        <v>0.35591383290024647</v>
      </c>
      <c r="W224" s="16">
        <v>1506.9806557032268</v>
      </c>
    </row>
    <row r="225" spans="16:23" x14ac:dyDescent="0.25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1440.2455980982731</v>
      </c>
      <c r="T225" s="16">
        <v>0</v>
      </c>
      <c r="U225" s="16">
        <v>5.3348211799924503E-38</v>
      </c>
      <c r="V225" s="16">
        <v>0.16460230104892298</v>
      </c>
      <c r="W225" s="16">
        <v>1440.0809957972242</v>
      </c>
    </row>
    <row r="226" spans="16:23" x14ac:dyDescent="0.25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1358.9772087176916</v>
      </c>
      <c r="T226" s="16">
        <v>0</v>
      </c>
      <c r="U226" s="16">
        <v>5.5289168703209421E-41</v>
      </c>
      <c r="V226" s="16">
        <v>7.1640290457997746E-2</v>
      </c>
      <c r="W226" s="16">
        <v>1358.9055684272337</v>
      </c>
    </row>
    <row r="227" spans="16:23" x14ac:dyDescent="0.25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1264.9105451252076</v>
      </c>
      <c r="T227" s="16">
        <v>0</v>
      </c>
      <c r="U227" s="16">
        <v>3.5997652946014029E-44</v>
      </c>
      <c r="V227" s="16">
        <v>2.9223755319229966E-2</v>
      </c>
      <c r="W227" s="16">
        <v>1264.8813213698884</v>
      </c>
    </row>
    <row r="228" spans="16:23" x14ac:dyDescent="0.25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1161.1128976372911</v>
      </c>
      <c r="T228" s="16">
        <v>0</v>
      </c>
      <c r="U228" s="16">
        <v>1.5493190842245874E-47</v>
      </c>
      <c r="V228" s="16">
        <v>1.1235523724914142E-2</v>
      </c>
      <c r="W228" s="16">
        <v>1161.1016621135661</v>
      </c>
    </row>
    <row r="229" spans="16:23" x14ac:dyDescent="0.25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1048.0166267977952</v>
      </c>
      <c r="T229" s="16">
        <v>0</v>
      </c>
      <c r="U229" s="16">
        <v>3.6613905263292688E-51</v>
      </c>
      <c r="V229" s="16">
        <v>3.9759390019677423E-3</v>
      </c>
      <c r="W229" s="16">
        <v>1048.0126508587932</v>
      </c>
    </row>
    <row r="230" spans="16:23" x14ac:dyDescent="0.25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929.58375265575989</v>
      </c>
      <c r="T230" s="16">
        <v>0</v>
      </c>
      <c r="U230" s="16">
        <v>4.9569381192293537E-55</v>
      </c>
      <c r="V230" s="16">
        <v>1.3006092668018123E-3</v>
      </c>
      <c r="W230" s="16">
        <v>929.58245204649313</v>
      </c>
    </row>
    <row r="231" spans="16:23" x14ac:dyDescent="0.25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809.08942215651268</v>
      </c>
      <c r="T231" s="16">
        <v>0</v>
      </c>
      <c r="U231" s="16">
        <v>3.714245694451549E-59</v>
      </c>
      <c r="V231" s="16">
        <v>3.9124969904495092E-4</v>
      </c>
      <c r="W231" s="16">
        <v>809.0890309068136</v>
      </c>
    </row>
    <row r="232" spans="16:23" x14ac:dyDescent="0.25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689.92454175339788</v>
      </c>
      <c r="T232" s="16">
        <v>0</v>
      </c>
      <c r="U232" s="16">
        <v>1.4851938358713531E-63</v>
      </c>
      <c r="V232" s="16">
        <v>1.0763663968639943E-4</v>
      </c>
      <c r="W232" s="16">
        <v>689.92443411675822</v>
      </c>
    </row>
    <row r="233" spans="16:23" x14ac:dyDescent="0.25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576.48467516709673</v>
      </c>
      <c r="T233" s="16">
        <v>0</v>
      </c>
      <c r="U233" s="16">
        <v>3.4048388489711504E-68</v>
      </c>
      <c r="V233" s="16">
        <v>2.7307743368194841E-5</v>
      </c>
      <c r="W233" s="16">
        <v>576.48464785935334</v>
      </c>
    </row>
    <row r="234" spans="16:23" x14ac:dyDescent="0.25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469.45606302981696</v>
      </c>
      <c r="T234" s="16">
        <v>0</v>
      </c>
      <c r="U234" s="16">
        <v>3.471128254797006E-73</v>
      </c>
      <c r="V234" s="16">
        <v>6.1778038270309921E-6</v>
      </c>
      <c r="W234" s="16">
        <v>469.45605685201315</v>
      </c>
    </row>
    <row r="235" spans="16:23" x14ac:dyDescent="0.25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372.46301292337586</v>
      </c>
      <c r="T235" s="16">
        <v>0</v>
      </c>
      <c r="U235" s="16">
        <v>1.6716636365255353E-78</v>
      </c>
      <c r="V235" s="16">
        <v>1.254532765460726E-6</v>
      </c>
      <c r="W235" s="16">
        <v>372.46301166884308</v>
      </c>
    </row>
    <row r="236" spans="16:23" x14ac:dyDescent="0.25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287.28396780685631</v>
      </c>
      <c r="T236" s="16">
        <v>0</v>
      </c>
      <c r="U236" s="16">
        <v>3.6339679079084757E-84</v>
      </c>
      <c r="V236" s="16">
        <v>2.2708237531442959E-7</v>
      </c>
      <c r="W236" s="16">
        <v>287.28396757977396</v>
      </c>
    </row>
    <row r="237" spans="16:23" x14ac:dyDescent="0.25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214.91339890190773</v>
      </c>
      <c r="T237" s="16">
        <v>0</v>
      </c>
      <c r="U237" s="16">
        <v>3.398632929667015E-90</v>
      </c>
      <c r="V237" s="16">
        <v>3.6366967601729966E-8</v>
      </c>
      <c r="W237" s="16">
        <v>214.91339886554076</v>
      </c>
    </row>
    <row r="238" spans="16:23" x14ac:dyDescent="0.25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156.06551648371968</v>
      </c>
      <c r="T238" s="16">
        <v>0</v>
      </c>
      <c r="U238" s="16">
        <v>1.5114775735765566E-96</v>
      </c>
      <c r="V238" s="16">
        <v>5.2161688776961156E-9</v>
      </c>
      <c r="W238" s="16">
        <v>156.0655164785035</v>
      </c>
    </row>
    <row r="239" spans="16:23" x14ac:dyDescent="0.25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109.01565872037455</v>
      </c>
      <c r="T239" s="16">
        <v>0</v>
      </c>
      <c r="U239" s="16">
        <v>2.2623958884088835E-103</v>
      </c>
      <c r="V239" s="16">
        <v>6.3921575640916835E-10</v>
      </c>
      <c r="W239" s="16">
        <v>109.01565871973533</v>
      </c>
    </row>
    <row r="240" spans="16:23" x14ac:dyDescent="0.25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73.25705189793095</v>
      </c>
      <c r="T240" s="16">
        <v>0</v>
      </c>
      <c r="U240" s="16">
        <v>1.2411351022637359E-110</v>
      </c>
      <c r="V240" s="16">
        <v>6.7591614097505605E-11</v>
      </c>
      <c r="W240" s="16">
        <v>73.257051897863363</v>
      </c>
    </row>
    <row r="241" spans="16:23" x14ac:dyDescent="0.25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47.20759821840128</v>
      </c>
      <c r="T241" s="16">
        <v>0</v>
      </c>
      <c r="U241" s="16">
        <v>2.3509711496751853E-118</v>
      </c>
      <c r="V241" s="16">
        <v>6.1095350283189962E-12</v>
      </c>
      <c r="W241" s="16">
        <v>47.207598218395169</v>
      </c>
    </row>
    <row r="242" spans="16:23" x14ac:dyDescent="0.25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29.073135056487672</v>
      </c>
      <c r="T242" s="16">
        <v>0</v>
      </c>
      <c r="U242" s="16">
        <v>1.4438371378073503E-126</v>
      </c>
      <c r="V242" s="16">
        <v>4.673810960826878E-13</v>
      </c>
      <c r="W242" s="16">
        <v>29.073135056487203</v>
      </c>
    </row>
    <row r="243" spans="16:23" x14ac:dyDescent="0.25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17.143287602257086</v>
      </c>
      <c r="T243" s="16">
        <v>0</v>
      </c>
      <c r="U243" s="16">
        <v>3.3026627634711343E-135</v>
      </c>
      <c r="V243" s="16">
        <v>3.0797238013771956E-14</v>
      </c>
      <c r="W243" s="16">
        <v>17.143287602257054</v>
      </c>
    </row>
    <row r="244" spans="16:23" x14ac:dyDescent="0.25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9.5394054542594109</v>
      </c>
      <c r="T244" s="16">
        <v>0</v>
      </c>
      <c r="U244" s="16">
        <v>1.7632585785245097E-144</v>
      </c>
      <c r="V244" s="16">
        <v>1.6371905022238821E-15</v>
      </c>
      <c r="W244" s="16">
        <v>9.5394054542594091</v>
      </c>
    </row>
    <row r="245" spans="16:23" x14ac:dyDescent="0.25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5.0130644889194897</v>
      </c>
      <c r="T245" s="16">
        <v>0</v>
      </c>
      <c r="U245" s="16">
        <v>2.4752141191439882E-154</v>
      </c>
      <c r="V245" s="16">
        <v>7.1240184567330973E-17</v>
      </c>
      <c r="W245" s="16">
        <v>5.0130644889194897</v>
      </c>
    </row>
    <row r="246" spans="16:23" x14ac:dyDescent="0.25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2.4765159462371917</v>
      </c>
      <c r="T246" s="16">
        <v>0</v>
      </c>
      <c r="U246" s="16">
        <v>8.4520115042247306E-165</v>
      </c>
      <c r="V246" s="16">
        <v>2.5058651190968373E-18</v>
      </c>
      <c r="W246" s="16">
        <v>2.4765159462371917</v>
      </c>
    </row>
    <row r="247" spans="16:23" x14ac:dyDescent="0.25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1.144412828465557</v>
      </c>
      <c r="T247" s="16">
        <v>0</v>
      </c>
      <c r="U247" s="16">
        <v>6.467513206069258E-176</v>
      </c>
      <c r="V247" s="16">
        <v>7.031515791890759E-20</v>
      </c>
      <c r="W247" s="16">
        <v>1.144412828465557</v>
      </c>
    </row>
    <row r="248" spans="16:23" x14ac:dyDescent="0.25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0.49636661789476677</v>
      </c>
      <c r="T248" s="16">
        <v>0</v>
      </c>
      <c r="U248" s="16">
        <v>1.3420431246697348E-187</v>
      </c>
      <c r="V248" s="16">
        <v>1.6137848237235134E-21</v>
      </c>
      <c r="W248" s="16">
        <v>0.49636661789476677</v>
      </c>
    </row>
    <row r="249" spans="16:23" x14ac:dyDescent="0.25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0.1975941630185617</v>
      </c>
      <c r="T249" s="16">
        <v>0</v>
      </c>
      <c r="U249" s="16">
        <v>4.0287925439898581E-200</v>
      </c>
      <c r="V249" s="16">
        <v>2.768118752566524E-23</v>
      </c>
      <c r="W249" s="16">
        <v>0.1975941630185617</v>
      </c>
    </row>
    <row r="250" spans="16:23" x14ac:dyDescent="0.25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7.2324786689347151E-2</v>
      </c>
      <c r="T250" s="16">
        <v>0</v>
      </c>
      <c r="U250" s="16">
        <v>2.0639070836491368E-213</v>
      </c>
      <c r="V250" s="16">
        <v>3.6235288101634118E-25</v>
      </c>
      <c r="W250" s="16">
        <v>7.2324786689347151E-2</v>
      </c>
    </row>
    <row r="251" spans="16:23" x14ac:dyDescent="0.25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2.4180242293637987E-2</v>
      </c>
      <c r="T251" s="16">
        <v>0</v>
      </c>
      <c r="U251" s="16">
        <v>1.631025145856413E-227</v>
      </c>
      <c r="V251" s="16">
        <v>3.5603783226755203E-27</v>
      </c>
      <c r="W251" s="16">
        <v>2.4180242293637987E-2</v>
      </c>
    </row>
    <row r="252" spans="16:23" x14ac:dyDescent="0.25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7.3315741050957632E-3</v>
      </c>
      <c r="T252" s="16">
        <v>0</v>
      </c>
      <c r="U252" s="16">
        <v>1.7877786396794714E-242</v>
      </c>
      <c r="V252" s="16">
        <v>2.5803391153576335E-29</v>
      </c>
      <c r="W252" s="16">
        <v>7.3315741050957632E-3</v>
      </c>
    </row>
    <row r="253" spans="16:23" x14ac:dyDescent="0.25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2.0276274554894961E-3</v>
      </c>
      <c r="T253" s="16">
        <v>0</v>
      </c>
      <c r="U253" s="16">
        <v>3.5265162187928838E-258</v>
      </c>
      <c r="V253" s="16">
        <v>1.4286608430892782E-31</v>
      </c>
      <c r="W253" s="16">
        <v>2.0276274554894961E-3</v>
      </c>
    </row>
    <row r="254" spans="16:23" x14ac:dyDescent="0.25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4.9445091040437549E-4</v>
      </c>
      <c r="T254" s="16">
        <v>0</v>
      </c>
      <c r="U254" s="16">
        <v>5.4042240946941243E-275</v>
      </c>
      <c r="V254" s="16">
        <v>5.3419736003002432E-34</v>
      </c>
      <c r="W254" s="16">
        <v>4.9445091040437549E-4</v>
      </c>
    </row>
    <row r="255" spans="16:23" x14ac:dyDescent="0.25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1.0668733564407162E-4</v>
      </c>
      <c r="T255" s="16">
        <v>0</v>
      </c>
      <c r="U255" s="16">
        <v>8.0751600189495529E-293</v>
      </c>
      <c r="V255" s="16">
        <v>1.389606188223445E-36</v>
      </c>
      <c r="W255" s="16">
        <v>1.0668733564407162E-4</v>
      </c>
    </row>
    <row r="256" spans="16:23" x14ac:dyDescent="0.25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2.0175963100995689E-5</v>
      </c>
      <c r="T256" s="16">
        <v>0</v>
      </c>
      <c r="U256" s="16">
        <v>0</v>
      </c>
      <c r="V256" s="16">
        <v>2.4605525045498338E-39</v>
      </c>
      <c r="W256" s="16">
        <v>2.0175963100995689E-5</v>
      </c>
    </row>
    <row r="257" spans="16:23" x14ac:dyDescent="0.25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3.3102526996477447E-6</v>
      </c>
      <c r="T257" s="16">
        <v>0</v>
      </c>
      <c r="U257" s="16">
        <v>0</v>
      </c>
      <c r="V257" s="16">
        <v>2.8981986902068259E-42</v>
      </c>
      <c r="W257" s="16">
        <v>3.3102526996477447E-6</v>
      </c>
    </row>
    <row r="258" spans="16:23" x14ac:dyDescent="0.25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4.7557034662669887E-7</v>
      </c>
      <c r="T258" s="16">
        <v>0</v>
      </c>
      <c r="U258" s="16">
        <v>0</v>
      </c>
      <c r="V258" s="16">
        <v>2.384715077435791E-45</v>
      </c>
      <c r="W258" s="16">
        <v>4.7557034662669887E-7</v>
      </c>
    </row>
    <row r="259" spans="16:23" x14ac:dyDescent="0.25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5.6883815902637721E-8</v>
      </c>
      <c r="T259" s="16">
        <v>0</v>
      </c>
      <c r="U259" s="16">
        <v>0</v>
      </c>
      <c r="V259" s="16">
        <v>1.1593623995847492E-48</v>
      </c>
      <c r="W259" s="16">
        <v>5.6883815902637721E-8</v>
      </c>
    </row>
    <row r="260" spans="16:23" x14ac:dyDescent="0.25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5.6991314632729566E-9</v>
      </c>
      <c r="T260" s="16">
        <v>0</v>
      </c>
      <c r="U260" s="16">
        <v>0</v>
      </c>
      <c r="V260" s="16">
        <v>3.4723857682799926E-52</v>
      </c>
      <c r="W260" s="16">
        <v>5.6991314632729566E-9</v>
      </c>
    </row>
    <row r="261" spans="16:23" x14ac:dyDescent="0.25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4.7186219757563675E-10</v>
      </c>
      <c r="T261" s="16">
        <v>0</v>
      </c>
      <c r="U261" s="16">
        <v>0</v>
      </c>
      <c r="V261" s="16">
        <v>6.2268269137149656E-56</v>
      </c>
      <c r="W261" s="16">
        <v>4.7186219757563675E-10</v>
      </c>
    </row>
    <row r="262" spans="16:23" x14ac:dyDescent="0.25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3.1821915663790463E-11</v>
      </c>
      <c r="T262" s="16">
        <v>0</v>
      </c>
      <c r="U262" s="16">
        <v>0</v>
      </c>
      <c r="V262" s="16">
        <v>6.48723773115236E-60</v>
      </c>
      <c r="W262" s="16">
        <v>3.1821915663790463E-11</v>
      </c>
    </row>
    <row r="263" spans="16:23" x14ac:dyDescent="0.25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1.7735582982345027E-12</v>
      </c>
      <c r="T263" s="16">
        <v>0</v>
      </c>
      <c r="U263" s="16">
        <v>0</v>
      </c>
      <c r="V263" s="16">
        <v>4.2013274455117906E-64</v>
      </c>
      <c r="W263" s="16">
        <v>1.7735582982345027E-12</v>
      </c>
    </row>
    <row r="264" spans="16:23" x14ac:dyDescent="0.25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7.5847665488497317E-14</v>
      </c>
      <c r="T264" s="16">
        <v>0</v>
      </c>
      <c r="U264" s="16">
        <v>0</v>
      </c>
      <c r="V264" s="16">
        <v>1.349138557532273E-68</v>
      </c>
      <c r="W264" s="16">
        <v>7.5847665488497317E-14</v>
      </c>
    </row>
    <row r="265" spans="16:23" x14ac:dyDescent="0.25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2.5138901356886155E-15</v>
      </c>
      <c r="T265" s="16">
        <v>0</v>
      </c>
      <c r="U265" s="16">
        <v>0</v>
      </c>
      <c r="V265" s="16">
        <v>2.2770758657732445E-73</v>
      </c>
      <c r="W265" s="16">
        <v>2.5138901356886155E-15</v>
      </c>
    </row>
    <row r="266" spans="16:23" x14ac:dyDescent="0.25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6.3355764920345504E-17</v>
      </c>
      <c r="T266" s="16">
        <v>0</v>
      </c>
      <c r="U266" s="16">
        <v>0</v>
      </c>
      <c r="V266" s="16">
        <v>1.9462653187199975E-78</v>
      </c>
      <c r="W266" s="16">
        <v>6.3355764920345504E-17</v>
      </c>
    </row>
    <row r="267" spans="16:23" x14ac:dyDescent="0.25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</row>
    <row r="268" spans="16:23" x14ac:dyDescent="0.25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</row>
    <row r="269" spans="16:23" x14ac:dyDescent="0.25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</row>
    <row r="270" spans="16:23" x14ac:dyDescent="0.25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</row>
    <row r="271" spans="16:23" x14ac:dyDescent="0.25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</row>
    <row r="272" spans="16:23" x14ac:dyDescent="0.25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</row>
    <row r="273" spans="1:18" x14ac:dyDescent="0.25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</row>
    <row r="274" spans="1:18" x14ac:dyDescent="0.25">
      <c r="A274" s="16">
        <f>COUNTA(A275:A524)</f>
        <v>2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</row>
    <row r="275" spans="1:18" x14ac:dyDescent="0.25">
      <c r="A275" s="16" t="s">
        <v>42</v>
      </c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</row>
    <row r="276" spans="1:18" x14ac:dyDescent="0.25">
      <c r="A276" s="16" t="s">
        <v>43</v>
      </c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</row>
    <row r="277" spans="1:18" x14ac:dyDescent="0.25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</row>
    <row r="278" spans="1:18" x14ac:dyDescent="0.25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</row>
    <row r="279" spans="1:18" x14ac:dyDescent="0.25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</row>
    <row r="280" spans="1:18" x14ac:dyDescent="0.25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</row>
    <row r="281" spans="1:18" x14ac:dyDescent="0.25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</row>
    <row r="282" spans="1:18" x14ac:dyDescent="0.25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</row>
    <row r="283" spans="1:18" x14ac:dyDescent="0.25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</row>
    <row r="284" spans="1:18" x14ac:dyDescent="0.25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</row>
    <row r="285" spans="1:18" x14ac:dyDescent="0.25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</row>
    <row r="286" spans="1:18" x14ac:dyDescent="0.25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</row>
    <row r="287" spans="1:18" x14ac:dyDescent="0.25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</row>
    <row r="288" spans="1:18" x14ac:dyDescent="0.25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</row>
    <row r="289" spans="16:18" x14ac:dyDescent="0.25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</row>
    <row r="290" spans="16:18" x14ac:dyDescent="0.25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</row>
    <row r="291" spans="16:18" x14ac:dyDescent="0.25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</row>
    <row r="292" spans="16:18" x14ac:dyDescent="0.25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</row>
    <row r="293" spans="16:18" x14ac:dyDescent="0.25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</row>
    <row r="294" spans="16:18" x14ac:dyDescent="0.25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</row>
    <row r="295" spans="16:18" x14ac:dyDescent="0.25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</row>
    <row r="296" spans="16:18" x14ac:dyDescent="0.25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</row>
    <row r="297" spans="16:18" x14ac:dyDescent="0.25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</row>
    <row r="298" spans="16:18" x14ac:dyDescent="0.25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</row>
    <row r="299" spans="16:18" x14ac:dyDescent="0.25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</row>
    <row r="300" spans="16:18" x14ac:dyDescent="0.25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</row>
    <row r="301" spans="16:18" x14ac:dyDescent="0.25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</row>
    <row r="302" spans="16:18" x14ac:dyDescent="0.25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</row>
    <row r="303" spans="16:18" x14ac:dyDescent="0.25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</row>
    <row r="304" spans="16:18" x14ac:dyDescent="0.25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</row>
    <row r="305" spans="16:18" x14ac:dyDescent="0.25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</row>
    <row r="306" spans="16:18" x14ac:dyDescent="0.25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</row>
    <row r="307" spans="16:18" x14ac:dyDescent="0.25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</row>
    <row r="308" spans="16:18" x14ac:dyDescent="0.25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</row>
    <row r="309" spans="16:18" x14ac:dyDescent="0.25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</row>
    <row r="310" spans="16:18" x14ac:dyDescent="0.25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</row>
    <row r="311" spans="16:18" x14ac:dyDescent="0.25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</row>
    <row r="312" spans="16:18" x14ac:dyDescent="0.25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</row>
    <row r="313" spans="16:18" x14ac:dyDescent="0.25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</row>
    <row r="314" spans="16:18" x14ac:dyDescent="0.25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</row>
    <row r="315" spans="16:18" x14ac:dyDescent="0.25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</row>
    <row r="316" spans="16:18" x14ac:dyDescent="0.25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</row>
    <row r="317" spans="16:18" x14ac:dyDescent="0.25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</row>
    <row r="318" spans="16:18" x14ac:dyDescent="0.25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</row>
    <row r="319" spans="16:18" x14ac:dyDescent="0.25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</row>
    <row r="320" spans="16:18" x14ac:dyDescent="0.25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</row>
    <row r="321" spans="16:18" x14ac:dyDescent="0.25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</row>
    <row r="322" spans="16:18" x14ac:dyDescent="0.25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</row>
    <row r="323" spans="16:18" x14ac:dyDescent="0.25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</row>
    <row r="324" spans="16:18" x14ac:dyDescent="0.25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</row>
    <row r="325" spans="16:18" x14ac:dyDescent="0.25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</row>
    <row r="326" spans="16:18" x14ac:dyDescent="0.25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</row>
    <row r="327" spans="16:18" x14ac:dyDescent="0.25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</row>
    <row r="328" spans="16:18" x14ac:dyDescent="0.25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</row>
    <row r="329" spans="16:18" x14ac:dyDescent="0.25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</row>
    <row r="330" spans="16:18" x14ac:dyDescent="0.25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</row>
    <row r="331" spans="16:18" x14ac:dyDescent="0.25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</row>
    <row r="332" spans="16:18" x14ac:dyDescent="0.25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</row>
    <row r="333" spans="16:18" x14ac:dyDescent="0.25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</row>
    <row r="334" spans="16:18" x14ac:dyDescent="0.25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</row>
    <row r="335" spans="16:18" x14ac:dyDescent="0.25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</row>
    <row r="336" spans="16:18" x14ac:dyDescent="0.25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</row>
    <row r="337" spans="16:18" x14ac:dyDescent="0.25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</row>
    <row r="338" spans="16:18" x14ac:dyDescent="0.25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</row>
    <row r="339" spans="16:18" x14ac:dyDescent="0.25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</row>
    <row r="340" spans="16:18" x14ac:dyDescent="0.25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</row>
    <row r="341" spans="16:18" x14ac:dyDescent="0.25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</row>
    <row r="342" spans="16:18" x14ac:dyDescent="0.25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</row>
    <row r="343" spans="16:18" x14ac:dyDescent="0.25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</row>
    <row r="344" spans="16:18" x14ac:dyDescent="0.25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</row>
    <row r="345" spans="16:18" x14ac:dyDescent="0.25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</row>
    <row r="346" spans="16:18" x14ac:dyDescent="0.25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</row>
    <row r="347" spans="16:18" x14ac:dyDescent="0.25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</row>
    <row r="348" spans="16:18" x14ac:dyDescent="0.25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</row>
    <row r="349" spans="16:18" x14ac:dyDescent="0.25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</row>
    <row r="350" spans="16:18" x14ac:dyDescent="0.25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</row>
    <row r="351" spans="16:18" x14ac:dyDescent="0.25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</row>
    <row r="352" spans="16:18" x14ac:dyDescent="0.25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</row>
    <row r="353" spans="16:18" x14ac:dyDescent="0.25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</row>
    <row r="354" spans="16:18" x14ac:dyDescent="0.25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</row>
    <row r="355" spans="16:18" x14ac:dyDescent="0.25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</row>
    <row r="356" spans="16:18" x14ac:dyDescent="0.25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</row>
    <row r="357" spans="16:18" x14ac:dyDescent="0.25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</row>
    <row r="358" spans="16:18" x14ac:dyDescent="0.25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</row>
    <row r="359" spans="16:18" x14ac:dyDescent="0.25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</row>
    <row r="360" spans="16:18" x14ac:dyDescent="0.25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</row>
    <row r="361" spans="16:18" x14ac:dyDescent="0.25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</row>
    <row r="362" spans="16:18" x14ac:dyDescent="0.25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</row>
    <row r="363" spans="16:18" x14ac:dyDescent="0.25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</row>
    <row r="364" spans="16:18" x14ac:dyDescent="0.25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</row>
    <row r="365" spans="16:18" x14ac:dyDescent="0.25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</row>
    <row r="366" spans="16:18" x14ac:dyDescent="0.25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</row>
    <row r="367" spans="16:18" x14ac:dyDescent="0.25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</row>
    <row r="368" spans="16:18" x14ac:dyDescent="0.25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</row>
    <row r="369" spans="16:18" x14ac:dyDescent="0.25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</row>
    <row r="370" spans="16:18" x14ac:dyDescent="0.25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</row>
    <row r="371" spans="16:18" x14ac:dyDescent="0.25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</row>
    <row r="372" spans="16:18" x14ac:dyDescent="0.25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</row>
    <row r="373" spans="16:18" x14ac:dyDescent="0.25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</row>
    <row r="374" spans="16:18" x14ac:dyDescent="0.25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</row>
    <row r="375" spans="16:18" x14ac:dyDescent="0.25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</row>
    <row r="376" spans="16:18" x14ac:dyDescent="0.25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</row>
    <row r="377" spans="16:18" x14ac:dyDescent="0.25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</row>
    <row r="378" spans="16:18" x14ac:dyDescent="0.25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</row>
    <row r="379" spans="16:18" x14ac:dyDescent="0.25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</row>
    <row r="380" spans="16:18" x14ac:dyDescent="0.25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</row>
    <row r="381" spans="16:18" x14ac:dyDescent="0.25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</row>
    <row r="382" spans="16:18" x14ac:dyDescent="0.25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</row>
    <row r="383" spans="16:18" x14ac:dyDescent="0.25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</row>
    <row r="384" spans="16:18" x14ac:dyDescent="0.25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</row>
    <row r="385" spans="16:18" x14ac:dyDescent="0.25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</row>
    <row r="386" spans="16:18" x14ac:dyDescent="0.25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</row>
    <row r="387" spans="16:18" x14ac:dyDescent="0.25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</row>
    <row r="388" spans="16:18" x14ac:dyDescent="0.25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</row>
    <row r="389" spans="16:18" x14ac:dyDescent="0.25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</row>
    <row r="390" spans="16:18" x14ac:dyDescent="0.25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</row>
    <row r="391" spans="16:18" x14ac:dyDescent="0.25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</row>
    <row r="392" spans="16:18" x14ac:dyDescent="0.25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</row>
    <row r="393" spans="16:18" x14ac:dyDescent="0.25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</row>
    <row r="394" spans="16:18" x14ac:dyDescent="0.25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</row>
    <row r="395" spans="16:18" x14ac:dyDescent="0.25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</row>
    <row r="396" spans="16:18" x14ac:dyDescent="0.25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</row>
    <row r="397" spans="16:18" x14ac:dyDescent="0.25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</row>
    <row r="398" spans="16:18" x14ac:dyDescent="0.25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</row>
    <row r="399" spans="16:18" x14ac:dyDescent="0.25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</row>
    <row r="400" spans="16:18" x14ac:dyDescent="0.25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</row>
    <row r="401" spans="16:18" x14ac:dyDescent="0.25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</row>
    <row r="402" spans="16:18" x14ac:dyDescent="0.25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</row>
    <row r="403" spans="16:18" x14ac:dyDescent="0.25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</row>
    <row r="404" spans="16:18" x14ac:dyDescent="0.25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</row>
    <row r="405" spans="16:18" x14ac:dyDescent="0.25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</row>
    <row r="406" spans="16:18" x14ac:dyDescent="0.25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</row>
    <row r="407" spans="16:18" x14ac:dyDescent="0.25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</row>
    <row r="408" spans="16:18" x14ac:dyDescent="0.25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</row>
    <row r="409" spans="16:18" x14ac:dyDescent="0.25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</row>
    <row r="410" spans="16:18" x14ac:dyDescent="0.25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</row>
    <row r="411" spans="16:18" x14ac:dyDescent="0.25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</row>
    <row r="412" spans="16:18" x14ac:dyDescent="0.25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</row>
    <row r="413" spans="16:18" x14ac:dyDescent="0.25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</row>
    <row r="414" spans="16:18" x14ac:dyDescent="0.25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</row>
    <row r="415" spans="16:18" x14ac:dyDescent="0.25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</row>
    <row r="416" spans="16:18" x14ac:dyDescent="0.25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</row>
    <row r="417" spans="16:18" x14ac:dyDescent="0.25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</row>
    <row r="418" spans="16:18" x14ac:dyDescent="0.25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</row>
    <row r="419" spans="16:18" x14ac:dyDescent="0.25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</row>
    <row r="420" spans="16:18" x14ac:dyDescent="0.25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</row>
    <row r="421" spans="16:18" x14ac:dyDescent="0.25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</row>
    <row r="422" spans="16:18" x14ac:dyDescent="0.25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</row>
    <row r="423" spans="16:18" x14ac:dyDescent="0.25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</row>
    <row r="424" spans="16:18" x14ac:dyDescent="0.25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</row>
    <row r="425" spans="16:18" x14ac:dyDescent="0.25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</row>
    <row r="426" spans="16:18" x14ac:dyDescent="0.25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</row>
    <row r="427" spans="16:18" x14ac:dyDescent="0.25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</row>
    <row r="428" spans="16:18" x14ac:dyDescent="0.25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</row>
    <row r="429" spans="16:18" x14ac:dyDescent="0.25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</row>
    <row r="430" spans="16:18" x14ac:dyDescent="0.25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</row>
    <row r="431" spans="16:18" x14ac:dyDescent="0.25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</row>
    <row r="432" spans="16:18" x14ac:dyDescent="0.25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</row>
    <row r="433" spans="16:18" x14ac:dyDescent="0.25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</row>
    <row r="434" spans="16:18" x14ac:dyDescent="0.25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</row>
    <row r="435" spans="16:18" x14ac:dyDescent="0.25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</row>
    <row r="436" spans="16:18" x14ac:dyDescent="0.25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</row>
    <row r="437" spans="16:18" x14ac:dyDescent="0.25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</row>
    <row r="438" spans="16:18" x14ac:dyDescent="0.25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</row>
    <row r="439" spans="16:18" x14ac:dyDescent="0.25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</row>
    <row r="440" spans="16:18" x14ac:dyDescent="0.25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</row>
    <row r="441" spans="16:18" x14ac:dyDescent="0.25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</row>
    <row r="442" spans="16:18" x14ac:dyDescent="0.25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</row>
    <row r="443" spans="16:18" x14ac:dyDescent="0.25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</row>
    <row r="444" spans="16:18" x14ac:dyDescent="0.25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</row>
    <row r="445" spans="16:18" x14ac:dyDescent="0.25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</row>
    <row r="446" spans="16:18" x14ac:dyDescent="0.25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</row>
    <row r="447" spans="16:18" x14ac:dyDescent="0.25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</row>
    <row r="448" spans="16:18" x14ac:dyDescent="0.25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</row>
    <row r="449" spans="16:18" x14ac:dyDescent="0.25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</row>
    <row r="450" spans="16:18" x14ac:dyDescent="0.25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</row>
    <row r="451" spans="16:18" x14ac:dyDescent="0.25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</row>
    <row r="452" spans="16:18" x14ac:dyDescent="0.25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</row>
    <row r="453" spans="16:18" x14ac:dyDescent="0.25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</row>
    <row r="454" spans="16:18" x14ac:dyDescent="0.25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</row>
    <row r="455" spans="16:18" x14ac:dyDescent="0.25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</row>
    <row r="456" spans="16:18" x14ac:dyDescent="0.25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</row>
    <row r="457" spans="16:18" x14ac:dyDescent="0.25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</row>
    <row r="458" spans="16:18" x14ac:dyDescent="0.25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</row>
    <row r="459" spans="16:18" x14ac:dyDescent="0.25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</row>
    <row r="460" spans="16:18" x14ac:dyDescent="0.25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</row>
    <row r="461" spans="16:18" x14ac:dyDescent="0.25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</row>
    <row r="462" spans="16:18" x14ac:dyDescent="0.25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</row>
    <row r="463" spans="16:18" x14ac:dyDescent="0.25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</row>
    <row r="464" spans="16:18" x14ac:dyDescent="0.25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</row>
    <row r="465" spans="16:18" x14ac:dyDescent="0.25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</row>
    <row r="466" spans="16:18" x14ac:dyDescent="0.25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</row>
    <row r="467" spans="16:18" x14ac:dyDescent="0.25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</row>
    <row r="468" spans="16:18" x14ac:dyDescent="0.25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</row>
    <row r="469" spans="16:18" x14ac:dyDescent="0.25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</row>
    <row r="470" spans="16:18" x14ac:dyDescent="0.25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</row>
    <row r="471" spans="16:18" x14ac:dyDescent="0.25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</row>
    <row r="472" spans="16:18" x14ac:dyDescent="0.25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</row>
    <row r="473" spans="16:18" x14ac:dyDescent="0.25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</row>
    <row r="474" spans="16:18" x14ac:dyDescent="0.25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</row>
    <row r="475" spans="16:18" x14ac:dyDescent="0.25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</row>
    <row r="476" spans="16:18" x14ac:dyDescent="0.25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</row>
    <row r="477" spans="16:18" x14ac:dyDescent="0.25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</row>
    <row r="478" spans="16:18" x14ac:dyDescent="0.25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</row>
    <row r="479" spans="16:18" x14ac:dyDescent="0.25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</row>
    <row r="480" spans="16:18" x14ac:dyDescent="0.25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</row>
    <row r="481" spans="16:18" x14ac:dyDescent="0.25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</row>
    <row r="482" spans="16:18" x14ac:dyDescent="0.25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</row>
    <row r="483" spans="16:18" x14ac:dyDescent="0.25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</row>
    <row r="484" spans="16:18" x14ac:dyDescent="0.25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</row>
    <row r="485" spans="16:18" x14ac:dyDescent="0.25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</row>
    <row r="486" spans="16:18" x14ac:dyDescent="0.25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</row>
    <row r="487" spans="16:18" x14ac:dyDescent="0.25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</row>
    <row r="488" spans="16:18" x14ac:dyDescent="0.25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</row>
    <row r="489" spans="16:18" x14ac:dyDescent="0.25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</row>
    <row r="490" spans="16:18" x14ac:dyDescent="0.25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</row>
    <row r="491" spans="16:18" x14ac:dyDescent="0.25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</row>
    <row r="492" spans="16:18" x14ac:dyDescent="0.25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</row>
    <row r="493" spans="16:18" x14ac:dyDescent="0.25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</row>
    <row r="494" spans="16:18" x14ac:dyDescent="0.25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</row>
    <row r="495" spans="16:18" x14ac:dyDescent="0.25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</row>
    <row r="496" spans="16:18" x14ac:dyDescent="0.25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</row>
    <row r="497" spans="16:18" x14ac:dyDescent="0.25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</row>
    <row r="498" spans="16:18" x14ac:dyDescent="0.25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</row>
    <row r="499" spans="16:18" x14ac:dyDescent="0.25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</row>
    <row r="500" spans="16:18" x14ac:dyDescent="0.25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</row>
    <row r="501" spans="16:18" x14ac:dyDescent="0.25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</row>
    <row r="502" spans="16:18" x14ac:dyDescent="0.25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</row>
    <row r="503" spans="16:18" x14ac:dyDescent="0.25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</row>
    <row r="504" spans="16:18" x14ac:dyDescent="0.25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</row>
    <row r="505" spans="16:18" x14ac:dyDescent="0.25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</row>
    <row r="506" spans="16:18" x14ac:dyDescent="0.25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</row>
    <row r="507" spans="16:18" x14ac:dyDescent="0.25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</row>
    <row r="508" spans="16:18" x14ac:dyDescent="0.25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</row>
    <row r="509" spans="16:18" x14ac:dyDescent="0.25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</row>
    <row r="510" spans="16:18" x14ac:dyDescent="0.25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</row>
    <row r="511" spans="16:18" x14ac:dyDescent="0.25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18" x14ac:dyDescent="0.25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25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25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25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25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25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25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25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25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25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25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25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25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25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25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25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25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25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25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25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25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25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25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25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25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25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25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25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25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25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25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25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25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25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25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25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25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25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25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25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25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25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25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25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25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25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25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25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25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25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25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25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25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25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25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25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25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25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25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25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25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25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25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25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25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25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25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25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25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25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25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25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25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25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25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25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25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25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25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25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25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25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25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25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25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25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25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25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25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25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25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25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25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25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25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25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25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25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25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25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25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25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25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25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25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25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25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25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25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25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25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25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25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25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25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25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25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25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25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25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25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25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25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25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25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25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25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25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25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25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25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25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25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25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25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25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25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25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25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25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25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25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25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25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25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25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25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25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25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25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25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25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25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25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25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25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25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25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25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25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25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25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25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25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25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25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25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25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25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25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25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25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25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25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25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25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25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25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25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25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25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25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25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25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25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25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25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25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25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25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25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25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25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25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25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25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25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25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25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25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25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25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25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25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25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25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25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25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25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25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25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25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25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25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25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25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25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25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25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25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25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25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25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25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25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25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25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25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25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25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25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25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25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25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25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25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25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25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25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25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25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25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25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25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25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25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25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25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25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25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25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25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25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25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25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25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25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25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25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25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25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25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25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25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25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25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25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25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25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25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25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25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25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25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25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25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25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25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25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25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25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25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25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25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25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25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25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25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25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25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25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25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25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25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25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25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25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25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25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25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25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25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25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25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25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25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25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25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25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25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25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25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25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25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25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25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25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25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25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25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25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25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25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25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25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25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25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25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25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25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25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25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25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25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25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25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25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25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25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25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25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25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25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25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25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25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25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25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25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25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25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25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25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25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25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25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25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25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25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25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25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25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25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25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25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25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25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25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25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25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25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25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25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25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25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25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25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25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25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25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25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25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25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25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25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25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25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25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25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25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25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25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25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25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25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25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25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25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25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25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25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25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25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25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25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25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25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25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25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25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25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25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25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25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25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25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25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25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25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25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25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25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25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25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25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25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25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25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25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25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25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25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25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25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25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25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25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25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25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25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25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25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25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25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25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25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25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25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25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25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25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25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25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25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25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25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25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25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25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25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25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25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25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25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25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25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25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25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25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25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25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25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25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25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25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25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25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25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25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25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25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25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25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25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25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25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25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25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25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25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25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25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25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25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25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25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25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25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25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25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M5:Q16"/>
  <sheetViews>
    <sheetView zoomScale="85" zoomScaleNormal="85" workbookViewId="0">
      <selection activeCell="C1" sqref="C1"/>
    </sheetView>
  </sheetViews>
  <sheetFormatPr defaultRowHeight="15" x14ac:dyDescent="0.25"/>
  <cols>
    <col min="1" max="1" width="4" customWidth="1"/>
    <col min="2" max="2" width="10" customWidth="1"/>
    <col min="3" max="12" width="14.28515625" customWidth="1"/>
    <col min="13" max="13" width="12.28515625" bestFit="1" customWidth="1"/>
    <col min="14" max="14" width="15.42578125" customWidth="1"/>
    <col min="15" max="15" width="14.5703125" customWidth="1"/>
    <col min="16" max="16" width="12.28515625" bestFit="1" customWidth="1"/>
    <col min="17" max="17" width="3.42578125" customWidth="1"/>
  </cols>
  <sheetData>
    <row r="5" spans="13:17" x14ac:dyDescent="0.25">
      <c r="M5" s="11"/>
      <c r="N5" s="11"/>
      <c r="O5" s="11"/>
      <c r="P5" s="11"/>
      <c r="Q5" s="11"/>
    </row>
    <row r="6" spans="13:17" x14ac:dyDescent="0.25">
      <c r="M6" s="11"/>
      <c r="N6" s="11"/>
      <c r="O6" s="11"/>
      <c r="P6" s="11"/>
      <c r="Q6" s="11"/>
    </row>
    <row r="7" spans="13:17" x14ac:dyDescent="0.25">
      <c r="M7" s="11"/>
      <c r="N7" s="11"/>
      <c r="O7" s="11"/>
      <c r="P7" s="11"/>
      <c r="Q7" s="11"/>
    </row>
    <row r="8" spans="13:17" x14ac:dyDescent="0.25">
      <c r="M8" s="11"/>
      <c r="Q8" s="11"/>
    </row>
    <row r="9" spans="13:17" x14ac:dyDescent="0.25">
      <c r="M9" s="10"/>
    </row>
    <row r="10" spans="13:17" x14ac:dyDescent="0.25">
      <c r="M10" s="10"/>
    </row>
    <row r="11" spans="13:17" x14ac:dyDescent="0.25">
      <c r="M11" s="10"/>
    </row>
    <row r="12" spans="13:17" x14ac:dyDescent="0.25">
      <c r="M12" s="10"/>
    </row>
    <row r="13" spans="13:17" x14ac:dyDescent="0.25">
      <c r="M13" s="10"/>
    </row>
    <row r="14" spans="13:17" x14ac:dyDescent="0.25">
      <c r="M14" s="10"/>
    </row>
    <row r="15" spans="13:17" x14ac:dyDescent="0.25">
      <c r="M15" s="10"/>
    </row>
    <row r="16" spans="13:17" x14ac:dyDescent="0.25">
      <c r="M16" s="1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247650</xdr:colOff>
                    <xdr:row>5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dcterms:created xsi:type="dcterms:W3CDTF">2024-07-29T17:43:56Z</dcterms:created>
  <dcterms:modified xsi:type="dcterms:W3CDTF">2024-10-14T19:17:15Z</dcterms:modified>
</cp:coreProperties>
</file>