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xr:revisionPtr revIDLastSave="0" documentId="13_ncr:1_{DD13DB21-4B5E-42B0-8D4A-2154C10757E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-Plot" sheetId="1" r:id="rId1"/>
    <sheet name="TempData" sheetId="2" state="hidden" r:id="rId2"/>
    <sheet name="Growth-Plot" sheetId="3" state="hidden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10" i="2" l="1"/>
  <c r="Q1010" i="2"/>
  <c r="P1010" i="2"/>
  <c r="R1009" i="2"/>
  <c r="Q1009" i="2"/>
  <c r="P1009" i="2"/>
  <c r="R1008" i="2"/>
  <c r="Q1008" i="2"/>
  <c r="P1008" i="2"/>
  <c r="R1007" i="2"/>
  <c r="Q1007" i="2"/>
  <c r="P1007" i="2"/>
  <c r="R1006" i="2"/>
  <c r="Q1006" i="2"/>
  <c r="P1006" i="2"/>
  <c r="R1005" i="2"/>
  <c r="Q1005" i="2"/>
  <c r="P1005" i="2"/>
  <c r="R1004" i="2"/>
  <c r="Q1004" i="2"/>
  <c r="P1004" i="2"/>
  <c r="R1003" i="2"/>
  <c r="Q1003" i="2"/>
  <c r="P1003" i="2"/>
  <c r="R1002" i="2"/>
  <c r="Q1002" i="2"/>
  <c r="P1002" i="2"/>
  <c r="R1001" i="2"/>
  <c r="Q1001" i="2"/>
  <c r="P1001" i="2"/>
  <c r="R1000" i="2"/>
  <c r="Q1000" i="2"/>
  <c r="P1000" i="2"/>
  <c r="R999" i="2"/>
  <c r="Q999" i="2"/>
  <c r="P999" i="2"/>
  <c r="R998" i="2"/>
  <c r="Q998" i="2"/>
  <c r="P998" i="2"/>
  <c r="R997" i="2"/>
  <c r="Q997" i="2"/>
  <c r="P997" i="2"/>
  <c r="R996" i="2"/>
  <c r="Q996" i="2"/>
  <c r="P996" i="2"/>
  <c r="R995" i="2"/>
  <c r="Q995" i="2"/>
  <c r="P995" i="2"/>
  <c r="R994" i="2"/>
  <c r="Q994" i="2"/>
  <c r="P994" i="2"/>
  <c r="R993" i="2"/>
  <c r="Q993" i="2"/>
  <c r="P993" i="2"/>
  <c r="R992" i="2"/>
  <c r="Q992" i="2"/>
  <c r="P992" i="2"/>
  <c r="R991" i="2"/>
  <c r="Q991" i="2"/>
  <c r="P991" i="2"/>
  <c r="R990" i="2"/>
  <c r="Q990" i="2"/>
  <c r="P990" i="2"/>
  <c r="R989" i="2"/>
  <c r="Q989" i="2"/>
  <c r="P989" i="2"/>
  <c r="R988" i="2"/>
  <c r="Q988" i="2"/>
  <c r="P988" i="2"/>
  <c r="R987" i="2"/>
  <c r="Q987" i="2"/>
  <c r="P987" i="2"/>
  <c r="R986" i="2"/>
  <c r="Q986" i="2"/>
  <c r="P986" i="2"/>
  <c r="R985" i="2"/>
  <c r="Q985" i="2"/>
  <c r="P985" i="2"/>
  <c r="R984" i="2"/>
  <c r="Q984" i="2"/>
  <c r="P984" i="2"/>
  <c r="R983" i="2"/>
  <c r="Q983" i="2"/>
  <c r="P983" i="2"/>
  <c r="R982" i="2"/>
  <c r="Q982" i="2"/>
  <c r="P982" i="2"/>
  <c r="R981" i="2"/>
  <c r="Q981" i="2"/>
  <c r="P981" i="2"/>
  <c r="R980" i="2"/>
  <c r="Q980" i="2"/>
  <c r="P980" i="2"/>
  <c r="R979" i="2"/>
  <c r="Q979" i="2"/>
  <c r="P979" i="2"/>
  <c r="R978" i="2"/>
  <c r="Q978" i="2"/>
  <c r="P978" i="2"/>
  <c r="R977" i="2"/>
  <c r="Q977" i="2"/>
  <c r="P977" i="2"/>
  <c r="R976" i="2"/>
  <c r="Q976" i="2"/>
  <c r="P976" i="2"/>
  <c r="R975" i="2"/>
  <c r="Q975" i="2"/>
  <c r="P975" i="2"/>
  <c r="R974" i="2"/>
  <c r="Q974" i="2"/>
  <c r="P974" i="2"/>
  <c r="R973" i="2"/>
  <c r="Q973" i="2"/>
  <c r="P973" i="2"/>
  <c r="R972" i="2"/>
  <c r="Q972" i="2"/>
  <c r="P972" i="2"/>
  <c r="R971" i="2"/>
  <c r="Q971" i="2"/>
  <c r="P971" i="2"/>
  <c r="R970" i="2"/>
  <c r="Q970" i="2"/>
  <c r="P970" i="2"/>
  <c r="R969" i="2"/>
  <c r="Q969" i="2"/>
  <c r="P969" i="2"/>
  <c r="R968" i="2"/>
  <c r="Q968" i="2"/>
  <c r="P968" i="2"/>
  <c r="R967" i="2"/>
  <c r="Q967" i="2"/>
  <c r="P967" i="2"/>
  <c r="R966" i="2"/>
  <c r="Q966" i="2"/>
  <c r="P966" i="2"/>
  <c r="R965" i="2"/>
  <c r="Q965" i="2"/>
  <c r="P965" i="2"/>
  <c r="R964" i="2"/>
  <c r="Q964" i="2"/>
  <c r="P964" i="2"/>
  <c r="R963" i="2"/>
  <c r="Q963" i="2"/>
  <c r="P963" i="2"/>
  <c r="R962" i="2"/>
  <c r="Q962" i="2"/>
  <c r="P962" i="2"/>
  <c r="R961" i="2"/>
  <c r="Q961" i="2"/>
  <c r="P961" i="2"/>
  <c r="R960" i="2"/>
  <c r="Q960" i="2"/>
  <c r="P960" i="2"/>
  <c r="R959" i="2"/>
  <c r="Q959" i="2"/>
  <c r="P959" i="2"/>
  <c r="R958" i="2"/>
  <c r="Q958" i="2"/>
  <c r="P958" i="2"/>
  <c r="R957" i="2"/>
  <c r="Q957" i="2"/>
  <c r="P957" i="2"/>
  <c r="R956" i="2"/>
  <c r="Q956" i="2"/>
  <c r="P956" i="2"/>
  <c r="R955" i="2"/>
  <c r="Q955" i="2"/>
  <c r="P955" i="2"/>
  <c r="R954" i="2"/>
  <c r="Q954" i="2"/>
  <c r="P954" i="2"/>
  <c r="R953" i="2"/>
  <c r="Q953" i="2"/>
  <c r="P953" i="2"/>
  <c r="R952" i="2"/>
  <c r="Q952" i="2"/>
  <c r="P952" i="2"/>
  <c r="R951" i="2"/>
  <c r="Q951" i="2"/>
  <c r="P951" i="2"/>
  <c r="R950" i="2"/>
  <c r="Q950" i="2"/>
  <c r="P950" i="2"/>
  <c r="R949" i="2"/>
  <c r="Q949" i="2"/>
  <c r="P949" i="2"/>
  <c r="R948" i="2"/>
  <c r="Q948" i="2"/>
  <c r="P948" i="2"/>
  <c r="R947" i="2"/>
  <c r="Q947" i="2"/>
  <c r="P947" i="2"/>
  <c r="R946" i="2"/>
  <c r="Q946" i="2"/>
  <c r="P946" i="2"/>
  <c r="R945" i="2"/>
  <c r="Q945" i="2"/>
  <c r="P945" i="2"/>
  <c r="R944" i="2"/>
  <c r="Q944" i="2"/>
  <c r="P944" i="2"/>
  <c r="R943" i="2"/>
  <c r="Q943" i="2"/>
  <c r="P943" i="2"/>
  <c r="R942" i="2"/>
  <c r="Q942" i="2"/>
  <c r="P942" i="2"/>
  <c r="R941" i="2"/>
  <c r="Q941" i="2"/>
  <c r="P941" i="2"/>
  <c r="R940" i="2"/>
  <c r="Q940" i="2"/>
  <c r="P940" i="2"/>
  <c r="R939" i="2"/>
  <c r="Q939" i="2"/>
  <c r="P939" i="2"/>
  <c r="R938" i="2"/>
  <c r="Q938" i="2"/>
  <c r="P938" i="2"/>
  <c r="R937" i="2"/>
  <c r="Q937" i="2"/>
  <c r="P937" i="2"/>
  <c r="R936" i="2"/>
  <c r="Q936" i="2"/>
  <c r="P936" i="2"/>
  <c r="R935" i="2"/>
  <c r="Q935" i="2"/>
  <c r="P935" i="2"/>
  <c r="R934" i="2"/>
  <c r="Q934" i="2"/>
  <c r="P934" i="2"/>
  <c r="R933" i="2"/>
  <c r="Q933" i="2"/>
  <c r="P933" i="2"/>
  <c r="R932" i="2"/>
  <c r="Q932" i="2"/>
  <c r="P932" i="2"/>
  <c r="R931" i="2"/>
  <c r="Q931" i="2"/>
  <c r="P931" i="2"/>
  <c r="R930" i="2"/>
  <c r="Q930" i="2"/>
  <c r="P930" i="2"/>
  <c r="R929" i="2"/>
  <c r="Q929" i="2"/>
  <c r="P929" i="2"/>
  <c r="R928" i="2"/>
  <c r="Q928" i="2"/>
  <c r="P928" i="2"/>
  <c r="R927" i="2"/>
  <c r="Q927" i="2"/>
  <c r="P927" i="2"/>
  <c r="R926" i="2"/>
  <c r="Q926" i="2"/>
  <c r="P926" i="2"/>
  <c r="R925" i="2"/>
  <c r="Q925" i="2"/>
  <c r="P925" i="2"/>
  <c r="R924" i="2"/>
  <c r="Q924" i="2"/>
  <c r="P924" i="2"/>
  <c r="R923" i="2"/>
  <c r="Q923" i="2"/>
  <c r="P923" i="2"/>
  <c r="R922" i="2"/>
  <c r="Q922" i="2"/>
  <c r="P922" i="2"/>
  <c r="R921" i="2"/>
  <c r="Q921" i="2"/>
  <c r="P921" i="2"/>
  <c r="R920" i="2"/>
  <c r="Q920" i="2"/>
  <c r="P920" i="2"/>
  <c r="R919" i="2"/>
  <c r="Q919" i="2"/>
  <c r="P919" i="2"/>
  <c r="R918" i="2"/>
  <c r="Q918" i="2"/>
  <c r="P918" i="2"/>
  <c r="R917" i="2"/>
  <c r="Q917" i="2"/>
  <c r="P917" i="2"/>
  <c r="R916" i="2"/>
  <c r="Q916" i="2"/>
  <c r="P916" i="2"/>
  <c r="R915" i="2"/>
  <c r="Q915" i="2"/>
  <c r="P915" i="2"/>
  <c r="R914" i="2"/>
  <c r="Q914" i="2"/>
  <c r="P914" i="2"/>
  <c r="R913" i="2"/>
  <c r="Q913" i="2"/>
  <c r="P913" i="2"/>
  <c r="R912" i="2"/>
  <c r="Q912" i="2"/>
  <c r="P912" i="2"/>
  <c r="R911" i="2"/>
  <c r="Q911" i="2"/>
  <c r="P911" i="2"/>
  <c r="R910" i="2"/>
  <c r="Q910" i="2"/>
  <c r="P910" i="2"/>
  <c r="R909" i="2"/>
  <c r="Q909" i="2"/>
  <c r="P909" i="2"/>
  <c r="R908" i="2"/>
  <c r="Q908" i="2"/>
  <c r="P908" i="2"/>
  <c r="R907" i="2"/>
  <c r="Q907" i="2"/>
  <c r="P907" i="2"/>
  <c r="R906" i="2"/>
  <c r="Q906" i="2"/>
  <c r="P906" i="2"/>
  <c r="R905" i="2"/>
  <c r="Q905" i="2"/>
  <c r="P905" i="2"/>
  <c r="R904" i="2"/>
  <c r="Q904" i="2"/>
  <c r="P904" i="2"/>
  <c r="R903" i="2"/>
  <c r="Q903" i="2"/>
  <c r="P903" i="2"/>
  <c r="R902" i="2"/>
  <c r="Q902" i="2"/>
  <c r="P902" i="2"/>
  <c r="R901" i="2"/>
  <c r="Q901" i="2"/>
  <c r="P901" i="2"/>
  <c r="R900" i="2"/>
  <c r="Q900" i="2"/>
  <c r="P900" i="2"/>
  <c r="R899" i="2"/>
  <c r="Q899" i="2"/>
  <c r="P899" i="2"/>
  <c r="R898" i="2"/>
  <c r="Q898" i="2"/>
  <c r="P898" i="2"/>
  <c r="R897" i="2"/>
  <c r="Q897" i="2"/>
  <c r="P897" i="2"/>
  <c r="R896" i="2"/>
  <c r="Q896" i="2"/>
  <c r="P896" i="2"/>
  <c r="R895" i="2"/>
  <c r="Q895" i="2"/>
  <c r="P895" i="2"/>
  <c r="R894" i="2"/>
  <c r="Q894" i="2"/>
  <c r="P894" i="2"/>
  <c r="R893" i="2"/>
  <c r="Q893" i="2"/>
  <c r="P893" i="2"/>
  <c r="R892" i="2"/>
  <c r="Q892" i="2"/>
  <c r="P892" i="2"/>
  <c r="R891" i="2"/>
  <c r="Q891" i="2"/>
  <c r="P891" i="2"/>
  <c r="R890" i="2"/>
  <c r="Q890" i="2"/>
  <c r="P890" i="2"/>
  <c r="R889" i="2"/>
  <c r="Q889" i="2"/>
  <c r="P889" i="2"/>
  <c r="R888" i="2"/>
  <c r="Q888" i="2"/>
  <c r="P888" i="2"/>
  <c r="R887" i="2"/>
  <c r="Q887" i="2"/>
  <c r="P887" i="2"/>
  <c r="R886" i="2"/>
  <c r="Q886" i="2"/>
  <c r="P886" i="2"/>
  <c r="R885" i="2"/>
  <c r="Q885" i="2"/>
  <c r="P885" i="2"/>
  <c r="R884" i="2"/>
  <c r="Q884" i="2"/>
  <c r="P884" i="2"/>
  <c r="R883" i="2"/>
  <c r="Q883" i="2"/>
  <c r="P883" i="2"/>
  <c r="R882" i="2"/>
  <c r="Q882" i="2"/>
  <c r="P882" i="2"/>
  <c r="R881" i="2"/>
  <c r="Q881" i="2"/>
  <c r="P881" i="2"/>
  <c r="R880" i="2"/>
  <c r="Q880" i="2"/>
  <c r="P880" i="2"/>
  <c r="R879" i="2"/>
  <c r="Q879" i="2"/>
  <c r="P879" i="2"/>
  <c r="R878" i="2"/>
  <c r="Q878" i="2"/>
  <c r="P878" i="2"/>
  <c r="R877" i="2"/>
  <c r="Q877" i="2"/>
  <c r="P877" i="2"/>
  <c r="R876" i="2"/>
  <c r="Q876" i="2"/>
  <c r="P876" i="2"/>
  <c r="R875" i="2"/>
  <c r="Q875" i="2"/>
  <c r="P875" i="2"/>
  <c r="R874" i="2"/>
  <c r="Q874" i="2"/>
  <c r="P874" i="2"/>
  <c r="R873" i="2"/>
  <c r="Q873" i="2"/>
  <c r="P873" i="2"/>
  <c r="R872" i="2"/>
  <c r="Q872" i="2"/>
  <c r="P872" i="2"/>
  <c r="R871" i="2"/>
  <c r="Q871" i="2"/>
  <c r="P871" i="2"/>
  <c r="R870" i="2"/>
  <c r="Q870" i="2"/>
  <c r="P870" i="2"/>
  <c r="R869" i="2"/>
  <c r="Q869" i="2"/>
  <c r="P869" i="2"/>
  <c r="R868" i="2"/>
  <c r="Q868" i="2"/>
  <c r="P868" i="2"/>
  <c r="R867" i="2"/>
  <c r="Q867" i="2"/>
  <c r="P867" i="2"/>
  <c r="R866" i="2"/>
  <c r="Q866" i="2"/>
  <c r="P866" i="2"/>
  <c r="R865" i="2"/>
  <c r="Q865" i="2"/>
  <c r="P865" i="2"/>
  <c r="R864" i="2"/>
  <c r="Q864" i="2"/>
  <c r="P864" i="2"/>
  <c r="R863" i="2"/>
  <c r="Q863" i="2"/>
  <c r="P863" i="2"/>
  <c r="R862" i="2"/>
  <c r="Q862" i="2"/>
  <c r="P862" i="2"/>
  <c r="R861" i="2"/>
  <c r="Q861" i="2"/>
  <c r="P861" i="2"/>
  <c r="R860" i="2"/>
  <c r="Q860" i="2"/>
  <c r="P860" i="2"/>
  <c r="R859" i="2"/>
  <c r="Q859" i="2"/>
  <c r="P859" i="2"/>
  <c r="R858" i="2"/>
  <c r="Q858" i="2"/>
  <c r="P858" i="2"/>
  <c r="R857" i="2"/>
  <c r="Q857" i="2"/>
  <c r="P857" i="2"/>
  <c r="R856" i="2"/>
  <c r="Q856" i="2"/>
  <c r="P856" i="2"/>
  <c r="R855" i="2"/>
  <c r="Q855" i="2"/>
  <c r="P855" i="2"/>
  <c r="R854" i="2"/>
  <c r="Q854" i="2"/>
  <c r="P854" i="2"/>
  <c r="R853" i="2"/>
  <c r="Q853" i="2"/>
  <c r="P853" i="2"/>
  <c r="R852" i="2"/>
  <c r="Q852" i="2"/>
  <c r="P852" i="2"/>
  <c r="R851" i="2"/>
  <c r="Q851" i="2"/>
  <c r="P851" i="2"/>
  <c r="R850" i="2"/>
  <c r="Q850" i="2"/>
  <c r="P850" i="2"/>
  <c r="R849" i="2"/>
  <c r="Q849" i="2"/>
  <c r="P849" i="2"/>
  <c r="R848" i="2"/>
  <c r="Q848" i="2"/>
  <c r="P848" i="2"/>
  <c r="R847" i="2"/>
  <c r="Q847" i="2"/>
  <c r="P847" i="2"/>
  <c r="R846" i="2"/>
  <c r="Q846" i="2"/>
  <c r="P846" i="2"/>
  <c r="R845" i="2"/>
  <c r="Q845" i="2"/>
  <c r="P845" i="2"/>
  <c r="R844" i="2"/>
  <c r="Q844" i="2"/>
  <c r="P844" i="2"/>
  <c r="R843" i="2"/>
  <c r="Q843" i="2"/>
  <c r="P843" i="2"/>
  <c r="R842" i="2"/>
  <c r="Q842" i="2"/>
  <c r="P842" i="2"/>
  <c r="R841" i="2"/>
  <c r="Q841" i="2"/>
  <c r="P841" i="2"/>
  <c r="R840" i="2"/>
  <c r="Q840" i="2"/>
  <c r="P840" i="2"/>
  <c r="R839" i="2"/>
  <c r="Q839" i="2"/>
  <c r="P839" i="2"/>
  <c r="R838" i="2"/>
  <c r="Q838" i="2"/>
  <c r="P838" i="2"/>
  <c r="R837" i="2"/>
  <c r="Q837" i="2"/>
  <c r="P837" i="2"/>
  <c r="R836" i="2"/>
  <c r="Q836" i="2"/>
  <c r="P836" i="2"/>
  <c r="R835" i="2"/>
  <c r="Q835" i="2"/>
  <c r="P835" i="2"/>
  <c r="R834" i="2"/>
  <c r="Q834" i="2"/>
  <c r="P834" i="2"/>
  <c r="R833" i="2"/>
  <c r="Q833" i="2"/>
  <c r="P833" i="2"/>
  <c r="R832" i="2"/>
  <c r="Q832" i="2"/>
  <c r="P832" i="2"/>
  <c r="R831" i="2"/>
  <c r="Q831" i="2"/>
  <c r="P831" i="2"/>
  <c r="R830" i="2"/>
  <c r="Q830" i="2"/>
  <c r="P830" i="2"/>
  <c r="R829" i="2"/>
  <c r="Q829" i="2"/>
  <c r="P829" i="2"/>
  <c r="R828" i="2"/>
  <c r="Q828" i="2"/>
  <c r="P828" i="2"/>
  <c r="R827" i="2"/>
  <c r="Q827" i="2"/>
  <c r="P827" i="2"/>
  <c r="R826" i="2"/>
  <c r="Q826" i="2"/>
  <c r="P826" i="2"/>
  <c r="R825" i="2"/>
  <c r="Q825" i="2"/>
  <c r="P825" i="2"/>
  <c r="R824" i="2"/>
  <c r="Q824" i="2"/>
  <c r="P824" i="2"/>
  <c r="R823" i="2"/>
  <c r="Q823" i="2"/>
  <c r="P823" i="2"/>
  <c r="R822" i="2"/>
  <c r="Q822" i="2"/>
  <c r="P822" i="2"/>
  <c r="R821" i="2"/>
  <c r="Q821" i="2"/>
  <c r="P821" i="2"/>
  <c r="R820" i="2"/>
  <c r="Q820" i="2"/>
  <c r="P820" i="2"/>
  <c r="R819" i="2"/>
  <c r="Q819" i="2"/>
  <c r="P819" i="2"/>
  <c r="R818" i="2"/>
  <c r="Q818" i="2"/>
  <c r="P818" i="2"/>
  <c r="R817" i="2"/>
  <c r="Q817" i="2"/>
  <c r="P817" i="2"/>
  <c r="R816" i="2"/>
  <c r="Q816" i="2"/>
  <c r="P816" i="2"/>
  <c r="R815" i="2"/>
  <c r="Q815" i="2"/>
  <c r="P815" i="2"/>
  <c r="R814" i="2"/>
  <c r="Q814" i="2"/>
  <c r="P814" i="2"/>
  <c r="R813" i="2"/>
  <c r="Q813" i="2"/>
  <c r="P813" i="2"/>
  <c r="R812" i="2"/>
  <c r="Q812" i="2"/>
  <c r="P812" i="2"/>
  <c r="R811" i="2"/>
  <c r="Q811" i="2"/>
  <c r="P811" i="2"/>
  <c r="R810" i="2"/>
  <c r="Q810" i="2"/>
  <c r="P810" i="2"/>
  <c r="R809" i="2"/>
  <c r="Q809" i="2"/>
  <c r="P809" i="2"/>
  <c r="R808" i="2"/>
  <c r="Q808" i="2"/>
  <c r="P808" i="2"/>
  <c r="R807" i="2"/>
  <c r="Q807" i="2"/>
  <c r="P807" i="2"/>
  <c r="R806" i="2"/>
  <c r="Q806" i="2"/>
  <c r="P806" i="2"/>
  <c r="R805" i="2"/>
  <c r="Q805" i="2"/>
  <c r="P805" i="2"/>
  <c r="R804" i="2"/>
  <c r="Q804" i="2"/>
  <c r="P804" i="2"/>
  <c r="R803" i="2"/>
  <c r="Q803" i="2"/>
  <c r="P803" i="2"/>
  <c r="R802" i="2"/>
  <c r="Q802" i="2"/>
  <c r="P802" i="2"/>
  <c r="R801" i="2"/>
  <c r="Q801" i="2"/>
  <c r="P801" i="2"/>
  <c r="R800" i="2"/>
  <c r="Q800" i="2"/>
  <c r="P800" i="2"/>
  <c r="R799" i="2"/>
  <c r="Q799" i="2"/>
  <c r="P799" i="2"/>
  <c r="R798" i="2"/>
  <c r="Q798" i="2"/>
  <c r="P798" i="2"/>
  <c r="R797" i="2"/>
  <c r="Q797" i="2"/>
  <c r="P797" i="2"/>
  <c r="R796" i="2"/>
  <c r="Q796" i="2"/>
  <c r="P796" i="2"/>
  <c r="R795" i="2"/>
  <c r="Q795" i="2"/>
  <c r="P795" i="2"/>
  <c r="R794" i="2"/>
  <c r="Q794" i="2"/>
  <c r="P794" i="2"/>
  <c r="R793" i="2"/>
  <c r="Q793" i="2"/>
  <c r="P793" i="2"/>
  <c r="R792" i="2"/>
  <c r="Q792" i="2"/>
  <c r="P792" i="2"/>
  <c r="R791" i="2"/>
  <c r="Q791" i="2"/>
  <c r="P791" i="2"/>
  <c r="R790" i="2"/>
  <c r="Q790" i="2"/>
  <c r="P790" i="2"/>
  <c r="R789" i="2"/>
  <c r="Q789" i="2"/>
  <c r="P789" i="2"/>
  <c r="R788" i="2"/>
  <c r="Q788" i="2"/>
  <c r="P788" i="2"/>
  <c r="R787" i="2"/>
  <c r="Q787" i="2"/>
  <c r="P787" i="2"/>
  <c r="R786" i="2"/>
  <c r="Q786" i="2"/>
  <c r="P786" i="2"/>
  <c r="R785" i="2"/>
  <c r="Q785" i="2"/>
  <c r="P785" i="2"/>
  <c r="R784" i="2"/>
  <c r="Q784" i="2"/>
  <c r="P784" i="2"/>
  <c r="R783" i="2"/>
  <c r="Q783" i="2"/>
  <c r="P783" i="2"/>
  <c r="R782" i="2"/>
  <c r="Q782" i="2"/>
  <c r="P782" i="2"/>
  <c r="R781" i="2"/>
  <c r="Q781" i="2"/>
  <c r="P781" i="2"/>
  <c r="R780" i="2"/>
  <c r="Q780" i="2"/>
  <c r="P780" i="2"/>
  <c r="R779" i="2"/>
  <c r="Q779" i="2"/>
  <c r="P779" i="2"/>
  <c r="R778" i="2"/>
  <c r="Q778" i="2"/>
  <c r="P778" i="2"/>
  <c r="R777" i="2"/>
  <c r="Q777" i="2"/>
  <c r="P777" i="2"/>
  <c r="R776" i="2"/>
  <c r="Q776" i="2"/>
  <c r="P776" i="2"/>
  <c r="R775" i="2"/>
  <c r="Q775" i="2"/>
  <c r="P775" i="2"/>
  <c r="R774" i="2"/>
  <c r="Q774" i="2"/>
  <c r="P774" i="2"/>
  <c r="R773" i="2"/>
  <c r="Q773" i="2"/>
  <c r="P773" i="2"/>
  <c r="R772" i="2"/>
  <c r="Q772" i="2"/>
  <c r="P772" i="2"/>
  <c r="R771" i="2"/>
  <c r="Q771" i="2"/>
  <c r="P771" i="2"/>
  <c r="R770" i="2"/>
  <c r="Q770" i="2"/>
  <c r="P770" i="2"/>
  <c r="R769" i="2"/>
  <c r="Q769" i="2"/>
  <c r="P769" i="2"/>
  <c r="R768" i="2"/>
  <c r="Q768" i="2"/>
  <c r="P768" i="2"/>
  <c r="R767" i="2"/>
  <c r="Q767" i="2"/>
  <c r="P767" i="2"/>
  <c r="R766" i="2"/>
  <c r="Q766" i="2"/>
  <c r="P766" i="2"/>
  <c r="R765" i="2"/>
  <c r="Q765" i="2"/>
  <c r="P765" i="2"/>
  <c r="R764" i="2"/>
  <c r="Q764" i="2"/>
  <c r="P764" i="2"/>
  <c r="R763" i="2"/>
  <c r="Q763" i="2"/>
  <c r="P763" i="2"/>
  <c r="R762" i="2"/>
  <c r="Q762" i="2"/>
  <c r="P762" i="2"/>
  <c r="R761" i="2"/>
  <c r="Q761" i="2"/>
  <c r="P761" i="2"/>
  <c r="R760" i="2"/>
  <c r="Q760" i="2"/>
  <c r="P760" i="2"/>
  <c r="R759" i="2"/>
  <c r="Q759" i="2"/>
  <c r="P759" i="2"/>
  <c r="R758" i="2"/>
  <c r="Q758" i="2"/>
  <c r="P758" i="2"/>
  <c r="R757" i="2"/>
  <c r="Q757" i="2"/>
  <c r="P757" i="2"/>
  <c r="R756" i="2"/>
  <c r="Q756" i="2"/>
  <c r="P756" i="2"/>
  <c r="R755" i="2"/>
  <c r="Q755" i="2"/>
  <c r="P755" i="2"/>
  <c r="R754" i="2"/>
  <c r="Q754" i="2"/>
  <c r="P754" i="2"/>
  <c r="R753" i="2"/>
  <c r="Q753" i="2"/>
  <c r="P753" i="2"/>
  <c r="R752" i="2"/>
  <c r="Q752" i="2"/>
  <c r="P752" i="2"/>
  <c r="R751" i="2"/>
  <c r="Q751" i="2"/>
  <c r="P751" i="2"/>
  <c r="R750" i="2"/>
  <c r="Q750" i="2"/>
  <c r="P750" i="2"/>
  <c r="R749" i="2"/>
  <c r="Q749" i="2"/>
  <c r="P749" i="2"/>
  <c r="R748" i="2"/>
  <c r="Q748" i="2"/>
  <c r="P748" i="2"/>
  <c r="R747" i="2"/>
  <c r="Q747" i="2"/>
  <c r="P747" i="2"/>
  <c r="R746" i="2"/>
  <c r="Q746" i="2"/>
  <c r="P746" i="2"/>
  <c r="R745" i="2"/>
  <c r="Q745" i="2"/>
  <c r="P745" i="2"/>
  <c r="R744" i="2"/>
  <c r="Q744" i="2"/>
  <c r="P744" i="2"/>
  <c r="R743" i="2"/>
  <c r="Q743" i="2"/>
  <c r="P743" i="2"/>
  <c r="R742" i="2"/>
  <c r="Q742" i="2"/>
  <c r="P742" i="2"/>
  <c r="R741" i="2"/>
  <c r="Q741" i="2"/>
  <c r="P741" i="2"/>
  <c r="R740" i="2"/>
  <c r="Q740" i="2"/>
  <c r="P740" i="2"/>
  <c r="R739" i="2"/>
  <c r="Q739" i="2"/>
  <c r="P739" i="2"/>
  <c r="R738" i="2"/>
  <c r="Q738" i="2"/>
  <c r="P738" i="2"/>
  <c r="R737" i="2"/>
  <c r="Q737" i="2"/>
  <c r="P737" i="2"/>
  <c r="R736" i="2"/>
  <c r="Q736" i="2"/>
  <c r="P736" i="2"/>
  <c r="R735" i="2"/>
  <c r="Q735" i="2"/>
  <c r="P735" i="2"/>
  <c r="R734" i="2"/>
  <c r="Q734" i="2"/>
  <c r="P734" i="2"/>
  <c r="R733" i="2"/>
  <c r="Q733" i="2"/>
  <c r="P733" i="2"/>
  <c r="R732" i="2"/>
  <c r="Q732" i="2"/>
  <c r="P732" i="2"/>
  <c r="R731" i="2"/>
  <c r="Q731" i="2"/>
  <c r="P731" i="2"/>
  <c r="R730" i="2"/>
  <c r="Q730" i="2"/>
  <c r="P730" i="2"/>
  <c r="R729" i="2"/>
  <c r="Q729" i="2"/>
  <c r="P729" i="2"/>
  <c r="R728" i="2"/>
  <c r="Q728" i="2"/>
  <c r="P728" i="2"/>
  <c r="R727" i="2"/>
  <c r="Q727" i="2"/>
  <c r="P727" i="2"/>
  <c r="R726" i="2"/>
  <c r="Q726" i="2"/>
  <c r="P726" i="2"/>
  <c r="R725" i="2"/>
  <c r="Q725" i="2"/>
  <c r="P725" i="2"/>
  <c r="R724" i="2"/>
  <c r="Q724" i="2"/>
  <c r="P724" i="2"/>
  <c r="R723" i="2"/>
  <c r="Q723" i="2"/>
  <c r="P723" i="2"/>
  <c r="R722" i="2"/>
  <c r="Q722" i="2"/>
  <c r="P722" i="2"/>
  <c r="R721" i="2"/>
  <c r="Q721" i="2"/>
  <c r="P721" i="2"/>
  <c r="R720" i="2"/>
  <c r="Q720" i="2"/>
  <c r="P720" i="2"/>
  <c r="R719" i="2"/>
  <c r="Q719" i="2"/>
  <c r="P719" i="2"/>
  <c r="R718" i="2"/>
  <c r="Q718" i="2"/>
  <c r="P718" i="2"/>
  <c r="R717" i="2"/>
  <c r="Q717" i="2"/>
  <c r="P717" i="2"/>
  <c r="R716" i="2"/>
  <c r="Q716" i="2"/>
  <c r="P716" i="2"/>
  <c r="R715" i="2"/>
  <c r="Q715" i="2"/>
  <c r="P715" i="2"/>
  <c r="R714" i="2"/>
  <c r="Q714" i="2"/>
  <c r="P714" i="2"/>
  <c r="R713" i="2"/>
  <c r="Q713" i="2"/>
  <c r="P713" i="2"/>
  <c r="R712" i="2"/>
  <c r="Q712" i="2"/>
  <c r="P712" i="2"/>
  <c r="R711" i="2"/>
  <c r="Q711" i="2"/>
  <c r="P711" i="2"/>
  <c r="R710" i="2"/>
  <c r="Q710" i="2"/>
  <c r="P710" i="2"/>
  <c r="R709" i="2"/>
  <c r="Q709" i="2"/>
  <c r="P709" i="2"/>
  <c r="R708" i="2"/>
  <c r="Q708" i="2"/>
  <c r="P708" i="2"/>
  <c r="R707" i="2"/>
  <c r="Q707" i="2"/>
  <c r="P707" i="2"/>
  <c r="R706" i="2"/>
  <c r="Q706" i="2"/>
  <c r="P706" i="2"/>
  <c r="R705" i="2"/>
  <c r="Q705" i="2"/>
  <c r="P705" i="2"/>
  <c r="R704" i="2"/>
  <c r="Q704" i="2"/>
  <c r="P704" i="2"/>
  <c r="R703" i="2"/>
  <c r="Q703" i="2"/>
  <c r="P703" i="2"/>
  <c r="R702" i="2"/>
  <c r="Q702" i="2"/>
  <c r="P702" i="2"/>
  <c r="R701" i="2"/>
  <c r="Q701" i="2"/>
  <c r="P701" i="2"/>
  <c r="R700" i="2"/>
  <c r="Q700" i="2"/>
  <c r="P700" i="2"/>
  <c r="R699" i="2"/>
  <c r="Q699" i="2"/>
  <c r="P699" i="2"/>
  <c r="R698" i="2"/>
  <c r="Q698" i="2"/>
  <c r="P698" i="2"/>
  <c r="R697" i="2"/>
  <c r="Q697" i="2"/>
  <c r="P697" i="2"/>
  <c r="R696" i="2"/>
  <c r="Q696" i="2"/>
  <c r="P696" i="2"/>
  <c r="R695" i="2"/>
  <c r="Q695" i="2"/>
  <c r="P695" i="2"/>
  <c r="R694" i="2"/>
  <c r="Q694" i="2"/>
  <c r="P694" i="2"/>
  <c r="R693" i="2"/>
  <c r="Q693" i="2"/>
  <c r="P693" i="2"/>
  <c r="R692" i="2"/>
  <c r="Q692" i="2"/>
  <c r="P692" i="2"/>
  <c r="R691" i="2"/>
  <c r="Q691" i="2"/>
  <c r="P691" i="2"/>
  <c r="R690" i="2"/>
  <c r="Q690" i="2"/>
  <c r="P690" i="2"/>
  <c r="R689" i="2"/>
  <c r="Q689" i="2"/>
  <c r="P689" i="2"/>
  <c r="R688" i="2"/>
  <c r="Q688" i="2"/>
  <c r="P688" i="2"/>
  <c r="R687" i="2"/>
  <c r="Q687" i="2"/>
  <c r="P687" i="2"/>
  <c r="R686" i="2"/>
  <c r="Q686" i="2"/>
  <c r="P686" i="2"/>
  <c r="R685" i="2"/>
  <c r="Q685" i="2"/>
  <c r="P685" i="2"/>
  <c r="R684" i="2"/>
  <c r="Q684" i="2"/>
  <c r="P684" i="2"/>
  <c r="R683" i="2"/>
  <c r="Q683" i="2"/>
  <c r="P683" i="2"/>
  <c r="R682" i="2"/>
  <c r="Q682" i="2"/>
  <c r="P682" i="2"/>
  <c r="R681" i="2"/>
  <c r="Q681" i="2"/>
  <c r="P681" i="2"/>
  <c r="R680" i="2"/>
  <c r="Q680" i="2"/>
  <c r="P680" i="2"/>
  <c r="R679" i="2"/>
  <c r="Q679" i="2"/>
  <c r="P679" i="2"/>
  <c r="R678" i="2"/>
  <c r="Q678" i="2"/>
  <c r="P678" i="2"/>
  <c r="R677" i="2"/>
  <c r="Q677" i="2"/>
  <c r="P677" i="2"/>
  <c r="R676" i="2"/>
  <c r="Q676" i="2"/>
  <c r="P676" i="2"/>
  <c r="R675" i="2"/>
  <c r="Q675" i="2"/>
  <c r="P675" i="2"/>
  <c r="R674" i="2"/>
  <c r="Q674" i="2"/>
  <c r="P674" i="2"/>
  <c r="R673" i="2"/>
  <c r="Q673" i="2"/>
  <c r="P673" i="2"/>
  <c r="R672" i="2"/>
  <c r="Q672" i="2"/>
  <c r="P672" i="2"/>
  <c r="R671" i="2"/>
  <c r="Q671" i="2"/>
  <c r="P671" i="2"/>
  <c r="R670" i="2"/>
  <c r="Q670" i="2"/>
  <c r="P670" i="2"/>
  <c r="R669" i="2"/>
  <c r="Q669" i="2"/>
  <c r="P669" i="2"/>
  <c r="R668" i="2"/>
  <c r="Q668" i="2"/>
  <c r="P668" i="2"/>
  <c r="R667" i="2"/>
  <c r="Q667" i="2"/>
  <c r="P667" i="2"/>
  <c r="R666" i="2"/>
  <c r="Q666" i="2"/>
  <c r="P666" i="2"/>
  <c r="R665" i="2"/>
  <c r="Q665" i="2"/>
  <c r="P665" i="2"/>
  <c r="R664" i="2"/>
  <c r="Q664" i="2"/>
  <c r="P664" i="2"/>
  <c r="R663" i="2"/>
  <c r="Q663" i="2"/>
  <c r="P663" i="2"/>
  <c r="R662" i="2"/>
  <c r="Q662" i="2"/>
  <c r="P662" i="2"/>
  <c r="R661" i="2"/>
  <c r="Q661" i="2"/>
  <c r="P661" i="2"/>
  <c r="R660" i="2"/>
  <c r="Q660" i="2"/>
  <c r="P660" i="2"/>
  <c r="R659" i="2"/>
  <c r="Q659" i="2"/>
  <c r="P659" i="2"/>
  <c r="R658" i="2"/>
  <c r="Q658" i="2"/>
  <c r="P658" i="2"/>
  <c r="R657" i="2"/>
  <c r="Q657" i="2"/>
  <c r="P657" i="2"/>
  <c r="R656" i="2"/>
  <c r="Q656" i="2"/>
  <c r="P656" i="2"/>
  <c r="R655" i="2"/>
  <c r="Q655" i="2"/>
  <c r="P655" i="2"/>
  <c r="R654" i="2"/>
  <c r="Q654" i="2"/>
  <c r="P654" i="2"/>
  <c r="R653" i="2"/>
  <c r="Q653" i="2"/>
  <c r="P653" i="2"/>
  <c r="R652" i="2"/>
  <c r="Q652" i="2"/>
  <c r="P652" i="2"/>
  <c r="R651" i="2"/>
  <c r="Q651" i="2"/>
  <c r="P651" i="2"/>
  <c r="R650" i="2"/>
  <c r="Q650" i="2"/>
  <c r="P650" i="2"/>
  <c r="R649" i="2"/>
  <c r="Q649" i="2"/>
  <c r="P649" i="2"/>
  <c r="R648" i="2"/>
  <c r="Q648" i="2"/>
  <c r="P648" i="2"/>
  <c r="R647" i="2"/>
  <c r="Q647" i="2"/>
  <c r="P647" i="2"/>
  <c r="R646" i="2"/>
  <c r="Q646" i="2"/>
  <c r="P646" i="2"/>
  <c r="R645" i="2"/>
  <c r="Q645" i="2"/>
  <c r="P645" i="2"/>
  <c r="R644" i="2"/>
  <c r="Q644" i="2"/>
  <c r="P644" i="2"/>
  <c r="R643" i="2"/>
  <c r="Q643" i="2"/>
  <c r="P643" i="2"/>
  <c r="R642" i="2"/>
  <c r="Q642" i="2"/>
  <c r="P642" i="2"/>
  <c r="R641" i="2"/>
  <c r="Q641" i="2"/>
  <c r="P641" i="2"/>
  <c r="R640" i="2"/>
  <c r="Q640" i="2"/>
  <c r="P640" i="2"/>
  <c r="R639" i="2"/>
  <c r="Q639" i="2"/>
  <c r="P639" i="2"/>
  <c r="R638" i="2"/>
  <c r="Q638" i="2"/>
  <c r="P638" i="2"/>
  <c r="R637" i="2"/>
  <c r="Q637" i="2"/>
  <c r="P637" i="2"/>
  <c r="R636" i="2"/>
  <c r="Q636" i="2"/>
  <c r="P636" i="2"/>
  <c r="R635" i="2"/>
  <c r="Q635" i="2"/>
  <c r="P635" i="2"/>
  <c r="R634" i="2"/>
  <c r="Q634" i="2"/>
  <c r="P634" i="2"/>
  <c r="R633" i="2"/>
  <c r="Q633" i="2"/>
  <c r="P633" i="2"/>
  <c r="R632" i="2"/>
  <c r="Q632" i="2"/>
  <c r="P632" i="2"/>
  <c r="R631" i="2"/>
  <c r="Q631" i="2"/>
  <c r="P631" i="2"/>
  <c r="R630" i="2"/>
  <c r="Q630" i="2"/>
  <c r="P630" i="2"/>
  <c r="R629" i="2"/>
  <c r="Q629" i="2"/>
  <c r="P629" i="2"/>
  <c r="R628" i="2"/>
  <c r="Q628" i="2"/>
  <c r="P628" i="2"/>
  <c r="R627" i="2"/>
  <c r="Q627" i="2"/>
  <c r="P627" i="2"/>
  <c r="R626" i="2"/>
  <c r="Q626" i="2"/>
  <c r="P626" i="2"/>
  <c r="R625" i="2"/>
  <c r="Q625" i="2"/>
  <c r="P625" i="2"/>
  <c r="R624" i="2"/>
  <c r="Q624" i="2"/>
  <c r="P624" i="2"/>
  <c r="R623" i="2"/>
  <c r="Q623" i="2"/>
  <c r="P623" i="2"/>
  <c r="R622" i="2"/>
  <c r="Q622" i="2"/>
  <c r="P622" i="2"/>
  <c r="R621" i="2"/>
  <c r="Q621" i="2"/>
  <c r="P621" i="2"/>
  <c r="R620" i="2"/>
  <c r="Q620" i="2"/>
  <c r="P620" i="2"/>
  <c r="R619" i="2"/>
  <c r="Q619" i="2"/>
  <c r="P619" i="2"/>
  <c r="R618" i="2"/>
  <c r="Q618" i="2"/>
  <c r="P618" i="2"/>
  <c r="R617" i="2"/>
  <c r="Q617" i="2"/>
  <c r="P617" i="2"/>
  <c r="R616" i="2"/>
  <c r="Q616" i="2"/>
  <c r="P616" i="2"/>
  <c r="R615" i="2"/>
  <c r="Q615" i="2"/>
  <c r="P615" i="2"/>
  <c r="R614" i="2"/>
  <c r="Q614" i="2"/>
  <c r="P614" i="2"/>
  <c r="R613" i="2"/>
  <c r="Q613" i="2"/>
  <c r="P613" i="2"/>
  <c r="R612" i="2"/>
  <c r="Q612" i="2"/>
  <c r="P612" i="2"/>
  <c r="R611" i="2"/>
  <c r="Q611" i="2"/>
  <c r="P611" i="2"/>
  <c r="R610" i="2"/>
  <c r="Q610" i="2"/>
  <c r="P610" i="2"/>
  <c r="R609" i="2"/>
  <c r="Q609" i="2"/>
  <c r="P609" i="2"/>
  <c r="R608" i="2"/>
  <c r="Q608" i="2"/>
  <c r="P608" i="2"/>
  <c r="R607" i="2"/>
  <c r="Q607" i="2"/>
  <c r="P607" i="2"/>
  <c r="R606" i="2"/>
  <c r="Q606" i="2"/>
  <c r="P606" i="2"/>
  <c r="R605" i="2"/>
  <c r="Q605" i="2"/>
  <c r="P605" i="2"/>
  <c r="R604" i="2"/>
  <c r="Q604" i="2"/>
  <c r="P604" i="2"/>
  <c r="R603" i="2"/>
  <c r="Q603" i="2"/>
  <c r="P603" i="2"/>
  <c r="R602" i="2"/>
  <c r="Q602" i="2"/>
  <c r="P602" i="2"/>
  <c r="R601" i="2"/>
  <c r="Q601" i="2"/>
  <c r="P601" i="2"/>
  <c r="R600" i="2"/>
  <c r="Q600" i="2"/>
  <c r="P600" i="2"/>
  <c r="R599" i="2"/>
  <c r="Q599" i="2"/>
  <c r="P599" i="2"/>
  <c r="R598" i="2"/>
  <c r="Q598" i="2"/>
  <c r="P598" i="2"/>
  <c r="R597" i="2"/>
  <c r="Q597" i="2"/>
  <c r="P597" i="2"/>
  <c r="R596" i="2"/>
  <c r="Q596" i="2"/>
  <c r="P596" i="2"/>
  <c r="R595" i="2"/>
  <c r="Q595" i="2"/>
  <c r="P595" i="2"/>
  <c r="R594" i="2"/>
  <c r="Q594" i="2"/>
  <c r="P594" i="2"/>
  <c r="R593" i="2"/>
  <c r="Q593" i="2"/>
  <c r="P593" i="2"/>
  <c r="R592" i="2"/>
  <c r="Q592" i="2"/>
  <c r="P592" i="2"/>
  <c r="R591" i="2"/>
  <c r="Q591" i="2"/>
  <c r="P591" i="2"/>
  <c r="R590" i="2"/>
  <c r="Q590" i="2"/>
  <c r="P590" i="2"/>
  <c r="R589" i="2"/>
  <c r="Q589" i="2"/>
  <c r="P589" i="2"/>
  <c r="R588" i="2"/>
  <c r="Q588" i="2"/>
  <c r="P588" i="2"/>
  <c r="R587" i="2"/>
  <c r="Q587" i="2"/>
  <c r="P587" i="2"/>
  <c r="R586" i="2"/>
  <c r="Q586" i="2"/>
  <c r="P586" i="2"/>
  <c r="R585" i="2"/>
  <c r="Q585" i="2"/>
  <c r="P585" i="2"/>
  <c r="R584" i="2"/>
  <c r="Q584" i="2"/>
  <c r="P584" i="2"/>
  <c r="R583" i="2"/>
  <c r="Q583" i="2"/>
  <c r="P583" i="2"/>
  <c r="R582" i="2"/>
  <c r="Q582" i="2"/>
  <c r="P582" i="2"/>
  <c r="R581" i="2"/>
  <c r="Q581" i="2"/>
  <c r="P581" i="2"/>
  <c r="R580" i="2"/>
  <c r="Q580" i="2"/>
  <c r="P580" i="2"/>
  <c r="R579" i="2"/>
  <c r="Q579" i="2"/>
  <c r="P579" i="2"/>
  <c r="R578" i="2"/>
  <c r="Q578" i="2"/>
  <c r="P578" i="2"/>
  <c r="R577" i="2"/>
  <c r="Q577" i="2"/>
  <c r="P577" i="2"/>
  <c r="R576" i="2"/>
  <c r="Q576" i="2"/>
  <c r="P576" i="2"/>
  <c r="R575" i="2"/>
  <c r="Q575" i="2"/>
  <c r="P575" i="2"/>
  <c r="R574" i="2"/>
  <c r="Q574" i="2"/>
  <c r="P574" i="2"/>
  <c r="R573" i="2"/>
  <c r="Q573" i="2"/>
  <c r="P573" i="2"/>
  <c r="R572" i="2"/>
  <c r="Q572" i="2"/>
  <c r="P572" i="2"/>
  <c r="R571" i="2"/>
  <c r="Q571" i="2"/>
  <c r="P571" i="2"/>
  <c r="R570" i="2"/>
  <c r="Q570" i="2"/>
  <c r="P570" i="2"/>
  <c r="R569" i="2"/>
  <c r="Q569" i="2"/>
  <c r="P569" i="2"/>
  <c r="R568" i="2"/>
  <c r="Q568" i="2"/>
  <c r="P568" i="2"/>
  <c r="R567" i="2"/>
  <c r="Q567" i="2"/>
  <c r="P567" i="2"/>
  <c r="R566" i="2"/>
  <c r="Q566" i="2"/>
  <c r="P566" i="2"/>
  <c r="R565" i="2"/>
  <c r="Q565" i="2"/>
  <c r="P565" i="2"/>
  <c r="R564" i="2"/>
  <c r="Q564" i="2"/>
  <c r="P564" i="2"/>
  <c r="R563" i="2"/>
  <c r="Q563" i="2"/>
  <c r="P563" i="2"/>
  <c r="R562" i="2"/>
  <c r="Q562" i="2"/>
  <c r="P562" i="2"/>
  <c r="R561" i="2"/>
  <c r="Q561" i="2"/>
  <c r="P561" i="2"/>
  <c r="R560" i="2"/>
  <c r="Q560" i="2"/>
  <c r="P560" i="2"/>
  <c r="R559" i="2"/>
  <c r="Q559" i="2"/>
  <c r="P559" i="2"/>
  <c r="R558" i="2"/>
  <c r="Q558" i="2"/>
  <c r="P558" i="2"/>
  <c r="R557" i="2"/>
  <c r="Q557" i="2"/>
  <c r="P557" i="2"/>
  <c r="R556" i="2"/>
  <c r="Q556" i="2"/>
  <c r="P556" i="2"/>
  <c r="R555" i="2"/>
  <c r="Q555" i="2"/>
  <c r="P555" i="2"/>
  <c r="R554" i="2"/>
  <c r="Q554" i="2"/>
  <c r="P554" i="2"/>
  <c r="R553" i="2"/>
  <c r="Q553" i="2"/>
  <c r="P553" i="2"/>
  <c r="R552" i="2"/>
  <c r="Q552" i="2"/>
  <c r="P552" i="2"/>
  <c r="R551" i="2"/>
  <c r="Q551" i="2"/>
  <c r="P551" i="2"/>
  <c r="R550" i="2"/>
  <c r="Q550" i="2"/>
  <c r="P550" i="2"/>
  <c r="R549" i="2"/>
  <c r="Q549" i="2"/>
  <c r="P549" i="2"/>
  <c r="R548" i="2"/>
  <c r="Q548" i="2"/>
  <c r="P548" i="2"/>
  <c r="R547" i="2"/>
  <c r="Q547" i="2"/>
  <c r="P547" i="2"/>
  <c r="R546" i="2"/>
  <c r="Q546" i="2"/>
  <c r="P546" i="2"/>
  <c r="R545" i="2"/>
  <c r="Q545" i="2"/>
  <c r="P545" i="2"/>
  <c r="R544" i="2"/>
  <c r="Q544" i="2"/>
  <c r="P544" i="2"/>
  <c r="R543" i="2"/>
  <c r="Q543" i="2"/>
  <c r="P543" i="2"/>
  <c r="R542" i="2"/>
  <c r="Q542" i="2"/>
  <c r="P542" i="2"/>
  <c r="R541" i="2"/>
  <c r="Q541" i="2"/>
  <c r="P541" i="2"/>
  <c r="R540" i="2"/>
  <c r="Q540" i="2"/>
  <c r="P540" i="2"/>
  <c r="R539" i="2"/>
  <c r="Q539" i="2"/>
  <c r="P539" i="2"/>
  <c r="R538" i="2"/>
  <c r="Q538" i="2"/>
  <c r="P538" i="2"/>
  <c r="R537" i="2"/>
  <c r="Q537" i="2"/>
  <c r="P537" i="2"/>
  <c r="R536" i="2"/>
  <c r="Q536" i="2"/>
  <c r="P536" i="2"/>
  <c r="R535" i="2"/>
  <c r="Q535" i="2"/>
  <c r="P535" i="2"/>
  <c r="R534" i="2"/>
  <c r="Q534" i="2"/>
  <c r="P534" i="2"/>
  <c r="R533" i="2"/>
  <c r="Q533" i="2"/>
  <c r="P533" i="2"/>
  <c r="R532" i="2"/>
  <c r="Q532" i="2"/>
  <c r="P532" i="2"/>
  <c r="R531" i="2"/>
  <c r="Q531" i="2"/>
  <c r="P531" i="2"/>
  <c r="R530" i="2"/>
  <c r="Q530" i="2"/>
  <c r="P530" i="2"/>
  <c r="R529" i="2"/>
  <c r="Q529" i="2"/>
  <c r="P529" i="2"/>
  <c r="R528" i="2"/>
  <c r="Q528" i="2"/>
  <c r="P528" i="2"/>
  <c r="R527" i="2"/>
  <c r="Q527" i="2"/>
  <c r="P527" i="2"/>
  <c r="R526" i="2"/>
  <c r="Q526" i="2"/>
  <c r="P526" i="2"/>
  <c r="R525" i="2"/>
  <c r="Q525" i="2"/>
  <c r="P525" i="2"/>
  <c r="R524" i="2"/>
  <c r="Q524" i="2"/>
  <c r="P524" i="2"/>
  <c r="R523" i="2"/>
  <c r="Q523" i="2"/>
  <c r="P523" i="2"/>
  <c r="R522" i="2"/>
  <c r="Q522" i="2"/>
  <c r="P522" i="2"/>
  <c r="R521" i="2"/>
  <c r="Q521" i="2"/>
  <c r="P521" i="2"/>
  <c r="R520" i="2"/>
  <c r="Q520" i="2"/>
  <c r="P520" i="2"/>
  <c r="R519" i="2"/>
  <c r="Q519" i="2"/>
  <c r="P519" i="2"/>
  <c r="R518" i="2"/>
  <c r="Q518" i="2"/>
  <c r="P518" i="2"/>
  <c r="R517" i="2"/>
  <c r="Q517" i="2"/>
  <c r="P517" i="2"/>
  <c r="R516" i="2"/>
  <c r="Q516" i="2"/>
  <c r="P516" i="2"/>
  <c r="R515" i="2"/>
  <c r="Q515" i="2"/>
  <c r="P515" i="2"/>
  <c r="R514" i="2"/>
  <c r="Q514" i="2"/>
  <c r="P514" i="2"/>
  <c r="R513" i="2"/>
  <c r="Q513" i="2"/>
  <c r="P513" i="2"/>
  <c r="R512" i="2"/>
  <c r="Q512" i="2"/>
  <c r="P512" i="2"/>
  <c r="R511" i="2"/>
  <c r="Q511" i="2"/>
  <c r="P511" i="2"/>
  <c r="R510" i="2"/>
  <c r="Q510" i="2"/>
  <c r="P510" i="2"/>
  <c r="R509" i="2"/>
  <c r="Q509" i="2"/>
  <c r="P509" i="2"/>
  <c r="R508" i="2"/>
  <c r="Q508" i="2"/>
  <c r="P508" i="2"/>
  <c r="R507" i="2"/>
  <c r="Q507" i="2"/>
  <c r="P507" i="2"/>
  <c r="R506" i="2"/>
  <c r="Q506" i="2"/>
  <c r="P506" i="2"/>
  <c r="R505" i="2"/>
  <c r="Q505" i="2"/>
  <c r="P505" i="2"/>
  <c r="R504" i="2"/>
  <c r="Q504" i="2"/>
  <c r="P504" i="2"/>
  <c r="R503" i="2"/>
  <c r="Q503" i="2"/>
  <c r="P503" i="2"/>
  <c r="R502" i="2"/>
  <c r="Q502" i="2"/>
  <c r="P502" i="2"/>
  <c r="R501" i="2"/>
  <c r="Q501" i="2"/>
  <c r="P501" i="2"/>
  <c r="R500" i="2"/>
  <c r="Q500" i="2"/>
  <c r="P500" i="2"/>
  <c r="R499" i="2"/>
  <c r="Q499" i="2"/>
  <c r="P499" i="2"/>
  <c r="R498" i="2"/>
  <c r="Q498" i="2"/>
  <c r="P498" i="2"/>
  <c r="R497" i="2"/>
  <c r="Q497" i="2"/>
  <c r="P497" i="2"/>
  <c r="R496" i="2"/>
  <c r="Q496" i="2"/>
  <c r="P496" i="2"/>
  <c r="R495" i="2"/>
  <c r="Q495" i="2"/>
  <c r="P495" i="2"/>
  <c r="R494" i="2"/>
  <c r="Q494" i="2"/>
  <c r="P494" i="2"/>
  <c r="R493" i="2"/>
  <c r="Q493" i="2"/>
  <c r="P493" i="2"/>
  <c r="R492" i="2"/>
  <c r="Q492" i="2"/>
  <c r="P492" i="2"/>
  <c r="R491" i="2"/>
  <c r="Q491" i="2"/>
  <c r="P491" i="2"/>
  <c r="R490" i="2"/>
  <c r="Q490" i="2"/>
  <c r="P490" i="2"/>
  <c r="R489" i="2"/>
  <c r="Q489" i="2"/>
  <c r="P489" i="2"/>
  <c r="R488" i="2"/>
  <c r="Q488" i="2"/>
  <c r="P488" i="2"/>
  <c r="R487" i="2"/>
  <c r="Q487" i="2"/>
  <c r="P487" i="2"/>
  <c r="R486" i="2"/>
  <c r="Q486" i="2"/>
  <c r="P486" i="2"/>
  <c r="R485" i="2"/>
  <c r="Q485" i="2"/>
  <c r="P485" i="2"/>
  <c r="R484" i="2"/>
  <c r="Q484" i="2"/>
  <c r="P484" i="2"/>
  <c r="R483" i="2"/>
  <c r="Q483" i="2"/>
  <c r="P483" i="2"/>
  <c r="R482" i="2"/>
  <c r="Q482" i="2"/>
  <c r="P482" i="2"/>
  <c r="R481" i="2"/>
  <c r="Q481" i="2"/>
  <c r="P481" i="2"/>
  <c r="R480" i="2"/>
  <c r="Q480" i="2"/>
  <c r="P480" i="2"/>
  <c r="R479" i="2"/>
  <c r="Q479" i="2"/>
  <c r="P479" i="2"/>
  <c r="R478" i="2"/>
  <c r="Q478" i="2"/>
  <c r="P478" i="2"/>
  <c r="R477" i="2"/>
  <c r="Q477" i="2"/>
  <c r="P477" i="2"/>
  <c r="R476" i="2"/>
  <c r="Q476" i="2"/>
  <c r="P476" i="2"/>
  <c r="R475" i="2"/>
  <c r="Q475" i="2"/>
  <c r="P475" i="2"/>
  <c r="R474" i="2"/>
  <c r="Q474" i="2"/>
  <c r="P474" i="2"/>
  <c r="R473" i="2"/>
  <c r="Q473" i="2"/>
  <c r="P473" i="2"/>
  <c r="R472" i="2"/>
  <c r="Q472" i="2"/>
  <c r="P472" i="2"/>
  <c r="R471" i="2"/>
  <c r="Q471" i="2"/>
  <c r="P471" i="2"/>
  <c r="R470" i="2"/>
  <c r="Q470" i="2"/>
  <c r="P470" i="2"/>
  <c r="R469" i="2"/>
  <c r="Q469" i="2"/>
  <c r="P469" i="2"/>
  <c r="R468" i="2"/>
  <c r="Q468" i="2"/>
  <c r="P468" i="2"/>
  <c r="R467" i="2"/>
  <c r="Q467" i="2"/>
  <c r="P467" i="2"/>
  <c r="R466" i="2"/>
  <c r="Q466" i="2"/>
  <c r="P466" i="2"/>
  <c r="R465" i="2"/>
  <c r="Q465" i="2"/>
  <c r="P465" i="2"/>
  <c r="R464" i="2"/>
  <c r="Q464" i="2"/>
  <c r="P464" i="2"/>
  <c r="R463" i="2"/>
  <c r="Q463" i="2"/>
  <c r="P463" i="2"/>
  <c r="R462" i="2"/>
  <c r="Q462" i="2"/>
  <c r="P462" i="2"/>
  <c r="R461" i="2"/>
  <c r="Q461" i="2"/>
  <c r="P461" i="2"/>
  <c r="R460" i="2"/>
  <c r="Q460" i="2"/>
  <c r="P460" i="2"/>
  <c r="R459" i="2"/>
  <c r="Q459" i="2"/>
  <c r="P459" i="2"/>
  <c r="R458" i="2"/>
  <c r="Q458" i="2"/>
  <c r="P458" i="2"/>
  <c r="R457" i="2"/>
  <c r="Q457" i="2"/>
  <c r="P457" i="2"/>
  <c r="R456" i="2"/>
  <c r="Q456" i="2"/>
  <c r="P456" i="2"/>
  <c r="R455" i="2"/>
  <c r="Q455" i="2"/>
  <c r="P455" i="2"/>
  <c r="R454" i="2"/>
  <c r="Q454" i="2"/>
  <c r="P454" i="2"/>
  <c r="R453" i="2"/>
  <c r="Q453" i="2"/>
  <c r="P453" i="2"/>
  <c r="R452" i="2"/>
  <c r="Q452" i="2"/>
  <c r="P452" i="2"/>
  <c r="R451" i="2"/>
  <c r="Q451" i="2"/>
  <c r="P451" i="2"/>
  <c r="R450" i="2"/>
  <c r="Q450" i="2"/>
  <c r="P450" i="2"/>
  <c r="R449" i="2"/>
  <c r="Q449" i="2"/>
  <c r="P449" i="2"/>
  <c r="R448" i="2"/>
  <c r="Q448" i="2"/>
  <c r="P448" i="2"/>
  <c r="R447" i="2"/>
  <c r="Q447" i="2"/>
  <c r="P447" i="2"/>
  <c r="R446" i="2"/>
  <c r="Q446" i="2"/>
  <c r="P446" i="2"/>
  <c r="R445" i="2"/>
  <c r="Q445" i="2"/>
  <c r="P445" i="2"/>
  <c r="R444" i="2"/>
  <c r="Q444" i="2"/>
  <c r="P444" i="2"/>
  <c r="R443" i="2"/>
  <c r="Q443" i="2"/>
  <c r="P443" i="2"/>
  <c r="R442" i="2"/>
  <c r="Q442" i="2"/>
  <c r="P442" i="2"/>
  <c r="R441" i="2"/>
  <c r="Q441" i="2"/>
  <c r="P441" i="2"/>
  <c r="R440" i="2"/>
  <c r="Q440" i="2"/>
  <c r="P440" i="2"/>
  <c r="R439" i="2"/>
  <c r="Q439" i="2"/>
  <c r="P439" i="2"/>
  <c r="R438" i="2"/>
  <c r="Q438" i="2"/>
  <c r="P438" i="2"/>
  <c r="R437" i="2"/>
  <c r="Q437" i="2"/>
  <c r="P437" i="2"/>
  <c r="R436" i="2"/>
  <c r="Q436" i="2"/>
  <c r="P436" i="2"/>
  <c r="R435" i="2"/>
  <c r="Q435" i="2"/>
  <c r="P435" i="2"/>
  <c r="R434" i="2"/>
  <c r="Q434" i="2"/>
  <c r="P434" i="2"/>
  <c r="R433" i="2"/>
  <c r="Q433" i="2"/>
  <c r="P433" i="2"/>
  <c r="R432" i="2"/>
  <c r="Q432" i="2"/>
  <c r="P432" i="2"/>
  <c r="R431" i="2"/>
  <c r="Q431" i="2"/>
  <c r="P431" i="2"/>
  <c r="R430" i="2"/>
  <c r="Q430" i="2"/>
  <c r="P430" i="2"/>
  <c r="R429" i="2"/>
  <c r="Q429" i="2"/>
  <c r="P429" i="2"/>
  <c r="R428" i="2"/>
  <c r="Q428" i="2"/>
  <c r="P428" i="2"/>
  <c r="R427" i="2"/>
  <c r="Q427" i="2"/>
  <c r="P427" i="2"/>
  <c r="R426" i="2"/>
  <c r="Q426" i="2"/>
  <c r="P426" i="2"/>
  <c r="R425" i="2"/>
  <c r="Q425" i="2"/>
  <c r="P425" i="2"/>
  <c r="R424" i="2"/>
  <c r="Q424" i="2"/>
  <c r="P424" i="2"/>
  <c r="R423" i="2"/>
  <c r="Q423" i="2"/>
  <c r="P423" i="2"/>
  <c r="R422" i="2"/>
  <c r="Q422" i="2"/>
  <c r="P422" i="2"/>
  <c r="R421" i="2"/>
  <c r="Q421" i="2"/>
  <c r="P421" i="2"/>
  <c r="R420" i="2"/>
  <c r="Q420" i="2"/>
  <c r="P420" i="2"/>
  <c r="R419" i="2"/>
  <c r="Q419" i="2"/>
  <c r="P419" i="2"/>
  <c r="R418" i="2"/>
  <c r="Q418" i="2"/>
  <c r="P418" i="2"/>
  <c r="R417" i="2"/>
  <c r="Q417" i="2"/>
  <c r="P417" i="2"/>
  <c r="R416" i="2"/>
  <c r="Q416" i="2"/>
  <c r="P416" i="2"/>
  <c r="R415" i="2"/>
  <c r="Q415" i="2"/>
  <c r="P415" i="2"/>
  <c r="R414" i="2"/>
  <c r="Q414" i="2"/>
  <c r="P414" i="2"/>
  <c r="R413" i="2"/>
  <c r="Q413" i="2"/>
  <c r="P413" i="2"/>
  <c r="R412" i="2"/>
  <c r="Q412" i="2"/>
  <c r="P412" i="2"/>
  <c r="R411" i="2"/>
  <c r="Q411" i="2"/>
  <c r="P411" i="2"/>
  <c r="R410" i="2"/>
  <c r="Q410" i="2"/>
  <c r="P410" i="2"/>
  <c r="R409" i="2"/>
  <c r="Q409" i="2"/>
  <c r="P409" i="2"/>
  <c r="R408" i="2"/>
  <c r="Q408" i="2"/>
  <c r="P408" i="2"/>
  <c r="R407" i="2"/>
  <c r="Q407" i="2"/>
  <c r="P407" i="2"/>
  <c r="R406" i="2"/>
  <c r="Q406" i="2"/>
  <c r="P406" i="2"/>
  <c r="R405" i="2"/>
  <c r="Q405" i="2"/>
  <c r="P405" i="2"/>
  <c r="R404" i="2"/>
  <c r="Q404" i="2"/>
  <c r="P404" i="2"/>
  <c r="R403" i="2"/>
  <c r="Q403" i="2"/>
  <c r="P403" i="2"/>
  <c r="R402" i="2"/>
  <c r="Q402" i="2"/>
  <c r="P402" i="2"/>
  <c r="R401" i="2"/>
  <c r="Q401" i="2"/>
  <c r="P401" i="2"/>
  <c r="R400" i="2"/>
  <c r="Q400" i="2"/>
  <c r="P400" i="2"/>
  <c r="R399" i="2"/>
  <c r="Q399" i="2"/>
  <c r="P399" i="2"/>
  <c r="R398" i="2"/>
  <c r="Q398" i="2"/>
  <c r="P398" i="2"/>
  <c r="R397" i="2"/>
  <c r="Q397" i="2"/>
  <c r="P397" i="2"/>
  <c r="R396" i="2"/>
  <c r="Q396" i="2"/>
  <c r="P396" i="2"/>
  <c r="R395" i="2"/>
  <c r="Q395" i="2"/>
  <c r="P395" i="2"/>
  <c r="R394" i="2"/>
  <c r="Q394" i="2"/>
  <c r="P394" i="2"/>
  <c r="R393" i="2"/>
  <c r="Q393" i="2"/>
  <c r="P393" i="2"/>
  <c r="R392" i="2"/>
  <c r="Q392" i="2"/>
  <c r="P392" i="2"/>
  <c r="R391" i="2"/>
  <c r="Q391" i="2"/>
  <c r="P391" i="2"/>
  <c r="R390" i="2"/>
  <c r="Q390" i="2"/>
  <c r="P390" i="2"/>
  <c r="R389" i="2"/>
  <c r="Q389" i="2"/>
  <c r="P389" i="2"/>
  <c r="R388" i="2"/>
  <c r="Q388" i="2"/>
  <c r="P388" i="2"/>
  <c r="R387" i="2"/>
  <c r="Q387" i="2"/>
  <c r="P387" i="2"/>
  <c r="R386" i="2"/>
  <c r="Q386" i="2"/>
  <c r="P386" i="2"/>
  <c r="R385" i="2"/>
  <c r="Q385" i="2"/>
  <c r="P385" i="2"/>
  <c r="R384" i="2"/>
  <c r="Q384" i="2"/>
  <c r="P384" i="2"/>
  <c r="R383" i="2"/>
  <c r="Q383" i="2"/>
  <c r="P383" i="2"/>
  <c r="R382" i="2"/>
  <c r="Q382" i="2"/>
  <c r="P382" i="2"/>
  <c r="R381" i="2"/>
  <c r="Q381" i="2"/>
  <c r="P381" i="2"/>
  <c r="R380" i="2"/>
  <c r="Q380" i="2"/>
  <c r="P380" i="2"/>
  <c r="R379" i="2"/>
  <c r="Q379" i="2"/>
  <c r="P379" i="2"/>
  <c r="R378" i="2"/>
  <c r="Q378" i="2"/>
  <c r="P378" i="2"/>
  <c r="R377" i="2"/>
  <c r="Q377" i="2"/>
  <c r="P377" i="2"/>
  <c r="R376" i="2"/>
  <c r="Q376" i="2"/>
  <c r="P376" i="2"/>
  <c r="R375" i="2"/>
  <c r="Q375" i="2"/>
  <c r="P375" i="2"/>
  <c r="R374" i="2"/>
  <c r="Q374" i="2"/>
  <c r="P374" i="2"/>
  <c r="R373" i="2"/>
  <c r="Q373" i="2"/>
  <c r="P373" i="2"/>
  <c r="R372" i="2"/>
  <c r="Q372" i="2"/>
  <c r="P372" i="2"/>
  <c r="R371" i="2"/>
  <c r="Q371" i="2"/>
  <c r="P371" i="2"/>
  <c r="R370" i="2"/>
  <c r="Q370" i="2"/>
  <c r="P370" i="2"/>
  <c r="R369" i="2"/>
  <c r="Q369" i="2"/>
  <c r="P369" i="2"/>
  <c r="R368" i="2"/>
  <c r="Q368" i="2"/>
  <c r="P368" i="2"/>
  <c r="R367" i="2"/>
  <c r="Q367" i="2"/>
  <c r="P367" i="2"/>
  <c r="R366" i="2"/>
  <c r="Q366" i="2"/>
  <c r="P366" i="2"/>
  <c r="R365" i="2"/>
  <c r="Q365" i="2"/>
  <c r="P365" i="2"/>
  <c r="R364" i="2"/>
  <c r="Q364" i="2"/>
  <c r="P364" i="2"/>
  <c r="R363" i="2"/>
  <c r="Q363" i="2"/>
  <c r="P363" i="2"/>
  <c r="R362" i="2"/>
  <c r="Q362" i="2"/>
  <c r="P362" i="2"/>
  <c r="R361" i="2"/>
  <c r="Q361" i="2"/>
  <c r="P361" i="2"/>
  <c r="R360" i="2"/>
  <c r="Q360" i="2"/>
  <c r="P360" i="2"/>
  <c r="R359" i="2"/>
  <c r="Q359" i="2"/>
  <c r="P359" i="2"/>
  <c r="R358" i="2"/>
  <c r="Q358" i="2"/>
  <c r="P358" i="2"/>
  <c r="R357" i="2"/>
  <c r="Q357" i="2"/>
  <c r="P357" i="2"/>
  <c r="R356" i="2"/>
  <c r="Q356" i="2"/>
  <c r="P356" i="2"/>
  <c r="R355" i="2"/>
  <c r="Q355" i="2"/>
  <c r="P355" i="2"/>
  <c r="R354" i="2"/>
  <c r="Q354" i="2"/>
  <c r="P354" i="2"/>
  <c r="R353" i="2"/>
  <c r="Q353" i="2"/>
  <c r="P353" i="2"/>
  <c r="R352" i="2"/>
  <c r="Q352" i="2"/>
  <c r="P352" i="2"/>
  <c r="R351" i="2"/>
  <c r="Q351" i="2"/>
  <c r="P351" i="2"/>
  <c r="R350" i="2"/>
  <c r="Q350" i="2"/>
  <c r="P350" i="2"/>
  <c r="R349" i="2"/>
  <c r="Q349" i="2"/>
  <c r="P349" i="2"/>
  <c r="R348" i="2"/>
  <c r="Q348" i="2"/>
  <c r="P348" i="2"/>
  <c r="R347" i="2"/>
  <c r="Q347" i="2"/>
  <c r="P347" i="2"/>
  <c r="R346" i="2"/>
  <c r="Q346" i="2"/>
  <c r="P346" i="2"/>
  <c r="R345" i="2"/>
  <c r="Q345" i="2"/>
  <c r="P345" i="2"/>
  <c r="R344" i="2"/>
  <c r="Q344" i="2"/>
  <c r="P344" i="2"/>
  <c r="R343" i="2"/>
  <c r="Q343" i="2"/>
  <c r="P343" i="2"/>
  <c r="R342" i="2"/>
  <c r="Q342" i="2"/>
  <c r="P342" i="2"/>
  <c r="R341" i="2"/>
  <c r="Q341" i="2"/>
  <c r="P341" i="2"/>
  <c r="R340" i="2"/>
  <c r="Q340" i="2"/>
  <c r="P340" i="2"/>
  <c r="R339" i="2"/>
  <c r="Q339" i="2"/>
  <c r="P339" i="2"/>
  <c r="R338" i="2"/>
  <c r="Q338" i="2"/>
  <c r="P338" i="2"/>
  <c r="R337" i="2"/>
  <c r="Q337" i="2"/>
  <c r="P337" i="2"/>
  <c r="R336" i="2"/>
  <c r="Q336" i="2"/>
  <c r="P336" i="2"/>
  <c r="R335" i="2"/>
  <c r="Q335" i="2"/>
  <c r="P335" i="2"/>
  <c r="R334" i="2"/>
  <c r="Q334" i="2"/>
  <c r="P334" i="2"/>
  <c r="R333" i="2"/>
  <c r="Q333" i="2"/>
  <c r="P333" i="2"/>
  <c r="R332" i="2"/>
  <c r="Q332" i="2"/>
  <c r="P332" i="2"/>
  <c r="R331" i="2"/>
  <c r="Q331" i="2"/>
  <c r="P331" i="2"/>
  <c r="R330" i="2"/>
  <c r="Q330" i="2"/>
  <c r="P330" i="2"/>
  <c r="R329" i="2"/>
  <c r="Q329" i="2"/>
  <c r="P329" i="2"/>
  <c r="R328" i="2"/>
  <c r="Q328" i="2"/>
  <c r="P328" i="2"/>
  <c r="R327" i="2"/>
  <c r="Q327" i="2"/>
  <c r="P327" i="2"/>
  <c r="R326" i="2"/>
  <c r="Q326" i="2"/>
  <c r="P326" i="2"/>
  <c r="R325" i="2"/>
  <c r="Q325" i="2"/>
  <c r="P325" i="2"/>
  <c r="R324" i="2"/>
  <c r="Q324" i="2"/>
  <c r="P324" i="2"/>
  <c r="R323" i="2"/>
  <c r="Q323" i="2"/>
  <c r="P323" i="2"/>
  <c r="R322" i="2"/>
  <c r="Q322" i="2"/>
  <c r="P322" i="2"/>
  <c r="R321" i="2"/>
  <c r="Q321" i="2"/>
  <c r="P321" i="2"/>
  <c r="R320" i="2"/>
  <c r="Q320" i="2"/>
  <c r="P320" i="2"/>
  <c r="R319" i="2"/>
  <c r="Q319" i="2"/>
  <c r="P319" i="2"/>
  <c r="R318" i="2"/>
  <c r="Q318" i="2"/>
  <c r="P318" i="2"/>
  <c r="R317" i="2"/>
  <c r="Q317" i="2"/>
  <c r="P317" i="2"/>
  <c r="R316" i="2"/>
  <c r="Q316" i="2"/>
  <c r="P316" i="2"/>
  <c r="R315" i="2"/>
  <c r="Q315" i="2"/>
  <c r="P315" i="2"/>
  <c r="R314" i="2"/>
  <c r="Q314" i="2"/>
  <c r="P314" i="2"/>
  <c r="R313" i="2"/>
  <c r="Q313" i="2"/>
  <c r="P313" i="2"/>
  <c r="R312" i="2"/>
  <c r="Q312" i="2"/>
  <c r="P312" i="2"/>
  <c r="R311" i="2"/>
  <c r="Q311" i="2"/>
  <c r="P311" i="2"/>
  <c r="R310" i="2"/>
  <c r="Q310" i="2"/>
  <c r="P310" i="2"/>
  <c r="R309" i="2"/>
  <c r="Q309" i="2"/>
  <c r="P309" i="2"/>
  <c r="R308" i="2"/>
  <c r="Q308" i="2"/>
  <c r="P308" i="2"/>
  <c r="R307" i="2"/>
  <c r="Q307" i="2"/>
  <c r="P307" i="2"/>
  <c r="R306" i="2"/>
  <c r="Q306" i="2"/>
  <c r="P306" i="2"/>
  <c r="R305" i="2"/>
  <c r="Q305" i="2"/>
  <c r="P305" i="2"/>
  <c r="R304" i="2"/>
  <c r="Q304" i="2"/>
  <c r="P304" i="2"/>
  <c r="R303" i="2"/>
  <c r="Q303" i="2"/>
  <c r="P303" i="2"/>
  <c r="R302" i="2"/>
  <c r="Q302" i="2"/>
  <c r="P302" i="2"/>
  <c r="R301" i="2"/>
  <c r="Q301" i="2"/>
  <c r="P301" i="2"/>
  <c r="R300" i="2"/>
  <c r="Q300" i="2"/>
  <c r="P300" i="2"/>
  <c r="R299" i="2"/>
  <c r="Q299" i="2"/>
  <c r="P299" i="2"/>
  <c r="R298" i="2"/>
  <c r="Q298" i="2"/>
  <c r="P298" i="2"/>
  <c r="R297" i="2"/>
  <c r="Q297" i="2"/>
  <c r="P297" i="2"/>
  <c r="R296" i="2"/>
  <c r="Q296" i="2"/>
  <c r="P296" i="2"/>
  <c r="R295" i="2"/>
  <c r="Q295" i="2"/>
  <c r="P295" i="2"/>
  <c r="R294" i="2"/>
  <c r="Q294" i="2"/>
  <c r="P294" i="2"/>
  <c r="R293" i="2"/>
  <c r="Q293" i="2"/>
  <c r="P293" i="2"/>
  <c r="R292" i="2"/>
  <c r="Q292" i="2"/>
  <c r="P292" i="2"/>
  <c r="R291" i="2"/>
  <c r="Q291" i="2"/>
  <c r="P291" i="2"/>
  <c r="R290" i="2"/>
  <c r="Q290" i="2"/>
  <c r="P290" i="2"/>
  <c r="R289" i="2"/>
  <c r="Q289" i="2"/>
  <c r="P289" i="2"/>
  <c r="R288" i="2"/>
  <c r="Q288" i="2"/>
  <c r="P288" i="2"/>
  <c r="R287" i="2"/>
  <c r="Q287" i="2"/>
  <c r="P287" i="2"/>
  <c r="R286" i="2"/>
  <c r="Q286" i="2"/>
  <c r="P286" i="2"/>
  <c r="R285" i="2"/>
  <c r="Q285" i="2"/>
  <c r="P285" i="2"/>
  <c r="R284" i="2"/>
  <c r="Q284" i="2"/>
  <c r="P284" i="2"/>
  <c r="R283" i="2"/>
  <c r="Q283" i="2"/>
  <c r="P283" i="2"/>
  <c r="R282" i="2"/>
  <c r="Q282" i="2"/>
  <c r="P282" i="2"/>
  <c r="R281" i="2"/>
  <c r="Q281" i="2"/>
  <c r="P281" i="2"/>
  <c r="R280" i="2"/>
  <c r="Q280" i="2"/>
  <c r="P280" i="2"/>
  <c r="R279" i="2"/>
  <c r="Q279" i="2"/>
  <c r="P279" i="2"/>
  <c r="R278" i="2"/>
  <c r="Q278" i="2"/>
  <c r="P278" i="2"/>
  <c r="R277" i="2"/>
  <c r="Q277" i="2"/>
  <c r="P277" i="2"/>
  <c r="R276" i="2"/>
  <c r="Q276" i="2"/>
  <c r="P276" i="2"/>
  <c r="R275" i="2"/>
  <c r="Q275" i="2"/>
  <c r="P275" i="2"/>
  <c r="R274" i="2"/>
  <c r="Q274" i="2"/>
  <c r="P274" i="2"/>
  <c r="R273" i="2"/>
  <c r="Q273" i="2"/>
  <c r="P273" i="2"/>
  <c r="R272" i="2"/>
  <c r="Q272" i="2"/>
  <c r="P272" i="2"/>
  <c r="R271" i="2"/>
  <c r="Q271" i="2"/>
  <c r="P271" i="2"/>
  <c r="R270" i="2"/>
  <c r="Q270" i="2"/>
  <c r="P270" i="2"/>
  <c r="R269" i="2"/>
  <c r="Q269" i="2"/>
  <c r="P269" i="2"/>
  <c r="R268" i="2"/>
  <c r="Q268" i="2"/>
  <c r="P268" i="2"/>
  <c r="R267" i="2"/>
  <c r="Q267" i="2"/>
  <c r="P267" i="2"/>
  <c r="R266" i="2"/>
  <c r="Q266" i="2"/>
  <c r="P266" i="2"/>
  <c r="R265" i="2"/>
  <c r="Q265" i="2"/>
  <c r="P265" i="2"/>
  <c r="R264" i="2"/>
  <c r="Q264" i="2"/>
  <c r="P264" i="2"/>
  <c r="R263" i="2"/>
  <c r="Q263" i="2"/>
  <c r="P263" i="2"/>
  <c r="R262" i="2"/>
  <c r="Q262" i="2"/>
  <c r="P262" i="2"/>
  <c r="R261" i="2"/>
  <c r="Q261" i="2"/>
  <c r="P261" i="2"/>
  <c r="R260" i="2"/>
  <c r="Q260" i="2"/>
  <c r="P260" i="2"/>
  <c r="R259" i="2"/>
  <c r="Q259" i="2"/>
  <c r="P259" i="2"/>
  <c r="R258" i="2"/>
  <c r="Q258" i="2"/>
  <c r="P258" i="2"/>
  <c r="R257" i="2"/>
  <c r="Q257" i="2"/>
  <c r="P257" i="2"/>
  <c r="R256" i="2"/>
  <c r="Q256" i="2"/>
  <c r="P256" i="2"/>
  <c r="R255" i="2"/>
  <c r="Q255" i="2"/>
  <c r="P255" i="2"/>
  <c r="R254" i="2"/>
  <c r="Q254" i="2"/>
  <c r="P254" i="2"/>
  <c r="R253" i="2"/>
  <c r="Q253" i="2"/>
  <c r="P253" i="2"/>
  <c r="R252" i="2"/>
  <c r="Q252" i="2"/>
  <c r="P252" i="2"/>
  <c r="R251" i="2"/>
  <c r="Q251" i="2"/>
  <c r="P251" i="2"/>
  <c r="R250" i="2"/>
  <c r="Q250" i="2"/>
  <c r="P250" i="2"/>
  <c r="R249" i="2"/>
  <c r="Q249" i="2"/>
  <c r="P249" i="2"/>
  <c r="R248" i="2"/>
  <c r="Q248" i="2"/>
  <c r="P248" i="2"/>
  <c r="R247" i="2"/>
  <c r="Q247" i="2"/>
  <c r="P247" i="2"/>
  <c r="R246" i="2"/>
  <c r="Q246" i="2"/>
  <c r="P246" i="2"/>
  <c r="R245" i="2"/>
  <c r="Q245" i="2"/>
  <c r="P245" i="2"/>
  <c r="R244" i="2"/>
  <c r="Q244" i="2"/>
  <c r="P244" i="2"/>
  <c r="R243" i="2"/>
  <c r="Q243" i="2"/>
  <c r="P243" i="2"/>
  <c r="R242" i="2"/>
  <c r="Q242" i="2"/>
  <c r="P242" i="2"/>
  <c r="R241" i="2"/>
  <c r="Q241" i="2"/>
  <c r="P241" i="2"/>
  <c r="R240" i="2"/>
  <c r="Q240" i="2"/>
  <c r="P240" i="2"/>
  <c r="R239" i="2"/>
  <c r="Q239" i="2"/>
  <c r="P239" i="2"/>
  <c r="R238" i="2"/>
  <c r="Q238" i="2"/>
  <c r="P238" i="2"/>
  <c r="R237" i="2"/>
  <c r="Q237" i="2"/>
  <c r="P237" i="2"/>
  <c r="R236" i="2"/>
  <c r="Q236" i="2"/>
  <c r="P236" i="2"/>
  <c r="R235" i="2"/>
  <c r="Q235" i="2"/>
  <c r="P235" i="2"/>
  <c r="R234" i="2"/>
  <c r="Q234" i="2"/>
  <c r="P234" i="2"/>
  <c r="R233" i="2"/>
  <c r="Q233" i="2"/>
  <c r="P233" i="2"/>
  <c r="R232" i="2"/>
  <c r="Q232" i="2"/>
  <c r="P232" i="2"/>
  <c r="R231" i="2"/>
  <c r="Q231" i="2"/>
  <c r="P231" i="2"/>
  <c r="R230" i="2"/>
  <c r="Q230" i="2"/>
  <c r="P230" i="2"/>
  <c r="R229" i="2"/>
  <c r="Q229" i="2"/>
  <c r="P229" i="2"/>
  <c r="R228" i="2"/>
  <c r="Q228" i="2"/>
  <c r="P228" i="2"/>
  <c r="R227" i="2"/>
  <c r="Q227" i="2"/>
  <c r="P227" i="2"/>
  <c r="R226" i="2"/>
  <c r="Q226" i="2"/>
  <c r="P226" i="2"/>
  <c r="R225" i="2"/>
  <c r="Q225" i="2"/>
  <c r="P225" i="2"/>
  <c r="R224" i="2"/>
  <c r="Q224" i="2"/>
  <c r="P224" i="2"/>
  <c r="R223" i="2"/>
  <c r="Q223" i="2"/>
  <c r="P223" i="2"/>
  <c r="R222" i="2"/>
  <c r="Q222" i="2"/>
  <c r="P222" i="2"/>
  <c r="R221" i="2"/>
  <c r="Q221" i="2"/>
  <c r="P221" i="2"/>
  <c r="R220" i="2"/>
  <c r="Q220" i="2"/>
  <c r="P220" i="2"/>
  <c r="R219" i="2"/>
  <c r="Q219" i="2"/>
  <c r="P219" i="2"/>
  <c r="R218" i="2"/>
  <c r="Q218" i="2"/>
  <c r="P218" i="2"/>
  <c r="R217" i="2"/>
  <c r="Q217" i="2"/>
  <c r="P217" i="2"/>
  <c r="R216" i="2"/>
  <c r="Q216" i="2"/>
  <c r="P216" i="2"/>
  <c r="R215" i="2"/>
  <c r="Q215" i="2"/>
  <c r="P215" i="2"/>
  <c r="R214" i="2"/>
  <c r="Q214" i="2"/>
  <c r="P214" i="2"/>
  <c r="R213" i="2"/>
  <c r="Q213" i="2"/>
  <c r="P213" i="2"/>
  <c r="R212" i="2"/>
  <c r="Q212" i="2"/>
  <c r="P212" i="2"/>
  <c r="R211" i="2"/>
  <c r="Q211" i="2"/>
  <c r="P211" i="2"/>
  <c r="R210" i="2"/>
  <c r="Q210" i="2"/>
  <c r="P210" i="2"/>
  <c r="R209" i="2"/>
  <c r="Q209" i="2"/>
  <c r="P209" i="2"/>
  <c r="R208" i="2"/>
  <c r="Q208" i="2"/>
  <c r="P208" i="2"/>
  <c r="R207" i="2"/>
  <c r="Q207" i="2"/>
  <c r="P207" i="2"/>
  <c r="R206" i="2"/>
  <c r="Q206" i="2"/>
  <c r="P206" i="2"/>
  <c r="R205" i="2"/>
  <c r="Q205" i="2"/>
  <c r="P205" i="2"/>
  <c r="R204" i="2"/>
  <c r="Q204" i="2"/>
  <c r="P204" i="2"/>
  <c r="R203" i="2"/>
  <c r="Q203" i="2"/>
  <c r="P203" i="2"/>
  <c r="R202" i="2"/>
  <c r="Q202" i="2"/>
  <c r="P202" i="2"/>
  <c r="R201" i="2"/>
  <c r="Q201" i="2"/>
  <c r="P201" i="2"/>
  <c r="R200" i="2"/>
  <c r="Q200" i="2"/>
  <c r="P200" i="2"/>
  <c r="R199" i="2"/>
  <c r="Q199" i="2"/>
  <c r="P199" i="2"/>
  <c r="R198" i="2"/>
  <c r="Q198" i="2"/>
  <c r="P198" i="2"/>
  <c r="R197" i="2"/>
  <c r="Q197" i="2"/>
  <c r="P197" i="2"/>
  <c r="R196" i="2"/>
  <c r="Q196" i="2"/>
  <c r="P196" i="2"/>
  <c r="R195" i="2"/>
  <c r="Q195" i="2"/>
  <c r="P195" i="2"/>
  <c r="R194" i="2"/>
  <c r="Q194" i="2"/>
  <c r="P194" i="2"/>
  <c r="R193" i="2"/>
  <c r="Q193" i="2"/>
  <c r="P193" i="2"/>
  <c r="R192" i="2"/>
  <c r="Q192" i="2"/>
  <c r="P192" i="2"/>
  <c r="R191" i="2"/>
  <c r="Q191" i="2"/>
  <c r="P191" i="2"/>
  <c r="R190" i="2"/>
  <c r="Q190" i="2"/>
  <c r="P190" i="2"/>
  <c r="R189" i="2"/>
  <c r="Q189" i="2"/>
  <c r="P189" i="2"/>
  <c r="R188" i="2"/>
  <c r="Q188" i="2"/>
  <c r="P188" i="2"/>
  <c r="R187" i="2"/>
  <c r="Q187" i="2"/>
  <c r="P187" i="2"/>
  <c r="R186" i="2"/>
  <c r="Q186" i="2"/>
  <c r="P186" i="2"/>
  <c r="R185" i="2"/>
  <c r="Q185" i="2"/>
  <c r="P185" i="2"/>
  <c r="R184" i="2"/>
  <c r="Q184" i="2"/>
  <c r="P184" i="2"/>
  <c r="R183" i="2"/>
  <c r="Q183" i="2"/>
  <c r="P183" i="2"/>
  <c r="R182" i="2"/>
  <c r="Q182" i="2"/>
  <c r="P182" i="2"/>
  <c r="R181" i="2"/>
  <c r="Q181" i="2"/>
  <c r="P181" i="2"/>
  <c r="R180" i="2"/>
  <c r="Q180" i="2"/>
  <c r="P180" i="2"/>
  <c r="R179" i="2"/>
  <c r="Q179" i="2"/>
  <c r="P179" i="2"/>
  <c r="R178" i="2"/>
  <c r="Q178" i="2"/>
  <c r="P178" i="2"/>
  <c r="R177" i="2"/>
  <c r="Q177" i="2"/>
  <c r="P177" i="2"/>
  <c r="R176" i="2"/>
  <c r="Q176" i="2"/>
  <c r="P176" i="2"/>
  <c r="R175" i="2"/>
  <c r="Q175" i="2"/>
  <c r="P175" i="2"/>
  <c r="R174" i="2"/>
  <c r="Q174" i="2"/>
  <c r="P174" i="2"/>
  <c r="R173" i="2"/>
  <c r="Q173" i="2"/>
  <c r="P173" i="2"/>
  <c r="R172" i="2"/>
  <c r="Q172" i="2"/>
  <c r="P172" i="2"/>
  <c r="R171" i="2"/>
  <c r="Q171" i="2"/>
  <c r="P171" i="2"/>
  <c r="R170" i="2"/>
  <c r="Q170" i="2"/>
  <c r="P170" i="2"/>
  <c r="R169" i="2"/>
  <c r="Q169" i="2"/>
  <c r="P169" i="2"/>
  <c r="R168" i="2"/>
  <c r="Q168" i="2"/>
  <c r="P168" i="2"/>
  <c r="R167" i="2"/>
  <c r="Q167" i="2"/>
  <c r="P167" i="2"/>
  <c r="R166" i="2"/>
  <c r="Q166" i="2"/>
  <c r="P166" i="2"/>
  <c r="R165" i="2"/>
  <c r="Q165" i="2"/>
  <c r="P165" i="2"/>
  <c r="R164" i="2"/>
  <c r="Q164" i="2"/>
  <c r="P164" i="2"/>
  <c r="R163" i="2"/>
  <c r="Q163" i="2"/>
  <c r="P163" i="2"/>
  <c r="R162" i="2"/>
  <c r="Q162" i="2"/>
  <c r="P162" i="2"/>
  <c r="R161" i="2"/>
  <c r="Q161" i="2"/>
  <c r="P161" i="2"/>
  <c r="R160" i="2"/>
  <c r="Q160" i="2"/>
  <c r="P160" i="2"/>
  <c r="R159" i="2"/>
  <c r="Q159" i="2"/>
  <c r="P159" i="2"/>
  <c r="R158" i="2"/>
  <c r="Q158" i="2"/>
  <c r="P158" i="2"/>
  <c r="R157" i="2"/>
  <c r="Q157" i="2"/>
  <c r="P157" i="2"/>
  <c r="R156" i="2"/>
  <c r="Q156" i="2"/>
  <c r="P156" i="2"/>
  <c r="R155" i="2"/>
  <c r="Q155" i="2"/>
  <c r="P155" i="2"/>
  <c r="R154" i="2"/>
  <c r="Q154" i="2"/>
  <c r="P154" i="2"/>
  <c r="R153" i="2"/>
  <c r="Q153" i="2"/>
  <c r="P153" i="2"/>
  <c r="R152" i="2"/>
  <c r="Q152" i="2"/>
  <c r="P152" i="2"/>
  <c r="R151" i="2"/>
  <c r="Q151" i="2"/>
  <c r="P151" i="2"/>
  <c r="R150" i="2"/>
  <c r="Q150" i="2"/>
  <c r="P150" i="2"/>
  <c r="R149" i="2"/>
  <c r="Q149" i="2"/>
  <c r="P149" i="2"/>
  <c r="R148" i="2"/>
  <c r="Q148" i="2"/>
  <c r="P148" i="2"/>
  <c r="R147" i="2"/>
  <c r="Q147" i="2"/>
  <c r="P147" i="2"/>
  <c r="R146" i="2"/>
  <c r="Q146" i="2"/>
  <c r="P146" i="2"/>
  <c r="R145" i="2"/>
  <c r="Q145" i="2"/>
  <c r="P145" i="2"/>
  <c r="R144" i="2"/>
  <c r="Q144" i="2"/>
  <c r="P144" i="2"/>
  <c r="R143" i="2"/>
  <c r="Q143" i="2"/>
  <c r="P143" i="2"/>
  <c r="R142" i="2"/>
  <c r="Q142" i="2"/>
  <c r="P142" i="2"/>
  <c r="R141" i="2"/>
  <c r="Q141" i="2"/>
  <c r="P141" i="2"/>
  <c r="R140" i="2"/>
  <c r="Q140" i="2"/>
  <c r="P140" i="2"/>
  <c r="R139" i="2"/>
  <c r="Q139" i="2"/>
  <c r="P139" i="2"/>
  <c r="R138" i="2"/>
  <c r="Q138" i="2"/>
  <c r="P138" i="2"/>
  <c r="R137" i="2"/>
  <c r="Q137" i="2"/>
  <c r="P137" i="2"/>
  <c r="R136" i="2"/>
  <c r="Q136" i="2"/>
  <c r="P136" i="2"/>
  <c r="R135" i="2"/>
  <c r="Q135" i="2"/>
  <c r="P135" i="2"/>
  <c r="R134" i="2"/>
  <c r="Q134" i="2"/>
  <c r="P134" i="2"/>
  <c r="R133" i="2"/>
  <c r="Q133" i="2"/>
  <c r="P133" i="2"/>
  <c r="R132" i="2"/>
  <c r="Q132" i="2"/>
  <c r="P132" i="2"/>
  <c r="R131" i="2"/>
  <c r="Q131" i="2"/>
  <c r="P131" i="2"/>
  <c r="R130" i="2"/>
  <c r="Q130" i="2"/>
  <c r="P130" i="2"/>
  <c r="R129" i="2"/>
  <c r="Q129" i="2"/>
  <c r="P129" i="2"/>
  <c r="R128" i="2"/>
  <c r="Q128" i="2"/>
  <c r="P128" i="2"/>
  <c r="R127" i="2"/>
  <c r="Q127" i="2"/>
  <c r="P127" i="2"/>
  <c r="R126" i="2"/>
  <c r="Q126" i="2"/>
  <c r="P126" i="2"/>
  <c r="R125" i="2"/>
  <c r="Q125" i="2"/>
  <c r="P125" i="2"/>
  <c r="R124" i="2"/>
  <c r="Q124" i="2"/>
  <c r="P124" i="2"/>
  <c r="R123" i="2"/>
  <c r="Q123" i="2"/>
  <c r="P123" i="2"/>
  <c r="R122" i="2"/>
  <c r="Q122" i="2"/>
  <c r="P122" i="2"/>
  <c r="R121" i="2"/>
  <c r="Q121" i="2"/>
  <c r="P121" i="2"/>
  <c r="R120" i="2"/>
  <c r="Q120" i="2"/>
  <c r="P120" i="2"/>
  <c r="R119" i="2"/>
  <c r="Q119" i="2"/>
  <c r="P119" i="2"/>
  <c r="R118" i="2"/>
  <c r="Q118" i="2"/>
  <c r="P118" i="2"/>
  <c r="R117" i="2"/>
  <c r="Q117" i="2"/>
  <c r="P117" i="2"/>
  <c r="R116" i="2"/>
  <c r="Q116" i="2"/>
  <c r="P116" i="2"/>
  <c r="R115" i="2"/>
  <c r="Q115" i="2"/>
  <c r="P115" i="2"/>
  <c r="R114" i="2"/>
  <c r="Q114" i="2"/>
  <c r="P114" i="2"/>
  <c r="R113" i="2"/>
  <c r="Q113" i="2"/>
  <c r="P113" i="2"/>
  <c r="R112" i="2"/>
  <c r="Q112" i="2"/>
  <c r="P112" i="2"/>
  <c r="R111" i="2"/>
  <c r="Q111" i="2"/>
  <c r="P111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R103" i="2"/>
  <c r="Q103" i="2"/>
  <c r="P103" i="2"/>
  <c r="R102" i="2"/>
  <c r="Q102" i="2"/>
  <c r="P102" i="2"/>
  <c r="R101" i="2"/>
  <c r="Q101" i="2"/>
  <c r="P101" i="2"/>
  <c r="R100" i="2"/>
  <c r="Q100" i="2"/>
  <c r="P100" i="2"/>
  <c r="R99" i="2"/>
  <c r="Q99" i="2"/>
  <c r="P99" i="2"/>
  <c r="R98" i="2"/>
  <c r="Q98" i="2"/>
  <c r="P98" i="2"/>
  <c r="R97" i="2"/>
  <c r="Q97" i="2"/>
  <c r="P97" i="2"/>
  <c r="R96" i="2"/>
  <c r="Q96" i="2"/>
  <c r="P96" i="2"/>
  <c r="R95" i="2"/>
  <c r="Q95" i="2"/>
  <c r="P95" i="2"/>
  <c r="R94" i="2"/>
  <c r="Q94" i="2"/>
  <c r="P94" i="2"/>
  <c r="R93" i="2"/>
  <c r="Q93" i="2"/>
  <c r="P93" i="2"/>
  <c r="R92" i="2"/>
  <c r="Q92" i="2"/>
  <c r="P92" i="2"/>
  <c r="R91" i="2"/>
  <c r="Q91" i="2"/>
  <c r="P91" i="2"/>
  <c r="R90" i="2"/>
  <c r="Q90" i="2"/>
  <c r="P90" i="2"/>
  <c r="R89" i="2"/>
  <c r="Q89" i="2"/>
  <c r="P89" i="2"/>
  <c r="R88" i="2"/>
  <c r="Q88" i="2"/>
  <c r="P88" i="2"/>
  <c r="R87" i="2"/>
  <c r="Q87" i="2"/>
  <c r="P87" i="2"/>
  <c r="R86" i="2"/>
  <c r="Q86" i="2"/>
  <c r="P86" i="2"/>
  <c r="R85" i="2"/>
  <c r="Q85" i="2"/>
  <c r="P85" i="2"/>
  <c r="R84" i="2"/>
  <c r="Q84" i="2"/>
  <c r="P84" i="2"/>
  <c r="R83" i="2"/>
  <c r="Q83" i="2"/>
  <c r="P83" i="2"/>
  <c r="R82" i="2"/>
  <c r="Q82" i="2"/>
  <c r="P82" i="2"/>
  <c r="R81" i="2"/>
  <c r="Q81" i="2"/>
  <c r="P81" i="2"/>
  <c r="R80" i="2"/>
  <c r="Q80" i="2"/>
  <c r="P80" i="2"/>
  <c r="R79" i="2"/>
  <c r="Q79" i="2"/>
  <c r="P79" i="2"/>
  <c r="R78" i="2"/>
  <c r="Q78" i="2"/>
  <c r="P78" i="2"/>
  <c r="R77" i="2"/>
  <c r="Q77" i="2"/>
  <c r="P77" i="2"/>
  <c r="R76" i="2"/>
  <c r="Q76" i="2"/>
  <c r="P76" i="2"/>
  <c r="R75" i="2"/>
  <c r="Q75" i="2"/>
  <c r="P75" i="2"/>
  <c r="R74" i="2"/>
  <c r="Q74" i="2"/>
  <c r="P74" i="2"/>
  <c r="R73" i="2"/>
  <c r="Q73" i="2"/>
  <c r="P73" i="2"/>
  <c r="R72" i="2"/>
  <c r="Q72" i="2"/>
  <c r="P72" i="2"/>
  <c r="R71" i="2"/>
  <c r="Q71" i="2"/>
  <c r="P71" i="2"/>
  <c r="R70" i="2"/>
  <c r="Q70" i="2"/>
  <c r="P70" i="2"/>
  <c r="R69" i="2"/>
  <c r="Q69" i="2"/>
  <c r="P69" i="2"/>
  <c r="R68" i="2"/>
  <c r="Q68" i="2"/>
  <c r="P68" i="2"/>
  <c r="R67" i="2"/>
  <c r="Q67" i="2"/>
  <c r="P67" i="2"/>
  <c r="R66" i="2"/>
  <c r="Q66" i="2"/>
  <c r="P66" i="2"/>
  <c r="R65" i="2"/>
  <c r="Q65" i="2"/>
  <c r="P65" i="2"/>
  <c r="R64" i="2"/>
  <c r="Q64" i="2"/>
  <c r="P64" i="2"/>
  <c r="R63" i="2"/>
  <c r="Q63" i="2"/>
  <c r="P63" i="2"/>
  <c r="R62" i="2"/>
  <c r="Q62" i="2"/>
  <c r="P62" i="2"/>
  <c r="R61" i="2"/>
  <c r="Q61" i="2"/>
  <c r="P61" i="2"/>
  <c r="R60" i="2"/>
  <c r="Q60" i="2"/>
  <c r="P60" i="2"/>
  <c r="R59" i="2"/>
  <c r="Q59" i="2"/>
  <c r="P59" i="2"/>
  <c r="R58" i="2"/>
  <c r="Q58" i="2"/>
  <c r="P58" i="2"/>
  <c r="R57" i="2"/>
  <c r="Q57" i="2"/>
  <c r="P57" i="2"/>
  <c r="R56" i="2"/>
  <c r="Q56" i="2"/>
  <c r="P56" i="2"/>
  <c r="R55" i="2"/>
  <c r="Q55" i="2"/>
  <c r="P55" i="2"/>
  <c r="R54" i="2"/>
  <c r="Q54" i="2"/>
  <c r="P54" i="2"/>
  <c r="R53" i="2"/>
  <c r="Q53" i="2"/>
  <c r="P53" i="2"/>
  <c r="R52" i="2"/>
  <c r="Q52" i="2"/>
  <c r="P52" i="2"/>
  <c r="R51" i="2"/>
  <c r="Q51" i="2"/>
  <c r="P51" i="2"/>
  <c r="R50" i="2"/>
  <c r="Q50" i="2"/>
  <c r="P50" i="2"/>
  <c r="R49" i="2"/>
  <c r="Q49" i="2"/>
  <c r="P49" i="2"/>
  <c r="R48" i="2"/>
  <c r="Q48" i="2"/>
  <c r="P48" i="2"/>
  <c r="R47" i="2"/>
  <c r="Q47" i="2"/>
  <c r="P47" i="2"/>
  <c r="R46" i="2"/>
  <c r="Q46" i="2"/>
  <c r="P46" i="2"/>
  <c r="R45" i="2"/>
  <c r="Q45" i="2"/>
  <c r="P45" i="2"/>
  <c r="R44" i="2"/>
  <c r="Q44" i="2"/>
  <c r="P44" i="2"/>
  <c r="R43" i="2"/>
  <c r="Q43" i="2"/>
  <c r="P43" i="2"/>
  <c r="R42" i="2"/>
  <c r="Q42" i="2"/>
  <c r="P42" i="2"/>
  <c r="R41" i="2"/>
  <c r="Q41" i="2"/>
  <c r="P41" i="2"/>
  <c r="R40" i="2"/>
  <c r="Q40" i="2"/>
  <c r="P40" i="2"/>
  <c r="R39" i="2"/>
  <c r="Q39" i="2"/>
  <c r="P39" i="2"/>
  <c r="R38" i="2"/>
  <c r="Q38" i="2"/>
  <c r="P38" i="2"/>
  <c r="R37" i="2"/>
  <c r="Q37" i="2"/>
  <c r="P37" i="2"/>
  <c r="R36" i="2"/>
  <c r="Q36" i="2"/>
  <c r="P36" i="2"/>
  <c r="R35" i="2"/>
  <c r="Q35" i="2"/>
  <c r="P35" i="2"/>
  <c r="R34" i="2"/>
  <c r="Q34" i="2"/>
  <c r="P34" i="2"/>
  <c r="R33" i="2"/>
  <c r="Q33" i="2"/>
  <c r="P33" i="2"/>
  <c r="R32" i="2"/>
  <c r="Q32" i="2"/>
  <c r="P32" i="2"/>
  <c r="R31" i="2"/>
  <c r="Q31" i="2"/>
  <c r="P31" i="2"/>
  <c r="R30" i="2"/>
  <c r="Q30" i="2"/>
  <c r="P30" i="2"/>
  <c r="R29" i="2"/>
  <c r="Q29" i="2"/>
  <c r="P29" i="2"/>
  <c r="R28" i="2"/>
  <c r="Q28" i="2"/>
  <c r="P28" i="2"/>
  <c r="R27" i="2"/>
  <c r="Q27" i="2"/>
  <c r="P27" i="2"/>
  <c r="R26" i="2"/>
  <c r="Q26" i="2"/>
  <c r="P26" i="2"/>
  <c r="R25" i="2"/>
  <c r="Q25" i="2"/>
  <c r="P25" i="2"/>
  <c r="R24" i="2"/>
  <c r="Q24" i="2"/>
  <c r="P24" i="2"/>
  <c r="R23" i="2"/>
  <c r="Q23" i="2"/>
  <c r="P23" i="2"/>
  <c r="R22" i="2"/>
  <c r="Q22" i="2"/>
  <c r="P22" i="2"/>
  <c r="R21" i="2"/>
  <c r="Q21" i="2"/>
  <c r="P21" i="2"/>
  <c r="R20" i="2"/>
  <c r="Q20" i="2"/>
  <c r="P20" i="2"/>
  <c r="R19" i="2"/>
  <c r="Q19" i="2"/>
  <c r="P19" i="2"/>
  <c r="R18" i="2"/>
  <c r="Q18" i="2"/>
  <c r="P18" i="2"/>
  <c r="R17" i="2"/>
  <c r="Q17" i="2"/>
  <c r="P17" i="2"/>
  <c r="R16" i="2"/>
  <c r="Q16" i="2"/>
  <c r="P16" i="2"/>
  <c r="R15" i="2"/>
  <c r="Q15" i="2"/>
  <c r="P15" i="2"/>
  <c r="R14" i="2"/>
  <c r="Q14" i="2"/>
  <c r="P14" i="2"/>
  <c r="R13" i="2"/>
  <c r="Q13" i="2"/>
  <c r="P13" i="2"/>
  <c r="R12" i="2"/>
  <c r="Q12" i="2"/>
  <c r="P12" i="2"/>
  <c r="R11" i="2"/>
  <c r="Q11" i="2"/>
  <c r="P11" i="2"/>
  <c r="R10" i="2"/>
  <c r="P10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72" i="2" l="1"/>
  <c r="B132" i="2" l="1"/>
  <c r="B162" i="2"/>
  <c r="B152" i="2"/>
  <c r="B142" i="2"/>
  <c r="B122" i="2"/>
  <c r="B112" i="2"/>
  <c r="AC36" i="1" l="1"/>
  <c r="AD36" i="1"/>
  <c r="AE36" i="1"/>
  <c r="AF36" i="1"/>
  <c r="AC37" i="1"/>
  <c r="AD37" i="1"/>
  <c r="AE37" i="1"/>
  <c r="AF37" i="1"/>
  <c r="AC38" i="1"/>
  <c r="AD38" i="1"/>
  <c r="AE38" i="1"/>
  <c r="AF38" i="1"/>
  <c r="AC39" i="1"/>
  <c r="AD39" i="1"/>
  <c r="AE39" i="1"/>
  <c r="AF39" i="1"/>
  <c r="AC40" i="1"/>
  <c r="AD40" i="1"/>
  <c r="AE40" i="1"/>
  <c r="AF40" i="1"/>
  <c r="AC35" i="1"/>
  <c r="AD35" i="1"/>
  <c r="AE35" i="1"/>
  <c r="AF35" i="1"/>
  <c r="A15" i="2" l="1"/>
  <c r="A14" i="2"/>
  <c r="A16" i="2" l="1"/>
  <c r="A17" i="2"/>
  <c r="AC1" i="2" l="1"/>
  <c r="A274" i="2" l="1"/>
  <c r="A21" i="2" l="1"/>
</calcChain>
</file>

<file path=xl/sharedStrings.xml><?xml version="1.0" encoding="utf-8"?>
<sst xmlns="http://schemas.openxmlformats.org/spreadsheetml/2006/main" count="51" uniqueCount="46">
  <si>
    <t>TL Intensity</t>
  </si>
  <si>
    <t>a.u.</t>
  </si>
  <si>
    <t>Intensity</t>
  </si>
  <si>
    <t>Tmin</t>
  </si>
  <si>
    <t>Tmax</t>
  </si>
  <si>
    <t>DosesMax</t>
  </si>
  <si>
    <t>DosesMin</t>
  </si>
  <si>
    <t>P1</t>
  </si>
  <si>
    <t>Residual Position</t>
  </si>
  <si>
    <t>Type:</t>
  </si>
  <si>
    <t>Ndata:</t>
  </si>
  <si>
    <t>Range:</t>
  </si>
  <si>
    <t>Name:</t>
  </si>
  <si>
    <t>BG:</t>
  </si>
  <si>
    <t>b:</t>
  </si>
  <si>
    <t>RT:</t>
  </si>
  <si>
    <t>-</t>
  </si>
  <si>
    <t>Notes:</t>
  </si>
  <si>
    <t>i</t>
  </si>
  <si>
    <t>T(i)</t>
  </si>
  <si>
    <t>L(i)</t>
  </si>
  <si>
    <t>BG Data</t>
  </si>
  <si>
    <t>Maximum</t>
  </si>
  <si>
    <t>Highest</t>
  </si>
  <si>
    <t>Medium</t>
  </si>
  <si>
    <t>Low</t>
  </si>
  <si>
    <t>Lowest</t>
  </si>
  <si>
    <t>CGCD</t>
  </si>
  <si>
    <t>Temperature</t>
  </si>
  <si>
    <t>Pn</t>
  </si>
  <si>
    <t>FitLum 1.1</t>
  </si>
  <si>
    <t>Dose</t>
  </si>
  <si>
    <t>Gy</t>
  </si>
  <si>
    <t>deixar tudo branco</t>
  </si>
  <si>
    <t>apagar a col1 dos registros de ajuste</t>
  </si>
  <si>
    <t>°C</t>
  </si>
  <si>
    <t xml:space="preserve"> </t>
  </si>
  <si>
    <t>P1-165,4</t>
  </si>
  <si>
    <t>P2-214,2</t>
  </si>
  <si>
    <t>P3-277,8</t>
  </si>
  <si>
    <t>P4-320,8</t>
  </si>
  <si>
    <t>P5-395,3</t>
  </si>
  <si>
    <t>Fit1</t>
  </si>
  <si>
    <t>Peak1</t>
  </si>
  <si>
    <t>TL (K)</t>
  </si>
  <si>
    <t>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</si>
</sst>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FOM= &quot;#,##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8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7" fillId="5" borderId="0" xfId="0" applyFont="1" applyFill="1" applyBorder="1"/>
    <xf numFmtId="0" fontId="7" fillId="5" borderId="0" xfId="0" applyFont="1" applyFill="1"/>
    <xf numFmtId="0" fontId="8" fillId="5" borderId="0" xfId="0" applyFont="1" applyFill="1" applyBorder="1" applyAlignment="1">
      <alignment horizontal="center"/>
    </xf>
    <xf numFmtId="0" fontId="7" fillId="5" borderId="0" xfId="0" quotePrefix="1" applyFont="1" applyFill="1" applyBorder="1"/>
    <xf numFmtId="0" fontId="8" fillId="5" borderId="0" xfId="0" applyFont="1" applyFill="1"/>
    <xf numFmtId="11" fontId="7" fillId="5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C5A"/>
      <color rgb="FF003C50"/>
      <color rgb="FF003264"/>
      <color rgb="FF003C64"/>
      <color rgb="FF1E3C64"/>
      <color rgb="FF003200"/>
      <color rgb="FF004600"/>
      <color rgb="FF143C50"/>
      <color rgb="FF001E00"/>
      <color rgb="FF002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060673836426"/>
          <c:y val="2.1611360940602058E-2"/>
          <c:w val="0.60611624533775388"/>
          <c:h val="0.82885911426821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rgbClr val="0078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57-4B50-871B-E3BFEABA4DE1}"/>
            </c:ext>
          </c:extLst>
        </c:ser>
        <c:ser>
          <c:idx val="1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rgbClr val="F004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57-4B50-871B-E3BFEABA4DE1}"/>
            </c:ext>
          </c:extLst>
        </c:ser>
        <c:ser>
          <c:idx val="2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00008C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57-4B50-871B-E3BFEABA4DE1}"/>
            </c:ext>
          </c:extLst>
        </c:ser>
        <c:ser>
          <c:idx val="3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rgbClr val="E6A0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57-4B50-871B-E3BFEABA4DE1}"/>
            </c:ext>
          </c:extLst>
        </c:ser>
        <c:ser>
          <c:idx val="4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rgbClr val="9600A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57-4B50-871B-E3BFEABA4DE1}"/>
            </c:ext>
          </c:extLst>
        </c:ser>
        <c:ser>
          <c:idx val="5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1400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57-4B50-871B-E3BFEABA4DE1}"/>
            </c:ext>
          </c:extLst>
        </c:ser>
        <c:ser>
          <c:idx val="6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E65A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57-4B50-871B-E3BFEABA4DE1}"/>
            </c:ext>
          </c:extLst>
        </c:ser>
        <c:ser>
          <c:idx val="7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rgbClr val="28697D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157-4B50-871B-E3BFEABA4DE1}"/>
            </c:ext>
          </c:extLst>
        </c:ser>
        <c:ser>
          <c:idx val="8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rgbClr val="FF5A5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157-4B50-871B-E3BFEABA4DE1}"/>
            </c:ext>
          </c:extLst>
        </c:ser>
        <c:ser>
          <c:idx val="9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rgbClr val="823C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157-4B50-871B-E3BFEABA4DE1}"/>
            </c:ext>
          </c:extLst>
        </c:ser>
        <c:ser>
          <c:idx val="10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157-4B50-871B-E3BFEABA4DE1}"/>
            </c:ext>
          </c:extLst>
        </c:ser>
        <c:ser>
          <c:idx val="11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157-4B50-871B-E3BFEABA4DE1}"/>
            </c:ext>
          </c:extLst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157-4B50-871B-E3BFEABA4DE1}"/>
            </c:ext>
          </c:extLst>
        </c:ser>
        <c:ser>
          <c:idx val="13"/>
          <c:order val="13"/>
          <c:tx>
            <c:v>Reference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157-4B50-871B-E3BFEABA4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760"/>
        <c:axId val="-395191392"/>
      </c:scatterChart>
      <c:valAx>
        <c:axId val="-395189760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Temperature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91392"/>
        <c:crosses val="autoZero"/>
        <c:crossBetween val="midCat"/>
        <c:majorUnit val="100"/>
        <c:minorUnit val="50"/>
      </c:valAx>
      <c:valAx>
        <c:axId val="-395191392"/>
        <c:scaling>
          <c:orientation val="minMax"/>
          <c:max val="1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TL 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89760"/>
        <c:crosses val="autoZero"/>
        <c:crossBetween val="midCat"/>
        <c:majorUnit val="400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2335039027053849"/>
          <c:y val="2.1270513596837737E-3"/>
          <c:w val="0.26875495523049786"/>
          <c:h val="0.835260418641139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'Growth-Plot'!$C$7</c:f>
              <c:strCache>
                <c:ptCount val="1"/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'Growth-Plot'!$C$8:$C$57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C6-4665-9C35-46EF6C7A8899}"/>
            </c:ext>
          </c:extLst>
        </c:ser>
        <c:ser>
          <c:idx val="1"/>
          <c:order val="1"/>
          <c:tx>
            <c:strRef>
              <c:f>'Growth-Plot'!$D$7</c:f>
              <c:strCache>
                <c:ptCount val="1"/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'Growth-Plot'!$D$8:$D$57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C6-4665-9C35-46EF6C7A8899}"/>
            </c:ext>
          </c:extLst>
        </c:ser>
        <c:ser>
          <c:idx val="2"/>
          <c:order val="2"/>
          <c:tx>
            <c:strRef>
              <c:f>'Growth-Plot'!$E$7</c:f>
              <c:strCache>
                <c:ptCount val="1"/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'Growth-Plot'!$E$8:$E$57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C6-4665-9C35-46EF6C7A8899}"/>
            </c:ext>
          </c:extLst>
        </c:ser>
        <c:ser>
          <c:idx val="3"/>
          <c:order val="3"/>
          <c:tx>
            <c:strRef>
              <c:f>'Growth-Plot'!$F$7</c:f>
              <c:strCache>
                <c:ptCount val="1"/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'Growth-Plot'!$F$8:$F$57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C6-4665-9C35-46EF6C7A8899}"/>
            </c:ext>
          </c:extLst>
        </c:ser>
        <c:ser>
          <c:idx val="4"/>
          <c:order val="4"/>
          <c:tx>
            <c:strRef>
              <c:f>'Growth-Plot'!$G$7</c:f>
              <c:strCache>
                <c:ptCount val="1"/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'Growth-Plot'!$G$8:$G$57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C6-4665-9C35-46EF6C7A8899}"/>
            </c:ext>
          </c:extLst>
        </c:ser>
        <c:ser>
          <c:idx val="5"/>
          <c:order val="5"/>
          <c:tx>
            <c:strRef>
              <c:f>'Growth-Plot'!$H$7</c:f>
              <c:strCache>
                <c:ptCount val="1"/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'Growth-Plot'!$H$8:$H$57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C6-4665-9C35-46EF6C7A8899}"/>
            </c:ext>
          </c:extLst>
        </c:ser>
        <c:ser>
          <c:idx val="6"/>
          <c:order val="6"/>
          <c:tx>
            <c:strRef>
              <c:f>'Growth-Plot'!$I$7</c:f>
              <c:strCache>
                <c:ptCount val="1"/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'Growth-Plot'!$I$8:$I$57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C6-4665-9C35-46EF6C7A8899}"/>
            </c:ext>
          </c:extLst>
        </c:ser>
        <c:ser>
          <c:idx val="7"/>
          <c:order val="7"/>
          <c:tx>
            <c:strRef>
              <c:f>'Growth-Plot'!$J$7</c:f>
              <c:strCache>
                <c:ptCount val="1"/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'Growth-Plot'!$J$8:$J$57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C6-4665-9C35-46EF6C7A8899}"/>
            </c:ext>
          </c:extLst>
        </c:ser>
        <c:ser>
          <c:idx val="8"/>
          <c:order val="8"/>
          <c:tx>
            <c:strRef>
              <c:f>'Growth-Plot'!$K$7</c:f>
              <c:strCache>
                <c:ptCount val="1"/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'Growth-Plot'!$K$8:$K$57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C6-4665-9C35-46EF6C7A8899}"/>
            </c:ext>
          </c:extLst>
        </c:ser>
        <c:ser>
          <c:idx val="9"/>
          <c:order val="9"/>
          <c:tx>
            <c:strRef>
              <c:f>'Growth-Plot'!$L$7</c:f>
              <c:strCache>
                <c:ptCount val="1"/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'Growth-Plot'!$L$8:$L$57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0C6-4665-9C35-46EF6C7A8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95200"/>
        <c:axId val="-395188128"/>
      </c:scatterChart>
      <c:valAx>
        <c:axId val="-39519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95188128"/>
        <c:crosses val="autoZero"/>
        <c:crossBetween val="midCat"/>
      </c:valAx>
      <c:valAx>
        <c:axId val="-39518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9519520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66843011133241"/>
          <c:y val="0.11053295421405658"/>
          <c:w val="0.68395721657315245"/>
          <c:h val="0.7440813648293963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TempData!$E$10</c:f>
              <c:strCache>
                <c:ptCount val="1"/>
                <c:pt idx="0">
                  <c:v>Peak1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0"/>
                </a:sys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TempData!$D$11:$D$60</c:f>
              <c:numCache>
                <c:formatCode>General</c:formatCode>
                <c:ptCount val="50"/>
              </c:numCache>
            </c:numRef>
          </c:xVal>
          <c:yVal>
            <c:numRef>
              <c:f>TempData!$E$11:$E$60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1-4B3F-9958-C9420940B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216"/>
        <c:axId val="-397696320"/>
      </c:scatterChart>
      <c:scatterChart>
        <c:scatterStyle val="smoothMarker"/>
        <c:varyColors val="0"/>
        <c:ser>
          <c:idx val="1"/>
          <c:order val="1"/>
          <c:tx>
            <c:strRef>
              <c:f>TempData!$C$10</c:f>
              <c:strCache>
                <c:ptCount val="1"/>
                <c:pt idx="0">
                  <c:v>Fit1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31-4B3F-9958-C9420940B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216"/>
        <c:axId val="-397696320"/>
      </c:scatterChart>
      <c:valAx>
        <c:axId val="-395189216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Dose (Gy)</a:t>
                </a:r>
              </a:p>
            </c:rich>
          </c:tx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7696320"/>
        <c:crosses val="autoZero"/>
        <c:crossBetween val="midCat"/>
        <c:majorUnit val="50"/>
      </c:valAx>
      <c:valAx>
        <c:axId val="-397696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89216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7620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1138767</xdr:colOff>
      <xdr:row>10</xdr:row>
      <xdr:rowOff>93132</xdr:rowOff>
    </xdr:from>
    <xdr:to>
      <xdr:col>10</xdr:col>
      <xdr:colOff>419101</xdr:colOff>
      <xdr:row>25</xdr:row>
      <xdr:rowOff>163629</xdr:rowOff>
    </xdr:to>
    <xdr:graphicFrame macro="">
      <xdr:nvGraphicFramePr>
        <xdr:cNvPr id="2" name="graph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1</xdr:row>
      <xdr:rowOff>19050</xdr:rowOff>
    </xdr:from>
    <xdr:to>
      <xdr:col>9</xdr:col>
      <xdr:colOff>581025</xdr:colOff>
      <xdr:row>5</xdr:row>
      <xdr:rowOff>28575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457699" y="209550"/>
          <a:ext cx="1666876" cy="7715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>
              <a:solidFill>
                <a:schemeClr val="bg1"/>
              </a:solidFill>
            </a:rPr>
            <a:t>Don't</a:t>
          </a:r>
          <a:r>
            <a:rPr lang="pt-BR" sz="1300" b="1" baseline="0">
              <a:solidFill>
                <a:schemeClr val="bg1"/>
              </a:solidFill>
            </a:rPr>
            <a:t> use this sheet,</a:t>
          </a:r>
          <a:br>
            <a:rPr lang="pt-BR" sz="1300" b="1" baseline="0">
              <a:solidFill>
                <a:schemeClr val="bg1"/>
              </a:solidFill>
            </a:rPr>
          </a:br>
          <a:r>
            <a:rPr lang="pt-BR" sz="1300" b="1" baseline="0">
              <a:solidFill>
                <a:schemeClr val="bg1"/>
              </a:solidFill>
            </a:rPr>
            <a:t>It is reserved for internal data</a:t>
          </a:r>
          <a:endParaRPr lang="pt-BR" sz="13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5</xdr:row>
          <xdr:rowOff>0</xdr:rowOff>
        </xdr:from>
        <xdr:to>
          <xdr:col>2</xdr:col>
          <xdr:colOff>7620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27518</xdr:colOff>
      <xdr:row>7</xdr:row>
      <xdr:rowOff>168273</xdr:rowOff>
    </xdr:from>
    <xdr:to>
      <xdr:col>6</xdr:col>
      <xdr:colOff>747184</xdr:colOff>
      <xdr:row>22</xdr:row>
      <xdr:rowOff>53973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729190</xdr:colOff>
      <xdr:row>7</xdr:row>
      <xdr:rowOff>168274</xdr:rowOff>
    </xdr:from>
    <xdr:to>
      <xdr:col>9</xdr:col>
      <xdr:colOff>866775</xdr:colOff>
      <xdr:row>22</xdr:row>
      <xdr:rowOff>53974</xdr:rowOff>
    </xdr:to>
    <xdr:graphicFrame macro="">
      <xdr:nvGraphicFramePr>
        <xdr:cNvPr id="2" name="graphD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F1010"/>
  <sheetViews>
    <sheetView tabSelected="1" zoomScaleNormal="100" workbookViewId="0">
      <selection activeCell="B5" sqref="B5:B8 B11:C11 O11"/>
    </sheetView>
  </sheetViews>
  <sheetFormatPr defaultRowHeight="14.4" x14ac:dyDescent="0.3"/>
  <cols>
    <col min="1" max="1" width="10" style="1" bestFit="1" customWidth="1"/>
    <col min="2" max="2" width="9.109375" style="1"/>
    <col min="3" max="3" width="11.44140625" style="1" customWidth="1"/>
    <col min="4" max="4" width="17.109375" style="1" customWidth="1"/>
    <col min="5" max="14" width="10.33203125" style="1" customWidth="1"/>
    <col min="15" max="15" width="9.109375" style="1"/>
    <col min="17" max="17" width="12" bestFit="1" customWidth="1"/>
    <col min="20" max="20" width="12.109375" bestFit="1" customWidth="1"/>
    <col min="21" max="22" width="12" bestFit="1" customWidth="1"/>
  </cols>
  <sheetData>
    <row r="1" spans="1:16" x14ac:dyDescent="0.3">
      <c r="A1" s="4" t="s">
        <v>30</v>
      </c>
      <c r="B1" s="2"/>
      <c r="C1" s="2"/>
      <c r="D1" s="9"/>
      <c r="E1" s="3"/>
      <c r="F1" s="3"/>
      <c r="G1" s="3"/>
      <c r="H1" s="3"/>
      <c r="I1" s="3"/>
      <c r="J1" s="3"/>
      <c r="K1" s="3"/>
      <c r="L1" s="3"/>
      <c r="M1" s="3"/>
      <c r="N1" s="3"/>
      <c r="O1" s="2"/>
    </row>
    <row r="2" spans="1:16" x14ac:dyDescent="0.3">
      <c r="A2" s="4" t="s">
        <v>9</v>
      </c>
      <c r="B2" s="2" t="s">
        <v>44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"/>
    </row>
    <row r="3" spans="1:16" x14ac:dyDescent="0.3">
      <c r="A3" s="4" t="s">
        <v>10</v>
      </c>
      <c r="B3" s="2" t="s">
        <v>45</v>
      </c>
      <c r="C3" s="2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6" x14ac:dyDescent="0.3">
      <c r="A4" s="4" t="s">
        <v>11</v>
      </c>
      <c r="B4" s="2" t="s">
        <v>16</v>
      </c>
      <c r="C4" s="7" t="s">
        <v>17</v>
      </c>
      <c r="D4" s="3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6" x14ac:dyDescent="0.3">
      <c r="A5" s="5" t="s">
        <v>12</v>
      </c>
      <c r="B5" s="2">
        <v>1</v>
      </c>
      <c r="C5" s="7" t="s">
        <v>16</v>
      </c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6" x14ac:dyDescent="0.3">
      <c r="A6" s="5" t="s">
        <v>13</v>
      </c>
      <c r="B6" s="2">
        <v>0</v>
      </c>
      <c r="C6" s="7" t="s">
        <v>16</v>
      </c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6" x14ac:dyDescent="0.3">
      <c r="A7" s="8" t="s">
        <v>14</v>
      </c>
      <c r="B7" s="2">
        <v>5</v>
      </c>
      <c r="C7" s="7" t="s">
        <v>16</v>
      </c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6" x14ac:dyDescent="0.3">
      <c r="A8" s="5" t="s">
        <v>15</v>
      </c>
      <c r="B8" s="2">
        <v>293</v>
      </c>
      <c r="C8" s="7" t="s">
        <v>16</v>
      </c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6" x14ac:dyDescent="0.3">
      <c r="A9" s="2"/>
      <c r="B9" s="2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6" x14ac:dyDescent="0.3">
      <c r="A10" s="4" t="s">
        <v>18</v>
      </c>
      <c r="B10" s="6" t="s">
        <v>19</v>
      </c>
      <c r="C10" s="6" t="s">
        <v>20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6" t="s">
        <v>21</v>
      </c>
    </row>
    <row r="11" spans="1:16" x14ac:dyDescent="0.3">
      <c r="A11" s="2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6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6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6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t="s">
        <v>36</v>
      </c>
    </row>
    <row r="15" spans="1:16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6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32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32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32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AC35">
        <f t="shared" ref="AC35:AF35" si="0">Q3-Q35</f>
        <v>0</v>
      </c>
      <c r="AD35">
        <f t="shared" si="0"/>
        <v>0</v>
      </c>
      <c r="AE35">
        <f t="shared" si="0"/>
        <v>0</v>
      </c>
      <c r="AF35">
        <f t="shared" si="0"/>
        <v>0</v>
      </c>
    </row>
    <row r="36" spans="1:32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AC36">
        <f t="shared" ref="AC36:AC40" si="1">Q4-Q36</f>
        <v>0</v>
      </c>
      <c r="AD36">
        <f t="shared" ref="AD36:AD40" si="2">R4-R36</f>
        <v>0</v>
      </c>
      <c r="AE36">
        <f t="shared" ref="AE36:AE40" si="3">S4-S36</f>
        <v>0</v>
      </c>
      <c r="AF36">
        <f t="shared" ref="AF36:AF40" si="4">T4-T36</f>
        <v>0</v>
      </c>
    </row>
    <row r="37" spans="1:32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AC37">
        <f t="shared" si="1"/>
        <v>0</v>
      </c>
      <c r="AD37">
        <f t="shared" si="2"/>
        <v>0</v>
      </c>
      <c r="AE37">
        <f t="shared" si="3"/>
        <v>0</v>
      </c>
      <c r="AF37">
        <f t="shared" si="4"/>
        <v>0</v>
      </c>
    </row>
    <row r="38" spans="1:32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AC38">
        <f t="shared" si="1"/>
        <v>0</v>
      </c>
      <c r="AD38">
        <f t="shared" si="2"/>
        <v>0</v>
      </c>
      <c r="AE38">
        <f t="shared" si="3"/>
        <v>0</v>
      </c>
      <c r="AF38">
        <f t="shared" si="4"/>
        <v>0</v>
      </c>
    </row>
    <row r="39" spans="1:32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AC39">
        <f t="shared" si="1"/>
        <v>0</v>
      </c>
      <c r="AD39">
        <f t="shared" si="2"/>
        <v>0</v>
      </c>
      <c r="AE39">
        <f t="shared" si="3"/>
        <v>0</v>
      </c>
      <c r="AF39">
        <f t="shared" si="4"/>
        <v>0</v>
      </c>
    </row>
    <row r="40" spans="1:32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AC40">
        <f t="shared" si="1"/>
        <v>0</v>
      </c>
      <c r="AD40">
        <f t="shared" si="2"/>
        <v>0</v>
      </c>
      <c r="AE40">
        <f t="shared" si="3"/>
        <v>0</v>
      </c>
      <c r="AF40">
        <f t="shared" si="4"/>
        <v>0</v>
      </c>
    </row>
    <row r="41" spans="1:32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32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32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32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32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32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32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32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  <row r="1002" spans="1:15" x14ac:dyDescent="0.3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</row>
    <row r="1003" spans="1:15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</row>
    <row r="1004" spans="1:15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</row>
    <row r="1005" spans="1:15" x14ac:dyDescent="0.3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</row>
    <row r="1006" spans="1:15" x14ac:dyDescent="0.3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</row>
    <row r="1007" spans="1:15" x14ac:dyDescent="0.3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</row>
    <row r="1008" spans="1:15" x14ac:dyDescent="0.3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</row>
    <row r="1009" spans="1:15" x14ac:dyDescent="0.3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</row>
    <row r="1010" spans="1:15" x14ac:dyDescent="0.3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Form">
                <anchor moveWithCells="1" sizeWithCells="1">
                  <from>
                    <xdr:col>2</xdr:col>
                    <xdr:colOff>0</xdr:colOff>
                    <xdr:row>1</xdr:row>
                    <xdr:rowOff>7620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8</xdr:row>
                    <xdr:rowOff>7620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C1598"/>
  <sheetViews>
    <sheetView workbookViewId="0">
      <selection activeCell="P11" sqref="P11:R1010"/>
    </sheetView>
  </sheetViews>
  <sheetFormatPr defaultColWidth="9.109375" defaultRowHeight="14.4" x14ac:dyDescent="0.3"/>
  <cols>
    <col min="1" max="1" width="10.44140625" style="16" bestFit="1" customWidth="1"/>
    <col min="2" max="2" width="9.5546875" style="16" bestFit="1" customWidth="1"/>
    <col min="3" max="6" width="11.21875" style="16" bestFit="1" customWidth="1"/>
    <col min="7" max="10" width="9.5546875" style="16" bestFit="1" customWidth="1"/>
    <col min="11" max="11" width="12.44140625" style="16" bestFit="1" customWidth="1"/>
    <col min="12" max="12" width="9.5546875" style="16" bestFit="1" customWidth="1"/>
    <col min="13" max="15" width="9.109375" style="16"/>
    <col min="16" max="18" width="9.5546875" style="16" bestFit="1" customWidth="1"/>
    <col min="19" max="19" width="12.21875" style="16" bestFit="1" customWidth="1"/>
    <col min="20" max="20" width="9.5546875" style="16" bestFit="1" customWidth="1"/>
    <col min="21" max="21" width="12" style="16" bestFit="1" customWidth="1"/>
    <col min="22" max="22" width="11.21875" style="16" bestFit="1" customWidth="1"/>
    <col min="23" max="23" width="12.21875" style="16" bestFit="1" customWidth="1"/>
    <col min="24" max="24" width="9.5546875" style="16" bestFit="1" customWidth="1"/>
    <col min="25" max="28" width="9.109375" style="16"/>
    <col min="29" max="33" width="9.5546875" style="16" bestFit="1" customWidth="1"/>
    <col min="34" max="34" width="12.21875" style="16" bestFit="1" customWidth="1"/>
    <col min="35" max="35" width="12.109375" style="16" bestFit="1" customWidth="1"/>
    <col min="36" max="36" width="11.21875" style="16" bestFit="1" customWidth="1"/>
    <col min="37" max="38" width="12.21875" style="16" bestFit="1" customWidth="1"/>
    <col min="39" max="45" width="9.109375" style="16"/>
    <col min="46" max="48" width="9.5546875" style="16" bestFit="1" customWidth="1"/>
    <col min="49" max="49" width="12.21875" style="16" bestFit="1" customWidth="1"/>
    <col min="50" max="50" width="12.109375" style="16" bestFit="1" customWidth="1"/>
    <col min="51" max="52" width="12.21875" style="16" bestFit="1" customWidth="1"/>
    <col min="53" max="53" width="12.109375" style="16" bestFit="1" customWidth="1"/>
    <col min="54" max="60" width="9.109375" style="16"/>
    <col min="61" max="63" width="9.5546875" style="16" bestFit="1" customWidth="1"/>
    <col min="64" max="64" width="12.21875" style="16" bestFit="1" customWidth="1"/>
    <col min="65" max="66" width="12.109375" style="16" bestFit="1" customWidth="1"/>
    <col min="67" max="68" width="12.21875" style="16" bestFit="1" customWidth="1"/>
    <col min="69" max="75" width="9.109375" style="16"/>
    <col min="76" max="78" width="9.5546875" style="16" bestFit="1" customWidth="1"/>
    <col min="79" max="79" width="12.21875" style="16" bestFit="1" customWidth="1"/>
    <col min="80" max="81" width="12.109375" style="16" bestFit="1" customWidth="1"/>
    <col min="82" max="83" width="12.21875" style="16" bestFit="1" customWidth="1"/>
    <col min="84" max="90" width="9.109375" style="16"/>
    <col min="91" max="93" width="9.5546875" style="16" bestFit="1" customWidth="1"/>
    <col min="94" max="94" width="12.21875" style="16" bestFit="1" customWidth="1"/>
    <col min="95" max="95" width="12.109375" style="16" bestFit="1" customWidth="1"/>
    <col min="96" max="96" width="11.21875" style="16" bestFit="1" customWidth="1"/>
    <col min="97" max="98" width="12.21875" style="16" bestFit="1" customWidth="1"/>
    <col min="99" max="105" width="9.109375" style="16"/>
    <col min="106" max="108" width="9.5546875" style="16" bestFit="1" customWidth="1"/>
    <col min="109" max="109" width="12.21875" style="16" bestFit="1" customWidth="1"/>
    <col min="110" max="110" width="12.109375" style="16" bestFit="1" customWidth="1"/>
    <col min="111" max="111" width="11.21875" style="16" bestFit="1" customWidth="1"/>
    <col min="112" max="113" width="12.21875" style="16" bestFit="1" customWidth="1"/>
    <col min="114" max="120" width="9.109375" style="16"/>
    <col min="121" max="123" width="9.5546875" style="16" bestFit="1" customWidth="1"/>
    <col min="124" max="124" width="12.21875" style="16" bestFit="1" customWidth="1"/>
    <col min="125" max="125" width="12.109375" style="16" bestFit="1" customWidth="1"/>
    <col min="126" max="126" width="11.21875" style="16" bestFit="1" customWidth="1"/>
    <col min="127" max="127" width="12.21875" style="16" bestFit="1" customWidth="1"/>
    <col min="128" max="128" width="12.109375" style="16" bestFit="1" customWidth="1"/>
    <col min="129" max="135" width="9.109375" style="16"/>
    <col min="136" max="137" width="9.5546875" style="16" bestFit="1" customWidth="1"/>
    <col min="138" max="138" width="10.21875" style="16" bestFit="1" customWidth="1"/>
    <col min="139" max="140" width="12.109375" style="16" bestFit="1" customWidth="1"/>
    <col min="141" max="141" width="11.21875" style="16" bestFit="1" customWidth="1"/>
    <col min="142" max="143" width="12.21875" style="16" bestFit="1" customWidth="1"/>
    <col min="144" max="16384" width="9.109375" style="16"/>
  </cols>
  <sheetData>
    <row r="1" spans="1:29" x14ac:dyDescent="0.3">
      <c r="A1" s="13">
        <v>1000</v>
      </c>
      <c r="B1" s="12" t="s">
        <v>0</v>
      </c>
      <c r="C1" s="12" t="s">
        <v>1</v>
      </c>
      <c r="D1" s="13">
        <v>1</v>
      </c>
      <c r="E1" s="14">
        <v>0</v>
      </c>
      <c r="F1" s="14">
        <v>1</v>
      </c>
      <c r="G1" s="12">
        <v>1</v>
      </c>
      <c r="H1" s="13" t="s">
        <v>22</v>
      </c>
      <c r="I1" s="13"/>
      <c r="J1" s="13"/>
      <c r="K1" s="15" t="s">
        <v>34</v>
      </c>
      <c r="AC1" s="16">
        <f>COLUMN()</f>
        <v>29</v>
      </c>
    </row>
    <row r="2" spans="1:29" x14ac:dyDescent="0.3">
      <c r="A2" s="13">
        <v>3</v>
      </c>
      <c r="B2" s="12" t="s">
        <v>28</v>
      </c>
      <c r="C2" s="12" t="s">
        <v>35</v>
      </c>
      <c r="D2" s="14">
        <v>1</v>
      </c>
      <c r="E2" s="14">
        <v>0</v>
      </c>
      <c r="F2" s="14">
        <v>0</v>
      </c>
      <c r="G2" s="17">
        <v>2</v>
      </c>
      <c r="H2" s="14" t="s">
        <v>23</v>
      </c>
      <c r="I2" s="14"/>
      <c r="J2" s="14"/>
      <c r="K2" s="16" t="s">
        <v>33</v>
      </c>
      <c r="L2" s="15"/>
      <c r="M2" s="15"/>
      <c r="N2" s="15"/>
    </row>
    <row r="3" spans="1:29" x14ac:dyDescent="0.3">
      <c r="A3" s="13">
        <v>3</v>
      </c>
      <c r="B3" s="13">
        <v>0</v>
      </c>
      <c r="C3" s="13">
        <v>1</v>
      </c>
      <c r="D3" s="17">
        <v>9</v>
      </c>
      <c r="E3" s="14">
        <v>9</v>
      </c>
      <c r="F3" s="14">
        <v>100</v>
      </c>
      <c r="G3" s="17">
        <v>3</v>
      </c>
      <c r="H3" s="15" t="s">
        <v>24</v>
      </c>
      <c r="I3" s="15"/>
      <c r="J3" s="18"/>
      <c r="L3" s="15"/>
      <c r="M3" s="15"/>
      <c r="N3" s="15"/>
    </row>
    <row r="4" spans="1:29" x14ac:dyDescent="0.3">
      <c r="A4" s="13">
        <v>4</v>
      </c>
      <c r="B4" s="12" t="s">
        <v>2</v>
      </c>
      <c r="C4" s="12" t="s">
        <v>1</v>
      </c>
      <c r="D4" s="17" t="s">
        <v>7</v>
      </c>
      <c r="E4" s="14"/>
      <c r="F4" s="14">
        <v>50</v>
      </c>
      <c r="G4" s="17">
        <v>4</v>
      </c>
      <c r="H4" s="16" t="s">
        <v>25</v>
      </c>
    </row>
    <row r="5" spans="1:29" x14ac:dyDescent="0.3">
      <c r="A5" s="13">
        <v>4</v>
      </c>
      <c r="B5" s="12" t="s">
        <v>31</v>
      </c>
      <c r="C5" s="12" t="s">
        <v>32</v>
      </c>
      <c r="D5" s="17" t="s">
        <v>29</v>
      </c>
      <c r="E5" s="14"/>
      <c r="F5" s="14">
        <v>1</v>
      </c>
      <c r="G5" s="17">
        <v>5</v>
      </c>
      <c r="H5" s="16" t="s">
        <v>26</v>
      </c>
      <c r="S5" s="16">
        <v>264</v>
      </c>
    </row>
    <row r="6" spans="1:29" x14ac:dyDescent="0.3">
      <c r="A6" s="13"/>
      <c r="B6" s="16">
        <v>0</v>
      </c>
      <c r="C6" s="16">
        <v>140000</v>
      </c>
      <c r="D6" s="14"/>
      <c r="E6" s="14"/>
      <c r="F6" s="14">
        <v>1</v>
      </c>
      <c r="S6" s="16">
        <v>0</v>
      </c>
    </row>
    <row r="7" spans="1:29" x14ac:dyDescent="0.3">
      <c r="A7" s="13"/>
      <c r="D7" s="14"/>
      <c r="E7" s="15"/>
      <c r="F7" s="15"/>
      <c r="G7" s="15"/>
      <c r="H7" s="15"/>
      <c r="I7" s="15"/>
      <c r="S7" s="16">
        <v>5</v>
      </c>
    </row>
    <row r="8" spans="1:29" x14ac:dyDescent="0.3">
      <c r="A8" s="16" t="s">
        <v>3</v>
      </c>
      <c r="C8" s="16">
        <v>158.60499999999999</v>
      </c>
      <c r="D8" s="16">
        <v>214.245</v>
      </c>
      <c r="E8" s="16">
        <v>265.084</v>
      </c>
      <c r="F8" s="16">
        <v>320.82600000000002</v>
      </c>
      <c r="G8" s="16">
        <v>394.25</v>
      </c>
      <c r="S8" s="16">
        <v>22</v>
      </c>
    </row>
    <row r="9" spans="1:29" x14ac:dyDescent="0.3">
      <c r="A9" s="16" t="s">
        <v>4</v>
      </c>
      <c r="C9" s="16">
        <v>165.44499999999999</v>
      </c>
      <c r="D9" s="16">
        <v>217.102</v>
      </c>
      <c r="E9" s="16">
        <v>277.75099999999998</v>
      </c>
      <c r="F9" s="16">
        <v>327.90899999999999</v>
      </c>
      <c r="G9" s="16">
        <v>399.31799999999998</v>
      </c>
      <c r="P9" s="16">
        <v>1</v>
      </c>
      <c r="Q9" s="16">
        <v>5</v>
      </c>
    </row>
    <row r="10" spans="1:29" x14ac:dyDescent="0.3">
      <c r="A10" s="16" t="s">
        <v>5</v>
      </c>
      <c r="B10" s="19">
        <v>0</v>
      </c>
      <c r="C10" s="13" t="s">
        <v>42</v>
      </c>
      <c r="E10" s="14" t="s">
        <v>43</v>
      </c>
      <c r="G10" s="14"/>
      <c r="P10" s="16" t="str">
        <f>"Residual x " &amp; P9</f>
        <v>Residual x 1</v>
      </c>
      <c r="Q10" s="16" t="s">
        <v>8</v>
      </c>
      <c r="R10" s="16" t="str">
        <f>"Residual to 0 x " &amp; P9</f>
        <v>Residual to 0 x 1</v>
      </c>
      <c r="S10" s="16" t="s">
        <v>27</v>
      </c>
      <c r="T10" s="16" t="s">
        <v>37</v>
      </c>
      <c r="U10" s="16" t="s">
        <v>38</v>
      </c>
      <c r="V10" s="16" t="s">
        <v>39</v>
      </c>
      <c r="W10" s="16" t="s">
        <v>40</v>
      </c>
      <c r="X10" s="16" t="s">
        <v>41</v>
      </c>
    </row>
    <row r="11" spans="1:29" x14ac:dyDescent="0.3">
      <c r="A11" s="16" t="s">
        <v>6</v>
      </c>
      <c r="B11" s="19">
        <v>0</v>
      </c>
      <c r="P11" s="16" t="str">
        <f>IF('Data-Plot'!C11="","",$Q$11+('Data-Plot'!C11-'Data-Plot'!D11)*$P$9)</f>
        <v/>
      </c>
      <c r="Q11" s="16" t="str">
        <f>IF('Data-Plot'!C11="","",MAX('Data-Plot'!$C$11:$C$1010)*(1+$Q$9/100))</f>
        <v/>
      </c>
      <c r="R11" s="16" t="str">
        <f>IF('Data-Plot'!C11="","",('Data-Plot'!C11-'Data-Plot'!D11)*$P$9)</f>
        <v/>
      </c>
      <c r="S11" s="13"/>
      <c r="T11" s="13"/>
      <c r="U11" s="13"/>
      <c r="V11" s="13"/>
      <c r="W11" s="13"/>
      <c r="X11" s="13"/>
    </row>
    <row r="12" spans="1:29" x14ac:dyDescent="0.3">
      <c r="B12" s="19">
        <f>$B$11+($B$10-$B$11)*1/99</f>
        <v>0</v>
      </c>
      <c r="P12" s="16" t="str">
        <f>IF('Data-Plot'!C12="","",$Q$11+('Data-Plot'!C12-'Data-Plot'!D12)*$P$9)</f>
        <v/>
      </c>
      <c r="Q12" s="16" t="str">
        <f>IF('Data-Plot'!C12="","",MAX('Data-Plot'!$C$11:$C$1010)*(1+$Q$9/100))</f>
        <v/>
      </c>
      <c r="R12" s="16" t="str">
        <f>IF('Data-Plot'!C12="","",('Data-Plot'!C12-'Data-Plot'!D12)*$P$9)</f>
        <v/>
      </c>
      <c r="S12" s="13"/>
      <c r="T12" s="13"/>
      <c r="U12" s="13"/>
      <c r="V12" s="13"/>
      <c r="W12" s="13"/>
      <c r="X12" s="13"/>
    </row>
    <row r="13" spans="1:29" x14ac:dyDescent="0.3">
      <c r="B13" s="19">
        <f>$B$11+($B$10-$B$11)*2/99</f>
        <v>0</v>
      </c>
      <c r="P13" s="16" t="str">
        <f>IF('Data-Plot'!C13="","",$Q$11+('Data-Plot'!C13-'Data-Plot'!D13)*$P$9)</f>
        <v/>
      </c>
      <c r="Q13" s="16" t="str">
        <f>IF('Data-Plot'!C13="","",MAX('Data-Plot'!$C$11:$C$1010)*(1+$Q$9/100))</f>
        <v/>
      </c>
      <c r="R13" s="16" t="str">
        <f>IF('Data-Plot'!C13="","",('Data-Plot'!C13-'Data-Plot'!D13)*$P$9)</f>
        <v/>
      </c>
      <c r="S13" s="13"/>
      <c r="T13" s="13"/>
      <c r="U13" s="13"/>
      <c r="V13" s="13"/>
      <c r="W13" s="13"/>
      <c r="X13" s="13"/>
    </row>
    <row r="14" spans="1:29" x14ac:dyDescent="0.3">
      <c r="A14" s="16" t="str">
        <f>0&amp;"."&amp;5</f>
        <v>0.5</v>
      </c>
      <c r="B14" s="19">
        <f>$B$11+($B$10-$B$11)*3/99</f>
        <v>0</v>
      </c>
      <c r="P14" s="16" t="str">
        <f>IF('Data-Plot'!C14="","",$Q$11+('Data-Plot'!C14-'Data-Plot'!D14)*$P$9)</f>
        <v/>
      </c>
      <c r="Q14" s="16" t="str">
        <f>IF('Data-Plot'!C14="","",MAX('Data-Plot'!$C$11:$C$1010)*(1+$Q$9/100))</f>
        <v/>
      </c>
      <c r="R14" s="16" t="str">
        <f>IF('Data-Plot'!C14="","",('Data-Plot'!C14-'Data-Plot'!D14)*$P$9)</f>
        <v/>
      </c>
      <c r="S14" s="13"/>
      <c r="T14" s="13"/>
      <c r="U14" s="13"/>
      <c r="V14" s="13"/>
      <c r="W14" s="13"/>
      <c r="X14" s="13"/>
    </row>
    <row r="15" spans="1:29" x14ac:dyDescent="0.3">
      <c r="A15" s="16">
        <f>1/2</f>
        <v>0.5</v>
      </c>
      <c r="B15" s="19">
        <f>$B$11+($B$10-$B$11)*4/99</f>
        <v>0</v>
      </c>
      <c r="P15" s="16" t="str">
        <f>IF('Data-Plot'!C15="","",$Q$11+('Data-Plot'!C15-'Data-Plot'!D15)*$P$9)</f>
        <v/>
      </c>
      <c r="Q15" s="16" t="str">
        <f>IF('Data-Plot'!C15="","",MAX('Data-Plot'!$C$11:$C$1010)*(1+$Q$9/100))</f>
        <v/>
      </c>
      <c r="R15" s="16" t="str">
        <f>IF('Data-Plot'!C15="","",('Data-Plot'!C15-'Data-Plot'!D15)*$P$9)</f>
        <v/>
      </c>
      <c r="S15" s="13"/>
      <c r="T15" s="13"/>
      <c r="U15" s="13"/>
      <c r="V15" s="13"/>
      <c r="W15" s="13"/>
      <c r="X15" s="13"/>
    </row>
    <row r="16" spans="1:29" x14ac:dyDescent="0.3">
      <c r="A16" s="16">
        <f>IFERROR(VALUE(A14)+VALUE(A15),0)</f>
        <v>1</v>
      </c>
      <c r="B16" s="19">
        <f>$B$11+($B$10-$B$11)*5/99</f>
        <v>0</v>
      </c>
      <c r="P16" s="16" t="str">
        <f>IF('Data-Plot'!C16="","",$Q$11+('Data-Plot'!C16-'Data-Plot'!D16)*$P$9)</f>
        <v/>
      </c>
      <c r="Q16" s="16" t="str">
        <f>IF('Data-Plot'!C16="","",MAX('Data-Plot'!$C$11:$C$1010)*(1+$Q$9/100))</f>
        <v/>
      </c>
      <c r="R16" s="16" t="str">
        <f>IF('Data-Plot'!C16="","",('Data-Plot'!C16-'Data-Plot'!D16)*$P$9)</f>
        <v/>
      </c>
      <c r="S16" s="13"/>
      <c r="T16" s="13"/>
      <c r="U16" s="13"/>
      <c r="V16" s="13"/>
      <c r="W16" s="13"/>
      <c r="X16" s="13"/>
    </row>
    <row r="17" spans="1:24" x14ac:dyDescent="0.3">
      <c r="A17" s="16">
        <f>VALUE(A14)</f>
        <v>0.5</v>
      </c>
      <c r="B17" s="19">
        <f>$B$11+($B$10-$B$11)*6/99</f>
        <v>0</v>
      </c>
      <c r="P17" s="16" t="str">
        <f>IF('Data-Plot'!C17="","",$Q$11+('Data-Plot'!C17-'Data-Plot'!D17)*$P$9)</f>
        <v/>
      </c>
      <c r="Q17" s="16" t="str">
        <f>IF('Data-Plot'!C17="","",MAX('Data-Plot'!$C$11:$C$1010)*(1+$Q$9/100))</f>
        <v/>
      </c>
      <c r="R17" s="16" t="str">
        <f>IF('Data-Plot'!C17="","",('Data-Plot'!C17-'Data-Plot'!D17)*$P$9)</f>
        <v/>
      </c>
      <c r="S17" s="13"/>
      <c r="T17" s="13"/>
      <c r="U17" s="13"/>
      <c r="V17" s="13"/>
      <c r="W17" s="13"/>
      <c r="X17" s="13"/>
    </row>
    <row r="18" spans="1:24" x14ac:dyDescent="0.3">
      <c r="B18" s="19">
        <f>$B$11+($B$10-$B$11)*7/99</f>
        <v>0</v>
      </c>
      <c r="P18" s="16" t="str">
        <f>IF('Data-Plot'!C18="","",$Q$11+('Data-Plot'!C18-'Data-Plot'!D18)*$P$9)</f>
        <v/>
      </c>
      <c r="Q18" s="16" t="str">
        <f>IF('Data-Plot'!C18="","",MAX('Data-Plot'!$C$11:$C$1010)*(1+$Q$9/100))</f>
        <v/>
      </c>
      <c r="R18" s="16" t="str">
        <f>IF('Data-Plot'!C18="","",('Data-Plot'!C18-'Data-Plot'!D18)*$P$9)</f>
        <v/>
      </c>
      <c r="S18" s="13"/>
      <c r="T18" s="13"/>
      <c r="U18" s="13"/>
      <c r="V18" s="13"/>
      <c r="W18" s="13"/>
      <c r="X18" s="13"/>
    </row>
    <row r="19" spans="1:24" x14ac:dyDescent="0.3">
      <c r="B19" s="19">
        <f>$B$11+($B$10-$B$11)*8/99</f>
        <v>0</v>
      </c>
      <c r="P19" s="16" t="str">
        <f>IF('Data-Plot'!C19="","",$Q$11+('Data-Plot'!C19-'Data-Plot'!D19)*$P$9)</f>
        <v/>
      </c>
      <c r="Q19" s="16" t="str">
        <f>IF('Data-Plot'!C19="","",MAX('Data-Plot'!$C$11:$C$1010)*(1+$Q$9/100))</f>
        <v/>
      </c>
      <c r="R19" s="16" t="str">
        <f>IF('Data-Plot'!C19="","",('Data-Plot'!C19-'Data-Plot'!D19)*$P$9)</f>
        <v/>
      </c>
      <c r="S19" s="13"/>
      <c r="T19" s="13"/>
      <c r="U19" s="13"/>
      <c r="V19" s="13"/>
      <c r="W19" s="13"/>
      <c r="X19" s="13"/>
    </row>
    <row r="20" spans="1:24" x14ac:dyDescent="0.3">
      <c r="A20" s="16">
        <v>0</v>
      </c>
      <c r="B20" s="19">
        <f>$B$11+($B$10-$B$11)*9/99</f>
        <v>0</v>
      </c>
      <c r="P20" s="16" t="str">
        <f>IF('Data-Plot'!C20="","",$Q$11+('Data-Plot'!C20-'Data-Plot'!D20)*$P$9)</f>
        <v/>
      </c>
      <c r="Q20" s="16" t="str">
        <f>IF('Data-Plot'!C20="","",MAX('Data-Plot'!$C$11:$C$1010)*(1+$Q$9/100))</f>
        <v/>
      </c>
      <c r="R20" s="16" t="str">
        <f>IF('Data-Plot'!C20="","",('Data-Plot'!C20-'Data-Plot'!D20)*$P$9)</f>
        <v/>
      </c>
      <c r="S20" s="13"/>
      <c r="T20" s="13"/>
      <c r="U20" s="13"/>
      <c r="V20" s="13"/>
      <c r="W20" s="13"/>
      <c r="X20" s="13"/>
    </row>
    <row r="21" spans="1:24" x14ac:dyDescent="0.3">
      <c r="A21" s="16">
        <f>COUNTA(A22:A271)</f>
        <v>0</v>
      </c>
      <c r="B21" s="19">
        <f>$B$11+($B$10-$B$11)*10/99</f>
        <v>0</v>
      </c>
      <c r="P21" s="16" t="str">
        <f>IF('Data-Plot'!C21="","",$Q$11+('Data-Plot'!C21-'Data-Plot'!D21)*$P$9)</f>
        <v/>
      </c>
      <c r="Q21" s="16" t="str">
        <f>IF('Data-Plot'!C21="","",MAX('Data-Plot'!$C$11:$C$1010)*(1+$Q$9/100))</f>
        <v/>
      </c>
      <c r="R21" s="16" t="str">
        <f>IF('Data-Plot'!C21="","",('Data-Plot'!C21-'Data-Plot'!D21)*$P$9)</f>
        <v/>
      </c>
      <c r="S21" s="13"/>
      <c r="T21" s="13"/>
      <c r="U21" s="13"/>
      <c r="V21" s="13"/>
      <c r="W21" s="13"/>
      <c r="X21" s="13"/>
    </row>
    <row r="22" spans="1:24" x14ac:dyDescent="0.3">
      <c r="B22" s="19">
        <f>$B$11+($B$10-$B$11)*11/99</f>
        <v>0</v>
      </c>
      <c r="P22" s="16" t="str">
        <f>IF('Data-Plot'!C22="","",$Q$11+('Data-Plot'!C22-'Data-Plot'!D22)*$P$9)</f>
        <v/>
      </c>
      <c r="Q22" s="16" t="str">
        <f>IF('Data-Plot'!C22="","",MAX('Data-Plot'!$C$11:$C$1010)*(1+$Q$9/100))</f>
        <v/>
      </c>
      <c r="R22" s="16" t="str">
        <f>IF('Data-Plot'!C22="","",('Data-Plot'!C22-'Data-Plot'!D22)*$P$9)</f>
        <v/>
      </c>
      <c r="S22" s="13"/>
      <c r="T22" s="13"/>
      <c r="U22" s="13"/>
      <c r="V22" s="13"/>
      <c r="W22" s="13"/>
      <c r="X22" s="13"/>
    </row>
    <row r="23" spans="1:24" x14ac:dyDescent="0.3">
      <c r="B23" s="19">
        <f>$B$11+($B$10-$B$11)*12/99</f>
        <v>0</v>
      </c>
      <c r="P23" s="16" t="str">
        <f>IF('Data-Plot'!C23="","",$Q$11+('Data-Plot'!C23-'Data-Plot'!D23)*$P$9)</f>
        <v/>
      </c>
      <c r="Q23" s="16" t="str">
        <f>IF('Data-Plot'!C23="","",MAX('Data-Plot'!$C$11:$C$1010)*(1+$Q$9/100))</f>
        <v/>
      </c>
      <c r="R23" s="16" t="str">
        <f>IF('Data-Plot'!C23="","",('Data-Plot'!C23-'Data-Plot'!D23)*$P$9)</f>
        <v/>
      </c>
      <c r="S23" s="13"/>
      <c r="T23" s="13"/>
      <c r="U23" s="13"/>
      <c r="V23" s="13"/>
      <c r="W23" s="13"/>
      <c r="X23" s="13"/>
    </row>
    <row r="24" spans="1:24" x14ac:dyDescent="0.3">
      <c r="B24" s="19">
        <f>$B$11+($B$10-$B$11)*13/99</f>
        <v>0</v>
      </c>
      <c r="P24" s="16" t="str">
        <f>IF('Data-Plot'!C24="","",$Q$11+('Data-Plot'!C24-'Data-Plot'!D24)*$P$9)</f>
        <v/>
      </c>
      <c r="Q24" s="16" t="str">
        <f>IF('Data-Plot'!C24="","",MAX('Data-Plot'!$C$11:$C$1010)*(1+$Q$9/100))</f>
        <v/>
      </c>
      <c r="R24" s="16" t="str">
        <f>IF('Data-Plot'!C24="","",('Data-Plot'!C24-'Data-Plot'!D24)*$P$9)</f>
        <v/>
      </c>
      <c r="S24" s="13"/>
      <c r="T24" s="13"/>
      <c r="U24" s="13"/>
      <c r="V24" s="13"/>
      <c r="W24" s="13"/>
      <c r="X24" s="13"/>
    </row>
    <row r="25" spans="1:24" x14ac:dyDescent="0.3">
      <c r="B25" s="19">
        <f>$B$11+($B$10-$B$11)*14/99</f>
        <v>0</v>
      </c>
      <c r="P25" s="16" t="str">
        <f>IF('Data-Plot'!C25="","",$Q$11+('Data-Plot'!C25-'Data-Plot'!D25)*$P$9)</f>
        <v/>
      </c>
      <c r="Q25" s="16" t="str">
        <f>IF('Data-Plot'!C25="","",MAX('Data-Plot'!$C$11:$C$1010)*(1+$Q$9/100))</f>
        <v/>
      </c>
      <c r="R25" s="16" t="str">
        <f>IF('Data-Plot'!C25="","",('Data-Plot'!C25-'Data-Plot'!D25)*$P$9)</f>
        <v/>
      </c>
      <c r="S25" s="13"/>
      <c r="T25" s="13"/>
      <c r="U25" s="13"/>
      <c r="V25" s="13"/>
      <c r="W25" s="13"/>
      <c r="X25" s="13"/>
    </row>
    <row r="26" spans="1:24" x14ac:dyDescent="0.3">
      <c r="B26" s="19">
        <f>$B$11+($B$10-$B$11)*15/99</f>
        <v>0</v>
      </c>
      <c r="P26" s="16" t="str">
        <f>IF('Data-Plot'!C26="","",$Q$11+('Data-Plot'!C26-'Data-Plot'!D26)*$P$9)</f>
        <v/>
      </c>
      <c r="Q26" s="16" t="str">
        <f>IF('Data-Plot'!C26="","",MAX('Data-Plot'!$C$11:$C$1010)*(1+$Q$9/100))</f>
        <v/>
      </c>
      <c r="R26" s="16" t="str">
        <f>IF('Data-Plot'!C26="","",('Data-Plot'!C26-'Data-Plot'!D26)*$P$9)</f>
        <v/>
      </c>
      <c r="S26" s="13"/>
      <c r="T26" s="13"/>
      <c r="U26" s="13"/>
      <c r="V26" s="13"/>
      <c r="W26" s="13"/>
      <c r="X26" s="13"/>
    </row>
    <row r="27" spans="1:24" x14ac:dyDescent="0.3">
      <c r="B27" s="19">
        <f>$B$11+($B$10-$B$11)*16/99</f>
        <v>0</v>
      </c>
      <c r="P27" s="16" t="str">
        <f>IF('Data-Plot'!C27="","",$Q$11+('Data-Plot'!C27-'Data-Plot'!D27)*$P$9)</f>
        <v/>
      </c>
      <c r="Q27" s="16" t="str">
        <f>IF('Data-Plot'!C27="","",MAX('Data-Plot'!$C$11:$C$1010)*(1+$Q$9/100))</f>
        <v/>
      </c>
      <c r="R27" s="16" t="str">
        <f>IF('Data-Plot'!C27="","",('Data-Plot'!C27-'Data-Plot'!D27)*$P$9)</f>
        <v/>
      </c>
      <c r="S27" s="13"/>
      <c r="T27" s="13"/>
      <c r="U27" s="13"/>
      <c r="V27" s="13"/>
      <c r="W27" s="13"/>
      <c r="X27" s="13"/>
    </row>
    <row r="28" spans="1:24" x14ac:dyDescent="0.3">
      <c r="B28" s="19">
        <f>$B$11+($B$10-$B$11)*17/99</f>
        <v>0</v>
      </c>
      <c r="P28" s="16" t="str">
        <f>IF('Data-Plot'!C28="","",$Q$11+('Data-Plot'!C28-'Data-Plot'!D28)*$P$9)</f>
        <v/>
      </c>
      <c r="Q28" s="16" t="str">
        <f>IF('Data-Plot'!C28="","",MAX('Data-Plot'!$C$11:$C$1010)*(1+$Q$9/100))</f>
        <v/>
      </c>
      <c r="R28" s="16" t="str">
        <f>IF('Data-Plot'!C28="","",('Data-Plot'!C28-'Data-Plot'!D28)*$P$9)</f>
        <v/>
      </c>
      <c r="S28" s="13"/>
      <c r="T28" s="13"/>
      <c r="U28" s="13"/>
      <c r="V28" s="13"/>
      <c r="W28" s="13"/>
      <c r="X28" s="13"/>
    </row>
    <row r="29" spans="1:24" x14ac:dyDescent="0.3">
      <c r="B29" s="19">
        <f>$B$11+($B$10-$B$11)*18/99</f>
        <v>0</v>
      </c>
      <c r="P29" s="16" t="str">
        <f>IF('Data-Plot'!C29="","",$Q$11+('Data-Plot'!C29-'Data-Plot'!D29)*$P$9)</f>
        <v/>
      </c>
      <c r="Q29" s="16" t="str">
        <f>IF('Data-Plot'!C29="","",MAX('Data-Plot'!$C$11:$C$1010)*(1+$Q$9/100))</f>
        <v/>
      </c>
      <c r="R29" s="16" t="str">
        <f>IF('Data-Plot'!C29="","",('Data-Plot'!C29-'Data-Plot'!D29)*$P$9)</f>
        <v/>
      </c>
      <c r="S29" s="13"/>
      <c r="T29" s="13"/>
      <c r="U29" s="13"/>
      <c r="V29" s="13"/>
      <c r="W29" s="13"/>
      <c r="X29" s="13"/>
    </row>
    <row r="30" spans="1:24" x14ac:dyDescent="0.3">
      <c r="B30" s="19">
        <f>$B$11+($B$10-$B$11)*19/99</f>
        <v>0</v>
      </c>
      <c r="P30" s="16" t="str">
        <f>IF('Data-Plot'!C30="","",$Q$11+('Data-Plot'!C30-'Data-Plot'!D30)*$P$9)</f>
        <v/>
      </c>
      <c r="Q30" s="16" t="str">
        <f>IF('Data-Plot'!C30="","",MAX('Data-Plot'!$C$11:$C$1010)*(1+$Q$9/100))</f>
        <v/>
      </c>
      <c r="R30" s="16" t="str">
        <f>IF('Data-Plot'!C30="","",('Data-Plot'!C30-'Data-Plot'!D30)*$P$9)</f>
        <v/>
      </c>
      <c r="S30" s="13"/>
      <c r="T30" s="13"/>
      <c r="U30" s="13"/>
      <c r="V30" s="13"/>
      <c r="W30" s="13"/>
      <c r="X30" s="13"/>
    </row>
    <row r="31" spans="1:24" x14ac:dyDescent="0.3">
      <c r="B31" s="19">
        <f>$B$11+($B$10-$B$11)*20/99</f>
        <v>0</v>
      </c>
      <c r="P31" s="16" t="str">
        <f>IF('Data-Plot'!C31="","",$Q$11+('Data-Plot'!C31-'Data-Plot'!D31)*$P$9)</f>
        <v/>
      </c>
      <c r="Q31" s="16" t="str">
        <f>IF('Data-Plot'!C31="","",MAX('Data-Plot'!$C$11:$C$1010)*(1+$Q$9/100))</f>
        <v/>
      </c>
      <c r="R31" s="16" t="str">
        <f>IF('Data-Plot'!C31="","",('Data-Plot'!C31-'Data-Plot'!D31)*$P$9)</f>
        <v/>
      </c>
      <c r="S31" s="13"/>
      <c r="T31" s="13"/>
      <c r="U31" s="13"/>
      <c r="V31" s="13"/>
      <c r="W31" s="13"/>
      <c r="X31" s="13"/>
    </row>
    <row r="32" spans="1:24" x14ac:dyDescent="0.3">
      <c r="B32" s="19">
        <f>$B$11+($B$10-$B$11)*21/99</f>
        <v>0</v>
      </c>
      <c r="P32" s="16" t="str">
        <f>IF('Data-Plot'!C32="","",$Q$11+('Data-Plot'!C32-'Data-Plot'!D32)*$P$9)</f>
        <v/>
      </c>
      <c r="Q32" s="16" t="str">
        <f>IF('Data-Plot'!C32="","",MAX('Data-Plot'!$C$11:$C$1010)*(1+$Q$9/100))</f>
        <v/>
      </c>
      <c r="R32" s="16" t="str">
        <f>IF('Data-Plot'!C32="","",('Data-Plot'!C32-'Data-Plot'!D32)*$P$9)</f>
        <v/>
      </c>
      <c r="S32" s="13"/>
      <c r="T32" s="13"/>
      <c r="U32" s="13"/>
      <c r="V32" s="13"/>
      <c r="W32" s="13"/>
      <c r="X32" s="13"/>
    </row>
    <row r="33" spans="2:24" x14ac:dyDescent="0.3">
      <c r="B33" s="19">
        <f>$B$11+($B$10-$B$11)*22/99</f>
        <v>0</v>
      </c>
      <c r="P33" s="16" t="str">
        <f>IF('Data-Plot'!C33="","",$Q$11+('Data-Plot'!C33-'Data-Plot'!D33)*$P$9)</f>
        <v/>
      </c>
      <c r="Q33" s="16" t="str">
        <f>IF('Data-Plot'!C33="","",MAX('Data-Plot'!$C$11:$C$1010)*(1+$Q$9/100))</f>
        <v/>
      </c>
      <c r="R33" s="16" t="str">
        <f>IF('Data-Plot'!C33="","",('Data-Plot'!C33-'Data-Plot'!D33)*$P$9)</f>
        <v/>
      </c>
      <c r="S33" s="13"/>
      <c r="T33" s="13"/>
      <c r="U33" s="13"/>
      <c r="V33" s="13"/>
      <c r="W33" s="13"/>
      <c r="X33" s="13"/>
    </row>
    <row r="34" spans="2:24" x14ac:dyDescent="0.3">
      <c r="B34" s="19">
        <f>$B$11+($B$10-$B$11)*23/99</f>
        <v>0</v>
      </c>
      <c r="P34" s="16" t="str">
        <f>IF('Data-Plot'!C34="","",$Q$11+('Data-Plot'!C34-'Data-Plot'!D34)*$P$9)</f>
        <v/>
      </c>
      <c r="Q34" s="16" t="str">
        <f>IF('Data-Plot'!C34="","",MAX('Data-Plot'!$C$11:$C$1010)*(1+$Q$9/100))</f>
        <v/>
      </c>
      <c r="R34" s="16" t="str">
        <f>IF('Data-Plot'!C34="","",('Data-Plot'!C34-'Data-Plot'!D34)*$P$9)</f>
        <v/>
      </c>
      <c r="S34" s="13"/>
      <c r="T34" s="13"/>
      <c r="U34" s="13"/>
      <c r="V34" s="13"/>
      <c r="W34" s="13"/>
      <c r="X34" s="13"/>
    </row>
    <row r="35" spans="2:24" x14ac:dyDescent="0.3">
      <c r="B35" s="19">
        <f>$B$11+($B$10-$B$11)*24/99</f>
        <v>0</v>
      </c>
      <c r="P35" s="16" t="str">
        <f>IF('Data-Plot'!C35="","",$Q$11+('Data-Plot'!C35-'Data-Plot'!D35)*$P$9)</f>
        <v/>
      </c>
      <c r="Q35" s="16" t="str">
        <f>IF('Data-Plot'!C35="","",MAX('Data-Plot'!$C$11:$C$1010)*(1+$Q$9/100))</f>
        <v/>
      </c>
      <c r="R35" s="16" t="str">
        <f>IF('Data-Plot'!C35="","",('Data-Plot'!C35-'Data-Plot'!D35)*$P$9)</f>
        <v/>
      </c>
      <c r="S35" s="13"/>
      <c r="T35" s="13"/>
      <c r="U35" s="13"/>
      <c r="V35" s="13"/>
      <c r="W35" s="13"/>
      <c r="X35" s="13"/>
    </row>
    <row r="36" spans="2:24" x14ac:dyDescent="0.3">
      <c r="B36" s="19">
        <f>$B$11+($B$10-$B$11)*25/99</f>
        <v>0</v>
      </c>
      <c r="P36" s="16" t="str">
        <f>IF('Data-Plot'!C36="","",$Q$11+('Data-Plot'!C36-'Data-Plot'!D36)*$P$9)</f>
        <v/>
      </c>
      <c r="Q36" s="16" t="str">
        <f>IF('Data-Plot'!C36="","",MAX('Data-Plot'!$C$11:$C$1010)*(1+$Q$9/100))</f>
        <v/>
      </c>
      <c r="R36" s="16" t="str">
        <f>IF('Data-Plot'!C36="","",('Data-Plot'!C36-'Data-Plot'!D36)*$P$9)</f>
        <v/>
      </c>
      <c r="S36" s="13"/>
      <c r="T36" s="13"/>
      <c r="U36" s="13"/>
      <c r="V36" s="13"/>
      <c r="W36" s="13"/>
      <c r="X36" s="13"/>
    </row>
    <row r="37" spans="2:24" x14ac:dyDescent="0.3">
      <c r="B37" s="19">
        <f>$B$11+($B$10-$B$11)*26/99</f>
        <v>0</v>
      </c>
      <c r="P37" s="16" t="str">
        <f>IF('Data-Plot'!C37="","",$Q$11+('Data-Plot'!C37-'Data-Plot'!D37)*$P$9)</f>
        <v/>
      </c>
      <c r="Q37" s="16" t="str">
        <f>IF('Data-Plot'!C37="","",MAX('Data-Plot'!$C$11:$C$1010)*(1+$Q$9/100))</f>
        <v/>
      </c>
      <c r="R37" s="16" t="str">
        <f>IF('Data-Plot'!C37="","",('Data-Plot'!C37-'Data-Plot'!D37)*$P$9)</f>
        <v/>
      </c>
      <c r="S37" s="13"/>
      <c r="T37" s="13"/>
      <c r="U37" s="13"/>
      <c r="V37" s="13"/>
      <c r="W37" s="13"/>
      <c r="X37" s="13"/>
    </row>
    <row r="38" spans="2:24" x14ac:dyDescent="0.3">
      <c r="B38" s="19">
        <f>$B$11+($B$10-$B$11)*27/99</f>
        <v>0</v>
      </c>
      <c r="P38" s="16" t="str">
        <f>IF('Data-Plot'!C38="","",$Q$11+('Data-Plot'!C38-'Data-Plot'!D38)*$P$9)</f>
        <v/>
      </c>
      <c r="Q38" s="16" t="str">
        <f>IF('Data-Plot'!C38="","",MAX('Data-Plot'!$C$11:$C$1010)*(1+$Q$9/100))</f>
        <v/>
      </c>
      <c r="R38" s="16" t="str">
        <f>IF('Data-Plot'!C38="","",('Data-Plot'!C38-'Data-Plot'!D38)*$P$9)</f>
        <v/>
      </c>
      <c r="S38" s="13"/>
      <c r="T38" s="13"/>
      <c r="U38" s="13"/>
      <c r="V38" s="13"/>
      <c r="W38" s="13"/>
      <c r="X38" s="13"/>
    </row>
    <row r="39" spans="2:24" x14ac:dyDescent="0.3">
      <c r="B39" s="19">
        <f>$B$11+($B$10-$B$11)*28/99</f>
        <v>0</v>
      </c>
      <c r="P39" s="16" t="str">
        <f>IF('Data-Plot'!C39="","",$Q$11+('Data-Plot'!C39-'Data-Plot'!D39)*$P$9)</f>
        <v/>
      </c>
      <c r="Q39" s="16" t="str">
        <f>IF('Data-Plot'!C39="","",MAX('Data-Plot'!$C$11:$C$1010)*(1+$Q$9/100))</f>
        <v/>
      </c>
      <c r="R39" s="16" t="str">
        <f>IF('Data-Plot'!C39="","",('Data-Plot'!C39-'Data-Plot'!D39)*$P$9)</f>
        <v/>
      </c>
      <c r="S39" s="13"/>
      <c r="T39" s="13"/>
      <c r="U39" s="13"/>
      <c r="V39" s="13"/>
      <c r="W39" s="13"/>
      <c r="X39" s="13"/>
    </row>
    <row r="40" spans="2:24" x14ac:dyDescent="0.3">
      <c r="B40" s="19">
        <f>$B$11+($B$10-$B$11)*29/99</f>
        <v>0</v>
      </c>
      <c r="P40" s="16" t="str">
        <f>IF('Data-Plot'!C40="","",$Q$11+('Data-Plot'!C40-'Data-Plot'!D40)*$P$9)</f>
        <v/>
      </c>
      <c r="Q40" s="16" t="str">
        <f>IF('Data-Plot'!C40="","",MAX('Data-Plot'!$C$11:$C$1010)*(1+$Q$9/100))</f>
        <v/>
      </c>
      <c r="R40" s="16" t="str">
        <f>IF('Data-Plot'!C40="","",('Data-Plot'!C40-'Data-Plot'!D40)*$P$9)</f>
        <v/>
      </c>
      <c r="S40" s="13"/>
      <c r="T40" s="13"/>
      <c r="U40" s="13"/>
      <c r="V40" s="13"/>
      <c r="W40" s="13"/>
      <c r="X40" s="13"/>
    </row>
    <row r="41" spans="2:24" x14ac:dyDescent="0.3">
      <c r="B41" s="19">
        <f>$B$11+($B$10-$B$11)*30/99</f>
        <v>0</v>
      </c>
      <c r="P41" s="16" t="str">
        <f>IF('Data-Plot'!C41="","",$Q$11+('Data-Plot'!C41-'Data-Plot'!D41)*$P$9)</f>
        <v/>
      </c>
      <c r="Q41" s="16" t="str">
        <f>IF('Data-Plot'!C41="","",MAX('Data-Plot'!$C$11:$C$1010)*(1+$Q$9/100))</f>
        <v/>
      </c>
      <c r="R41" s="16" t="str">
        <f>IF('Data-Plot'!C41="","",('Data-Plot'!C41-'Data-Plot'!D41)*$P$9)</f>
        <v/>
      </c>
      <c r="S41" s="13"/>
      <c r="T41" s="13"/>
      <c r="U41" s="13"/>
      <c r="V41" s="13"/>
      <c r="W41" s="13"/>
      <c r="X41" s="13"/>
    </row>
    <row r="42" spans="2:24" x14ac:dyDescent="0.3">
      <c r="B42" s="19">
        <f>$B$11+($B$10-$B$11)*31/99</f>
        <v>0</v>
      </c>
      <c r="P42" s="16" t="str">
        <f>IF('Data-Plot'!C42="","",$Q$11+('Data-Plot'!C42-'Data-Plot'!D42)*$P$9)</f>
        <v/>
      </c>
      <c r="Q42" s="16" t="str">
        <f>IF('Data-Plot'!C42="","",MAX('Data-Plot'!$C$11:$C$1010)*(1+$Q$9/100))</f>
        <v/>
      </c>
      <c r="R42" s="16" t="str">
        <f>IF('Data-Plot'!C42="","",('Data-Plot'!C42-'Data-Plot'!D42)*$P$9)</f>
        <v/>
      </c>
      <c r="S42" s="13"/>
      <c r="T42" s="13"/>
      <c r="U42" s="13"/>
      <c r="V42" s="13"/>
      <c r="W42" s="13"/>
      <c r="X42" s="13"/>
    </row>
    <row r="43" spans="2:24" x14ac:dyDescent="0.3">
      <c r="B43" s="19">
        <f>$B$11+($B$10-$B$11)*32/99</f>
        <v>0</v>
      </c>
      <c r="P43" s="16" t="str">
        <f>IF('Data-Plot'!C43="","",$Q$11+('Data-Plot'!C43-'Data-Plot'!D43)*$P$9)</f>
        <v/>
      </c>
      <c r="Q43" s="16" t="str">
        <f>IF('Data-Plot'!C43="","",MAX('Data-Plot'!$C$11:$C$1010)*(1+$Q$9/100))</f>
        <v/>
      </c>
      <c r="R43" s="16" t="str">
        <f>IF('Data-Plot'!C43="","",('Data-Plot'!C43-'Data-Plot'!D43)*$P$9)</f>
        <v/>
      </c>
      <c r="S43" s="13"/>
      <c r="T43" s="13"/>
      <c r="U43" s="13"/>
      <c r="V43" s="13"/>
      <c r="W43" s="13"/>
      <c r="X43" s="13"/>
    </row>
    <row r="44" spans="2:24" x14ac:dyDescent="0.3">
      <c r="B44" s="19">
        <f>$B$11+($B$10-$B$11)*33/99</f>
        <v>0</v>
      </c>
      <c r="P44" s="16" t="str">
        <f>IF('Data-Plot'!C44="","",$Q$11+('Data-Plot'!C44-'Data-Plot'!D44)*$P$9)</f>
        <v/>
      </c>
      <c r="Q44" s="16" t="str">
        <f>IF('Data-Plot'!C44="","",MAX('Data-Plot'!$C$11:$C$1010)*(1+$Q$9/100))</f>
        <v/>
      </c>
      <c r="R44" s="16" t="str">
        <f>IF('Data-Plot'!C44="","",('Data-Plot'!C44-'Data-Plot'!D44)*$P$9)</f>
        <v/>
      </c>
      <c r="S44" s="13"/>
      <c r="T44" s="13"/>
      <c r="U44" s="13"/>
      <c r="V44" s="13"/>
      <c r="W44" s="13"/>
      <c r="X44" s="13"/>
    </row>
    <row r="45" spans="2:24" x14ac:dyDescent="0.3">
      <c r="B45" s="19">
        <f>$B$11+($B$10-$B$11)*34/99</f>
        <v>0</v>
      </c>
      <c r="P45" s="16" t="str">
        <f>IF('Data-Plot'!C45="","",$Q$11+('Data-Plot'!C45-'Data-Plot'!D45)*$P$9)</f>
        <v/>
      </c>
      <c r="Q45" s="16" t="str">
        <f>IF('Data-Plot'!C45="","",MAX('Data-Plot'!$C$11:$C$1010)*(1+$Q$9/100))</f>
        <v/>
      </c>
      <c r="R45" s="16" t="str">
        <f>IF('Data-Plot'!C45="","",('Data-Plot'!C45-'Data-Plot'!D45)*$P$9)</f>
        <v/>
      </c>
      <c r="S45" s="13"/>
      <c r="T45" s="13"/>
      <c r="U45" s="13"/>
      <c r="V45" s="13"/>
      <c r="W45" s="13"/>
      <c r="X45" s="13"/>
    </row>
    <row r="46" spans="2:24" x14ac:dyDescent="0.3">
      <c r="B46" s="19">
        <f>$B$11+($B$10-$B$11)*35/99</f>
        <v>0</v>
      </c>
      <c r="P46" s="16" t="str">
        <f>IF('Data-Plot'!C46="","",$Q$11+('Data-Plot'!C46-'Data-Plot'!D46)*$P$9)</f>
        <v/>
      </c>
      <c r="Q46" s="16" t="str">
        <f>IF('Data-Plot'!C46="","",MAX('Data-Plot'!$C$11:$C$1010)*(1+$Q$9/100))</f>
        <v/>
      </c>
      <c r="R46" s="16" t="str">
        <f>IF('Data-Plot'!C46="","",('Data-Plot'!C46-'Data-Plot'!D46)*$P$9)</f>
        <v/>
      </c>
      <c r="S46" s="13"/>
      <c r="T46" s="13"/>
      <c r="U46" s="13"/>
      <c r="V46" s="13"/>
      <c r="W46" s="13"/>
      <c r="X46" s="13"/>
    </row>
    <row r="47" spans="2:24" x14ac:dyDescent="0.3">
      <c r="B47" s="19">
        <f>$B$11+($B$10-$B$11)*36/99</f>
        <v>0</v>
      </c>
      <c r="P47" s="16" t="str">
        <f>IF('Data-Plot'!C47="","",$Q$11+('Data-Plot'!C47-'Data-Plot'!D47)*$P$9)</f>
        <v/>
      </c>
      <c r="Q47" s="16" t="str">
        <f>IF('Data-Plot'!C47="","",MAX('Data-Plot'!$C$11:$C$1010)*(1+$Q$9/100))</f>
        <v/>
      </c>
      <c r="R47" s="16" t="str">
        <f>IF('Data-Plot'!C47="","",('Data-Plot'!C47-'Data-Plot'!D47)*$P$9)</f>
        <v/>
      </c>
      <c r="S47" s="13"/>
      <c r="T47" s="13"/>
      <c r="U47" s="13"/>
      <c r="V47" s="13"/>
      <c r="W47" s="13"/>
      <c r="X47" s="13"/>
    </row>
    <row r="48" spans="2:24" x14ac:dyDescent="0.3">
      <c r="B48" s="19">
        <f>$B$11+($B$10-$B$11)*37/99</f>
        <v>0</v>
      </c>
      <c r="P48" s="16" t="str">
        <f>IF('Data-Plot'!C48="","",$Q$11+('Data-Plot'!C48-'Data-Plot'!D48)*$P$9)</f>
        <v/>
      </c>
      <c r="Q48" s="16" t="str">
        <f>IF('Data-Plot'!C48="","",MAX('Data-Plot'!$C$11:$C$1010)*(1+$Q$9/100))</f>
        <v/>
      </c>
      <c r="R48" s="16" t="str">
        <f>IF('Data-Plot'!C48="","",('Data-Plot'!C48-'Data-Plot'!D48)*$P$9)</f>
        <v/>
      </c>
      <c r="S48" s="13"/>
      <c r="T48" s="13"/>
      <c r="U48" s="13"/>
      <c r="V48" s="13"/>
      <c r="W48" s="13"/>
      <c r="X48" s="13"/>
    </row>
    <row r="49" spans="2:24" x14ac:dyDescent="0.3">
      <c r="B49" s="19">
        <f>$B$11+($B$10-$B$11)*38/99</f>
        <v>0</v>
      </c>
      <c r="P49" s="16" t="str">
        <f>IF('Data-Plot'!C49="","",$Q$11+('Data-Plot'!C49-'Data-Plot'!D49)*$P$9)</f>
        <v/>
      </c>
      <c r="Q49" s="16" t="str">
        <f>IF('Data-Plot'!C49="","",MAX('Data-Plot'!$C$11:$C$1010)*(1+$Q$9/100))</f>
        <v/>
      </c>
      <c r="R49" s="16" t="str">
        <f>IF('Data-Plot'!C49="","",('Data-Plot'!C49-'Data-Plot'!D49)*$P$9)</f>
        <v/>
      </c>
      <c r="S49" s="13"/>
      <c r="T49" s="13"/>
      <c r="U49" s="13"/>
      <c r="V49" s="13"/>
      <c r="W49" s="13"/>
      <c r="X49" s="13"/>
    </row>
    <row r="50" spans="2:24" x14ac:dyDescent="0.3">
      <c r="B50" s="19">
        <f>$B$11+($B$10-$B$11)*39/99</f>
        <v>0</v>
      </c>
      <c r="P50" s="16" t="str">
        <f>IF('Data-Plot'!C50="","",$Q$11+('Data-Plot'!C50-'Data-Plot'!D50)*$P$9)</f>
        <v/>
      </c>
      <c r="Q50" s="16" t="str">
        <f>IF('Data-Plot'!C50="","",MAX('Data-Plot'!$C$11:$C$1010)*(1+$Q$9/100))</f>
        <v/>
      </c>
      <c r="R50" s="16" t="str">
        <f>IF('Data-Plot'!C50="","",('Data-Plot'!C50-'Data-Plot'!D50)*$P$9)</f>
        <v/>
      </c>
      <c r="S50" s="13"/>
      <c r="T50" s="13"/>
      <c r="U50" s="13"/>
      <c r="V50" s="13"/>
      <c r="W50" s="13"/>
      <c r="X50" s="13"/>
    </row>
    <row r="51" spans="2:24" x14ac:dyDescent="0.3">
      <c r="B51" s="19">
        <f>$B$11+($B$10-$B$11)*40/99</f>
        <v>0</v>
      </c>
      <c r="P51" s="16" t="str">
        <f>IF('Data-Plot'!C51="","",$Q$11+('Data-Plot'!C51-'Data-Plot'!D51)*$P$9)</f>
        <v/>
      </c>
      <c r="Q51" s="16" t="str">
        <f>IF('Data-Plot'!C51="","",MAX('Data-Plot'!$C$11:$C$1010)*(1+$Q$9/100))</f>
        <v/>
      </c>
      <c r="R51" s="16" t="str">
        <f>IF('Data-Plot'!C51="","",('Data-Plot'!C51-'Data-Plot'!D51)*$P$9)</f>
        <v/>
      </c>
      <c r="S51" s="13"/>
      <c r="T51" s="13"/>
      <c r="U51" s="13"/>
      <c r="V51" s="13"/>
      <c r="W51" s="13"/>
      <c r="X51" s="13"/>
    </row>
    <row r="52" spans="2:24" x14ac:dyDescent="0.3">
      <c r="B52" s="19">
        <f>$B$11+($B$10-$B$11)*41/99</f>
        <v>0</v>
      </c>
      <c r="P52" s="16" t="str">
        <f>IF('Data-Plot'!C52="","",$Q$11+('Data-Plot'!C52-'Data-Plot'!D52)*$P$9)</f>
        <v/>
      </c>
      <c r="Q52" s="16" t="str">
        <f>IF('Data-Plot'!C52="","",MAX('Data-Plot'!$C$11:$C$1010)*(1+$Q$9/100))</f>
        <v/>
      </c>
      <c r="R52" s="16" t="str">
        <f>IF('Data-Plot'!C52="","",('Data-Plot'!C52-'Data-Plot'!D52)*$P$9)</f>
        <v/>
      </c>
      <c r="S52" s="13"/>
      <c r="T52" s="13"/>
      <c r="U52" s="13"/>
      <c r="V52" s="13"/>
      <c r="W52" s="13"/>
      <c r="X52" s="13"/>
    </row>
    <row r="53" spans="2:24" x14ac:dyDescent="0.3">
      <c r="B53" s="19">
        <f>$B$11+($B$10-$B$11)*42/99</f>
        <v>0</v>
      </c>
      <c r="P53" s="16" t="str">
        <f>IF('Data-Plot'!C53="","",$Q$11+('Data-Plot'!C53-'Data-Plot'!D53)*$P$9)</f>
        <v/>
      </c>
      <c r="Q53" s="16" t="str">
        <f>IF('Data-Plot'!C53="","",MAX('Data-Plot'!$C$11:$C$1010)*(1+$Q$9/100))</f>
        <v/>
      </c>
      <c r="R53" s="16" t="str">
        <f>IF('Data-Plot'!C53="","",('Data-Plot'!C53-'Data-Plot'!D53)*$P$9)</f>
        <v/>
      </c>
      <c r="S53" s="13"/>
      <c r="T53" s="13"/>
      <c r="U53" s="13"/>
      <c r="V53" s="13"/>
      <c r="W53" s="13"/>
      <c r="X53" s="13"/>
    </row>
    <row r="54" spans="2:24" x14ac:dyDescent="0.3">
      <c r="B54" s="19">
        <f>$B$11+($B$10-$B$11)*43/99</f>
        <v>0</v>
      </c>
      <c r="P54" s="16" t="str">
        <f>IF('Data-Plot'!C54="","",$Q$11+('Data-Plot'!C54-'Data-Plot'!D54)*$P$9)</f>
        <v/>
      </c>
      <c r="Q54" s="16" t="str">
        <f>IF('Data-Plot'!C54="","",MAX('Data-Plot'!$C$11:$C$1010)*(1+$Q$9/100))</f>
        <v/>
      </c>
      <c r="R54" s="16" t="str">
        <f>IF('Data-Plot'!C54="","",('Data-Plot'!C54-'Data-Plot'!D54)*$P$9)</f>
        <v/>
      </c>
      <c r="S54" s="13"/>
      <c r="T54" s="13"/>
      <c r="U54" s="13"/>
      <c r="V54" s="13"/>
      <c r="W54" s="13"/>
      <c r="X54" s="13"/>
    </row>
    <row r="55" spans="2:24" x14ac:dyDescent="0.3">
      <c r="B55" s="19">
        <f>$B$11+($B$10-$B$11)*44/99</f>
        <v>0</v>
      </c>
      <c r="P55" s="16" t="str">
        <f>IF('Data-Plot'!C55="","",$Q$11+('Data-Plot'!C55-'Data-Plot'!D55)*$P$9)</f>
        <v/>
      </c>
      <c r="Q55" s="16" t="str">
        <f>IF('Data-Plot'!C55="","",MAX('Data-Plot'!$C$11:$C$1010)*(1+$Q$9/100))</f>
        <v/>
      </c>
      <c r="R55" s="16" t="str">
        <f>IF('Data-Plot'!C55="","",('Data-Plot'!C55-'Data-Plot'!D55)*$P$9)</f>
        <v/>
      </c>
      <c r="S55" s="13"/>
      <c r="T55" s="13"/>
      <c r="U55" s="13"/>
      <c r="V55" s="13"/>
      <c r="W55" s="13"/>
      <c r="X55" s="13"/>
    </row>
    <row r="56" spans="2:24" x14ac:dyDescent="0.3">
      <c r="B56" s="19">
        <f>$B$11+($B$10-$B$11)*45/99</f>
        <v>0</v>
      </c>
      <c r="P56" s="16" t="str">
        <f>IF('Data-Plot'!C56="","",$Q$11+('Data-Plot'!C56-'Data-Plot'!D56)*$P$9)</f>
        <v/>
      </c>
      <c r="Q56" s="16" t="str">
        <f>IF('Data-Plot'!C56="","",MAX('Data-Plot'!$C$11:$C$1010)*(1+$Q$9/100))</f>
        <v/>
      </c>
      <c r="R56" s="16" t="str">
        <f>IF('Data-Plot'!C56="","",('Data-Plot'!C56-'Data-Plot'!D56)*$P$9)</f>
        <v/>
      </c>
      <c r="S56" s="13"/>
      <c r="T56" s="13"/>
      <c r="U56" s="13"/>
      <c r="V56" s="13"/>
      <c r="W56" s="13"/>
      <c r="X56" s="13"/>
    </row>
    <row r="57" spans="2:24" x14ac:dyDescent="0.3">
      <c r="B57" s="19">
        <f>$B$11+($B$10-$B$11)*46/99</f>
        <v>0</v>
      </c>
      <c r="P57" s="16" t="str">
        <f>IF('Data-Plot'!C57="","",$Q$11+('Data-Plot'!C57-'Data-Plot'!D57)*$P$9)</f>
        <v/>
      </c>
      <c r="Q57" s="16" t="str">
        <f>IF('Data-Plot'!C57="","",MAX('Data-Plot'!$C$11:$C$1010)*(1+$Q$9/100))</f>
        <v/>
      </c>
      <c r="R57" s="16" t="str">
        <f>IF('Data-Plot'!C57="","",('Data-Plot'!C57-'Data-Plot'!D57)*$P$9)</f>
        <v/>
      </c>
      <c r="S57" s="13"/>
      <c r="T57" s="13"/>
      <c r="U57" s="13"/>
      <c r="V57" s="13"/>
      <c r="W57" s="13"/>
      <c r="X57" s="13"/>
    </row>
    <row r="58" spans="2:24" x14ac:dyDescent="0.3">
      <c r="B58" s="19">
        <f>$B$11+($B$10-$B$11)*47/99</f>
        <v>0</v>
      </c>
      <c r="P58" s="16" t="str">
        <f>IF('Data-Plot'!C58="","",$Q$11+('Data-Plot'!C58-'Data-Plot'!D58)*$P$9)</f>
        <v/>
      </c>
      <c r="Q58" s="16" t="str">
        <f>IF('Data-Plot'!C58="","",MAX('Data-Plot'!$C$11:$C$1010)*(1+$Q$9/100))</f>
        <v/>
      </c>
      <c r="R58" s="16" t="str">
        <f>IF('Data-Plot'!C58="","",('Data-Plot'!C58-'Data-Plot'!D58)*$P$9)</f>
        <v/>
      </c>
      <c r="S58" s="13"/>
      <c r="T58" s="13"/>
      <c r="U58" s="13"/>
      <c r="V58" s="13"/>
      <c r="W58" s="13"/>
      <c r="X58" s="13"/>
    </row>
    <row r="59" spans="2:24" x14ac:dyDescent="0.3">
      <c r="B59" s="19">
        <f>$B$11+($B$10-$B$11)*48/99</f>
        <v>0</v>
      </c>
      <c r="P59" s="16" t="str">
        <f>IF('Data-Plot'!C59="","",$Q$11+('Data-Plot'!C59-'Data-Plot'!D59)*$P$9)</f>
        <v/>
      </c>
      <c r="Q59" s="16" t="str">
        <f>IF('Data-Plot'!C59="","",MAX('Data-Plot'!$C$11:$C$1010)*(1+$Q$9/100))</f>
        <v/>
      </c>
      <c r="R59" s="16" t="str">
        <f>IF('Data-Plot'!C59="","",('Data-Plot'!C59-'Data-Plot'!D59)*$P$9)</f>
        <v/>
      </c>
      <c r="S59" s="13"/>
      <c r="T59" s="13"/>
      <c r="U59" s="13"/>
      <c r="V59" s="13"/>
      <c r="W59" s="13"/>
      <c r="X59" s="13"/>
    </row>
    <row r="60" spans="2:24" x14ac:dyDescent="0.3">
      <c r="B60" s="19">
        <f>$B$11+($B$10-$B$11)*49/99</f>
        <v>0</v>
      </c>
      <c r="P60" s="16" t="str">
        <f>IF('Data-Plot'!C60="","",$Q$11+('Data-Plot'!C60-'Data-Plot'!D60)*$P$9)</f>
        <v/>
      </c>
      <c r="Q60" s="16" t="str">
        <f>IF('Data-Plot'!C60="","",MAX('Data-Plot'!$C$11:$C$1010)*(1+$Q$9/100))</f>
        <v/>
      </c>
      <c r="R60" s="16" t="str">
        <f>IF('Data-Plot'!C60="","",('Data-Plot'!C60-'Data-Plot'!D60)*$P$9)</f>
        <v/>
      </c>
      <c r="S60" s="13"/>
      <c r="T60" s="13"/>
      <c r="U60" s="13"/>
      <c r="V60" s="13"/>
      <c r="W60" s="13"/>
      <c r="X60" s="13"/>
    </row>
    <row r="61" spans="2:24" x14ac:dyDescent="0.3">
      <c r="B61" s="19">
        <f>$B$11+($B$10-$B$11)*50/99</f>
        <v>0</v>
      </c>
      <c r="P61" s="16" t="str">
        <f>IF('Data-Plot'!C61="","",$Q$11+('Data-Plot'!C61-'Data-Plot'!D61)*$P$9)</f>
        <v/>
      </c>
      <c r="Q61" s="16" t="str">
        <f>IF('Data-Plot'!C61="","",MAX('Data-Plot'!$C$11:$C$1010)*(1+$Q$9/100))</f>
        <v/>
      </c>
      <c r="R61" s="16" t="str">
        <f>IF('Data-Plot'!C61="","",('Data-Plot'!C61-'Data-Plot'!D61)*$P$9)</f>
        <v/>
      </c>
      <c r="S61" s="13"/>
      <c r="T61" s="13"/>
      <c r="U61" s="13"/>
      <c r="V61" s="13"/>
      <c r="W61" s="13"/>
      <c r="X61" s="13"/>
    </row>
    <row r="62" spans="2:24" x14ac:dyDescent="0.3">
      <c r="B62" s="19">
        <f>$B$11+($B$10-$B$11)*51/99</f>
        <v>0</v>
      </c>
      <c r="P62" s="16" t="str">
        <f>IF('Data-Plot'!C62="","",$Q$11+('Data-Plot'!C62-'Data-Plot'!D62)*$P$9)</f>
        <v/>
      </c>
      <c r="Q62" s="16" t="str">
        <f>IF('Data-Plot'!C62="","",MAX('Data-Plot'!$C$11:$C$1010)*(1+$Q$9/100))</f>
        <v/>
      </c>
      <c r="R62" s="16" t="str">
        <f>IF('Data-Plot'!C62="","",('Data-Plot'!C62-'Data-Plot'!D62)*$P$9)</f>
        <v/>
      </c>
      <c r="S62" s="13"/>
      <c r="T62" s="13"/>
      <c r="U62" s="13"/>
      <c r="V62" s="13"/>
      <c r="W62" s="13"/>
      <c r="X62" s="13"/>
    </row>
    <row r="63" spans="2:24" x14ac:dyDescent="0.3">
      <c r="B63" s="19">
        <f>$B$11+($B$10-$B$11)*52/99</f>
        <v>0</v>
      </c>
      <c r="P63" s="16" t="str">
        <f>IF('Data-Plot'!C63="","",$Q$11+('Data-Plot'!C63-'Data-Plot'!D63)*$P$9)</f>
        <v/>
      </c>
      <c r="Q63" s="16" t="str">
        <f>IF('Data-Plot'!C63="","",MAX('Data-Plot'!$C$11:$C$1010)*(1+$Q$9/100))</f>
        <v/>
      </c>
      <c r="R63" s="16" t="str">
        <f>IF('Data-Plot'!C63="","",('Data-Plot'!C63-'Data-Plot'!D63)*$P$9)</f>
        <v/>
      </c>
      <c r="S63" s="13"/>
      <c r="T63" s="13"/>
      <c r="U63" s="13"/>
      <c r="V63" s="13"/>
      <c r="W63" s="13"/>
      <c r="X63" s="13"/>
    </row>
    <row r="64" spans="2:24" x14ac:dyDescent="0.3">
      <c r="B64" s="19">
        <f>$B$11+($B$10-$B$11)*53/99</f>
        <v>0</v>
      </c>
      <c r="P64" s="16" t="str">
        <f>IF('Data-Plot'!C64="","",$Q$11+('Data-Plot'!C64-'Data-Plot'!D64)*$P$9)</f>
        <v/>
      </c>
      <c r="Q64" s="16" t="str">
        <f>IF('Data-Plot'!C64="","",MAX('Data-Plot'!$C$11:$C$1010)*(1+$Q$9/100))</f>
        <v/>
      </c>
      <c r="R64" s="16" t="str">
        <f>IF('Data-Plot'!C64="","",('Data-Plot'!C64-'Data-Plot'!D64)*$P$9)</f>
        <v/>
      </c>
      <c r="S64" s="13"/>
      <c r="T64" s="13"/>
      <c r="U64" s="13"/>
      <c r="V64" s="13"/>
      <c r="W64" s="13"/>
      <c r="X64" s="13"/>
    </row>
    <row r="65" spans="2:24" x14ac:dyDescent="0.3">
      <c r="B65" s="19">
        <f>$B$11+($B$10-$B$11)*54/99</f>
        <v>0</v>
      </c>
      <c r="P65" s="16" t="str">
        <f>IF('Data-Plot'!C65="","",$Q$11+('Data-Plot'!C65-'Data-Plot'!D65)*$P$9)</f>
        <v/>
      </c>
      <c r="Q65" s="16" t="str">
        <f>IF('Data-Plot'!C65="","",MAX('Data-Plot'!$C$11:$C$1010)*(1+$Q$9/100))</f>
        <v/>
      </c>
      <c r="R65" s="16" t="str">
        <f>IF('Data-Plot'!C65="","",('Data-Plot'!C65-'Data-Plot'!D65)*$P$9)</f>
        <v/>
      </c>
      <c r="S65" s="13"/>
      <c r="T65" s="13"/>
      <c r="U65" s="13"/>
      <c r="V65" s="13"/>
      <c r="W65" s="13"/>
      <c r="X65" s="13"/>
    </row>
    <row r="66" spans="2:24" x14ac:dyDescent="0.3">
      <c r="B66" s="19">
        <f>$B$11+($B$10-$B$11)*55/99</f>
        <v>0</v>
      </c>
      <c r="P66" s="16" t="str">
        <f>IF('Data-Plot'!C66="","",$Q$11+('Data-Plot'!C66-'Data-Plot'!D66)*$P$9)</f>
        <v/>
      </c>
      <c r="Q66" s="16" t="str">
        <f>IF('Data-Plot'!C66="","",MAX('Data-Plot'!$C$11:$C$1010)*(1+$Q$9/100))</f>
        <v/>
      </c>
      <c r="R66" s="16" t="str">
        <f>IF('Data-Plot'!C66="","",('Data-Plot'!C66-'Data-Plot'!D66)*$P$9)</f>
        <v/>
      </c>
      <c r="S66" s="13"/>
      <c r="T66" s="13"/>
      <c r="U66" s="13"/>
      <c r="V66" s="13"/>
      <c r="W66" s="13"/>
      <c r="X66" s="13"/>
    </row>
    <row r="67" spans="2:24" x14ac:dyDescent="0.3">
      <c r="B67" s="19">
        <f>$B$11+($B$10-$B$11)*56/99</f>
        <v>0</v>
      </c>
      <c r="P67" s="16" t="str">
        <f>IF('Data-Plot'!C67="","",$Q$11+('Data-Plot'!C67-'Data-Plot'!D67)*$P$9)</f>
        <v/>
      </c>
      <c r="Q67" s="16" t="str">
        <f>IF('Data-Plot'!C67="","",MAX('Data-Plot'!$C$11:$C$1010)*(1+$Q$9/100))</f>
        <v/>
      </c>
      <c r="R67" s="16" t="str">
        <f>IF('Data-Plot'!C67="","",('Data-Plot'!C67-'Data-Plot'!D67)*$P$9)</f>
        <v/>
      </c>
      <c r="S67" s="13"/>
      <c r="T67" s="13"/>
      <c r="U67" s="13"/>
      <c r="V67" s="13"/>
      <c r="W67" s="13"/>
      <c r="X67" s="13"/>
    </row>
    <row r="68" spans="2:24" x14ac:dyDescent="0.3">
      <c r="B68" s="19">
        <f>$B$11+($B$10-$B$11)*57/99</f>
        <v>0</v>
      </c>
      <c r="P68" s="16" t="str">
        <f>IF('Data-Plot'!C68="","",$Q$11+('Data-Plot'!C68-'Data-Plot'!D68)*$P$9)</f>
        <v/>
      </c>
      <c r="Q68" s="16" t="str">
        <f>IF('Data-Plot'!C68="","",MAX('Data-Plot'!$C$11:$C$1010)*(1+$Q$9/100))</f>
        <v/>
      </c>
      <c r="R68" s="16" t="str">
        <f>IF('Data-Plot'!C68="","",('Data-Plot'!C68-'Data-Plot'!D68)*$P$9)</f>
        <v/>
      </c>
      <c r="S68" s="13"/>
      <c r="T68" s="13"/>
      <c r="U68" s="13"/>
      <c r="V68" s="13"/>
      <c r="W68" s="13"/>
      <c r="X68" s="13"/>
    </row>
    <row r="69" spans="2:24" x14ac:dyDescent="0.3">
      <c r="B69" s="19">
        <f>$B$11+($B$10-$B$11)*58/99</f>
        <v>0</v>
      </c>
      <c r="P69" s="16" t="str">
        <f>IF('Data-Plot'!C69="","",$Q$11+('Data-Plot'!C69-'Data-Plot'!D69)*$P$9)</f>
        <v/>
      </c>
      <c r="Q69" s="16" t="str">
        <f>IF('Data-Plot'!C69="","",MAX('Data-Plot'!$C$11:$C$1010)*(1+$Q$9/100))</f>
        <v/>
      </c>
      <c r="R69" s="16" t="str">
        <f>IF('Data-Plot'!C69="","",('Data-Plot'!C69-'Data-Plot'!D69)*$P$9)</f>
        <v/>
      </c>
      <c r="S69" s="13"/>
      <c r="T69" s="13"/>
      <c r="U69" s="13"/>
      <c r="V69" s="13"/>
      <c r="W69" s="13"/>
      <c r="X69" s="13"/>
    </row>
    <row r="70" spans="2:24" x14ac:dyDescent="0.3">
      <c r="B70" s="19">
        <f>$B$11+($B$10-$B$11)*59/99</f>
        <v>0</v>
      </c>
      <c r="P70" s="16" t="str">
        <f>IF('Data-Plot'!C70="","",$Q$11+('Data-Plot'!C70-'Data-Plot'!D70)*$P$9)</f>
        <v/>
      </c>
      <c r="Q70" s="16" t="str">
        <f>IF('Data-Plot'!C70="","",MAX('Data-Plot'!$C$11:$C$1010)*(1+$Q$9/100))</f>
        <v/>
      </c>
      <c r="R70" s="16" t="str">
        <f>IF('Data-Plot'!C70="","",('Data-Plot'!C70-'Data-Plot'!D70)*$P$9)</f>
        <v/>
      </c>
      <c r="S70" s="13"/>
      <c r="T70" s="13"/>
      <c r="U70" s="13"/>
      <c r="V70" s="13"/>
      <c r="W70" s="13"/>
      <c r="X70" s="13"/>
    </row>
    <row r="71" spans="2:24" x14ac:dyDescent="0.3">
      <c r="B71" s="19">
        <f>$B$11+($B$10-$B$11)*60/99</f>
        <v>0</v>
      </c>
      <c r="P71" s="16" t="str">
        <f>IF('Data-Plot'!C71="","",$Q$11+('Data-Plot'!C71-'Data-Plot'!D71)*$P$9)</f>
        <v/>
      </c>
      <c r="Q71" s="16" t="str">
        <f>IF('Data-Plot'!C71="","",MAX('Data-Plot'!$C$11:$C$1010)*(1+$Q$9/100))</f>
        <v/>
      </c>
      <c r="R71" s="16" t="str">
        <f>IF('Data-Plot'!C71="","",('Data-Plot'!C71-'Data-Plot'!D71)*$P$9)</f>
        <v/>
      </c>
      <c r="S71" s="13"/>
      <c r="T71" s="13"/>
      <c r="U71" s="13"/>
      <c r="V71" s="13"/>
      <c r="W71" s="13"/>
      <c r="X71" s="13"/>
    </row>
    <row r="72" spans="2:24" x14ac:dyDescent="0.3">
      <c r="B72" s="19">
        <f>$B$11+($B$10-$B$11)*61/99</f>
        <v>0</v>
      </c>
      <c r="P72" s="16" t="str">
        <f>IF('Data-Plot'!C72="","",$Q$11+('Data-Plot'!C72-'Data-Plot'!D72)*$P$9)</f>
        <v/>
      </c>
      <c r="Q72" s="16" t="str">
        <f>IF('Data-Plot'!C72="","",MAX('Data-Plot'!$C$11:$C$1010)*(1+$Q$9/100))</f>
        <v/>
      </c>
      <c r="R72" s="16" t="str">
        <f>IF('Data-Plot'!C72="","",('Data-Plot'!C72-'Data-Plot'!D72)*$P$9)</f>
        <v/>
      </c>
      <c r="S72" s="13"/>
      <c r="T72" s="13"/>
      <c r="U72" s="13"/>
      <c r="V72" s="13"/>
      <c r="W72" s="13"/>
      <c r="X72" s="13"/>
    </row>
    <row r="73" spans="2:24" x14ac:dyDescent="0.3">
      <c r="B73" s="19">
        <f>$B$11+($B$10-$B$11)*62/99</f>
        <v>0</v>
      </c>
      <c r="P73" s="16" t="str">
        <f>IF('Data-Plot'!C73="","",$Q$11+('Data-Plot'!C73-'Data-Plot'!D73)*$P$9)</f>
        <v/>
      </c>
      <c r="Q73" s="16" t="str">
        <f>IF('Data-Plot'!C73="","",MAX('Data-Plot'!$C$11:$C$1010)*(1+$Q$9/100))</f>
        <v/>
      </c>
      <c r="R73" s="16" t="str">
        <f>IF('Data-Plot'!C73="","",('Data-Plot'!C73-'Data-Plot'!D73)*$P$9)</f>
        <v/>
      </c>
      <c r="S73" s="13"/>
      <c r="T73" s="13"/>
      <c r="U73" s="13"/>
      <c r="V73" s="13"/>
      <c r="W73" s="13"/>
      <c r="X73" s="13"/>
    </row>
    <row r="74" spans="2:24" x14ac:dyDescent="0.3">
      <c r="B74" s="19">
        <f>$B$11+($B$10-$B$11)*63/99</f>
        <v>0</v>
      </c>
      <c r="P74" s="16" t="str">
        <f>IF('Data-Plot'!C74="","",$Q$11+('Data-Plot'!C74-'Data-Plot'!D74)*$P$9)</f>
        <v/>
      </c>
      <c r="Q74" s="16" t="str">
        <f>IF('Data-Plot'!C74="","",MAX('Data-Plot'!$C$11:$C$1010)*(1+$Q$9/100))</f>
        <v/>
      </c>
      <c r="R74" s="16" t="str">
        <f>IF('Data-Plot'!C74="","",('Data-Plot'!C74-'Data-Plot'!D74)*$P$9)</f>
        <v/>
      </c>
      <c r="S74" s="13"/>
      <c r="T74" s="13"/>
      <c r="U74" s="13"/>
      <c r="V74" s="13"/>
      <c r="W74" s="13"/>
      <c r="X74" s="13"/>
    </row>
    <row r="75" spans="2:24" x14ac:dyDescent="0.3">
      <c r="B75" s="19">
        <f>$B$11+($B$10-$B$11)*64/99</f>
        <v>0</v>
      </c>
      <c r="P75" s="16" t="str">
        <f>IF('Data-Plot'!C75="","",$Q$11+('Data-Plot'!C75-'Data-Plot'!D75)*$P$9)</f>
        <v/>
      </c>
      <c r="Q75" s="16" t="str">
        <f>IF('Data-Plot'!C75="","",MAX('Data-Plot'!$C$11:$C$1010)*(1+$Q$9/100))</f>
        <v/>
      </c>
      <c r="R75" s="16" t="str">
        <f>IF('Data-Plot'!C75="","",('Data-Plot'!C75-'Data-Plot'!D75)*$P$9)</f>
        <v/>
      </c>
      <c r="S75" s="13"/>
      <c r="T75" s="13"/>
      <c r="U75" s="13"/>
      <c r="V75" s="13"/>
      <c r="W75" s="13"/>
      <c r="X75" s="13"/>
    </row>
    <row r="76" spans="2:24" x14ac:dyDescent="0.3">
      <c r="B76" s="19">
        <f>$B$11+($B$10-$B$11)*65/99</f>
        <v>0</v>
      </c>
      <c r="P76" s="16" t="str">
        <f>IF('Data-Plot'!C76="","",$Q$11+('Data-Plot'!C76-'Data-Plot'!D76)*$P$9)</f>
        <v/>
      </c>
      <c r="Q76" s="16" t="str">
        <f>IF('Data-Plot'!C76="","",MAX('Data-Plot'!$C$11:$C$1010)*(1+$Q$9/100))</f>
        <v/>
      </c>
      <c r="R76" s="16" t="str">
        <f>IF('Data-Plot'!C76="","",('Data-Plot'!C76-'Data-Plot'!D76)*$P$9)</f>
        <v/>
      </c>
      <c r="S76" s="13"/>
      <c r="T76" s="13"/>
      <c r="U76" s="13"/>
      <c r="V76" s="13"/>
      <c r="W76" s="13"/>
      <c r="X76" s="13"/>
    </row>
    <row r="77" spans="2:24" x14ac:dyDescent="0.3">
      <c r="B77" s="19">
        <f>$B$11+($B$10-$B$11)*66/99</f>
        <v>0</v>
      </c>
      <c r="P77" s="16" t="str">
        <f>IF('Data-Plot'!C77="","",$Q$11+('Data-Plot'!C77-'Data-Plot'!D77)*$P$9)</f>
        <v/>
      </c>
      <c r="Q77" s="16" t="str">
        <f>IF('Data-Plot'!C77="","",MAX('Data-Plot'!$C$11:$C$1010)*(1+$Q$9/100))</f>
        <v/>
      </c>
      <c r="R77" s="16" t="str">
        <f>IF('Data-Plot'!C77="","",('Data-Plot'!C77-'Data-Plot'!D77)*$P$9)</f>
        <v/>
      </c>
      <c r="S77" s="13"/>
      <c r="T77" s="13"/>
      <c r="U77" s="13"/>
      <c r="V77" s="13"/>
      <c r="W77" s="13"/>
      <c r="X77" s="13"/>
    </row>
    <row r="78" spans="2:24" x14ac:dyDescent="0.3">
      <c r="B78" s="19">
        <f>$B$11+($B$10-$B$11)*67/99</f>
        <v>0</v>
      </c>
      <c r="P78" s="16" t="str">
        <f>IF('Data-Plot'!C78="","",$Q$11+('Data-Plot'!C78-'Data-Plot'!D78)*$P$9)</f>
        <v/>
      </c>
      <c r="Q78" s="16" t="str">
        <f>IF('Data-Plot'!C78="","",MAX('Data-Plot'!$C$11:$C$1010)*(1+$Q$9/100))</f>
        <v/>
      </c>
      <c r="R78" s="16" t="str">
        <f>IF('Data-Plot'!C78="","",('Data-Plot'!C78-'Data-Plot'!D78)*$P$9)</f>
        <v/>
      </c>
      <c r="S78" s="13"/>
      <c r="T78" s="13"/>
      <c r="U78" s="13"/>
      <c r="V78" s="13"/>
      <c r="W78" s="13"/>
      <c r="X78" s="13"/>
    </row>
    <row r="79" spans="2:24" x14ac:dyDescent="0.3">
      <c r="B79" s="19">
        <f>$B$11+($B$10-$B$11)*68/99</f>
        <v>0</v>
      </c>
      <c r="P79" s="16" t="str">
        <f>IF('Data-Plot'!C79="","",$Q$11+('Data-Plot'!C79-'Data-Plot'!D79)*$P$9)</f>
        <v/>
      </c>
      <c r="Q79" s="16" t="str">
        <f>IF('Data-Plot'!C79="","",MAX('Data-Plot'!$C$11:$C$1010)*(1+$Q$9/100))</f>
        <v/>
      </c>
      <c r="R79" s="16" t="str">
        <f>IF('Data-Plot'!C79="","",('Data-Plot'!C79-'Data-Plot'!D79)*$P$9)</f>
        <v/>
      </c>
      <c r="S79" s="13"/>
      <c r="T79" s="13"/>
      <c r="U79" s="13"/>
      <c r="V79" s="13"/>
      <c r="W79" s="13"/>
      <c r="X79" s="13"/>
    </row>
    <row r="80" spans="2:24" x14ac:dyDescent="0.3">
      <c r="B80" s="19">
        <f>$B$11+($B$10-$B$11)*69/99</f>
        <v>0</v>
      </c>
      <c r="P80" s="16" t="str">
        <f>IF('Data-Plot'!C80="","",$Q$11+('Data-Plot'!C80-'Data-Plot'!D80)*$P$9)</f>
        <v/>
      </c>
      <c r="Q80" s="16" t="str">
        <f>IF('Data-Plot'!C80="","",MAX('Data-Plot'!$C$11:$C$1010)*(1+$Q$9/100))</f>
        <v/>
      </c>
      <c r="R80" s="16" t="str">
        <f>IF('Data-Plot'!C80="","",('Data-Plot'!C80-'Data-Plot'!D80)*$P$9)</f>
        <v/>
      </c>
      <c r="S80" s="13"/>
      <c r="T80" s="13"/>
      <c r="U80" s="13"/>
      <c r="V80" s="13"/>
      <c r="W80" s="13"/>
      <c r="X80" s="13"/>
    </row>
    <row r="81" spans="2:24" x14ac:dyDescent="0.3">
      <c r="B81" s="19">
        <f>$B$11+($B$10-$B$11)*70/99</f>
        <v>0</v>
      </c>
      <c r="P81" s="16" t="str">
        <f>IF('Data-Plot'!C81="","",$Q$11+('Data-Plot'!C81-'Data-Plot'!D81)*$P$9)</f>
        <v/>
      </c>
      <c r="Q81" s="16" t="str">
        <f>IF('Data-Plot'!C81="","",MAX('Data-Plot'!$C$11:$C$1010)*(1+$Q$9/100))</f>
        <v/>
      </c>
      <c r="R81" s="16" t="str">
        <f>IF('Data-Plot'!C81="","",('Data-Plot'!C81-'Data-Plot'!D81)*$P$9)</f>
        <v/>
      </c>
      <c r="S81" s="13"/>
      <c r="T81" s="13"/>
      <c r="U81" s="13"/>
      <c r="V81" s="13"/>
      <c r="W81" s="13"/>
      <c r="X81" s="13"/>
    </row>
    <row r="82" spans="2:24" x14ac:dyDescent="0.3">
      <c r="B82" s="19">
        <f>$B$11+($B$10-$B$11)*71/99</f>
        <v>0</v>
      </c>
      <c r="P82" s="16" t="str">
        <f>IF('Data-Plot'!C82="","",$Q$11+('Data-Plot'!C82-'Data-Plot'!D82)*$P$9)</f>
        <v/>
      </c>
      <c r="Q82" s="16" t="str">
        <f>IF('Data-Plot'!C82="","",MAX('Data-Plot'!$C$11:$C$1010)*(1+$Q$9/100))</f>
        <v/>
      </c>
      <c r="R82" s="16" t="str">
        <f>IF('Data-Plot'!C82="","",('Data-Plot'!C82-'Data-Plot'!D82)*$P$9)</f>
        <v/>
      </c>
      <c r="S82" s="13"/>
      <c r="T82" s="13"/>
      <c r="U82" s="13"/>
      <c r="V82" s="13"/>
      <c r="W82" s="13"/>
      <c r="X82" s="13"/>
    </row>
    <row r="83" spans="2:24" x14ac:dyDescent="0.3">
      <c r="B83" s="19">
        <f>$B$11+($B$10-$B$11)*72/99</f>
        <v>0</v>
      </c>
      <c r="P83" s="16" t="str">
        <f>IF('Data-Plot'!C83="","",$Q$11+('Data-Plot'!C83-'Data-Plot'!D83)*$P$9)</f>
        <v/>
      </c>
      <c r="Q83" s="16" t="str">
        <f>IF('Data-Plot'!C83="","",MAX('Data-Plot'!$C$11:$C$1010)*(1+$Q$9/100))</f>
        <v/>
      </c>
      <c r="R83" s="16" t="str">
        <f>IF('Data-Plot'!C83="","",('Data-Plot'!C83-'Data-Plot'!D83)*$P$9)</f>
        <v/>
      </c>
      <c r="S83" s="13"/>
      <c r="T83" s="13"/>
      <c r="U83" s="13"/>
      <c r="V83" s="13"/>
      <c r="W83" s="13"/>
      <c r="X83" s="13"/>
    </row>
    <row r="84" spans="2:24" x14ac:dyDescent="0.3">
      <c r="B84" s="19">
        <f>$B$11+($B$10-$B$11)*73/99</f>
        <v>0</v>
      </c>
      <c r="P84" s="16" t="str">
        <f>IF('Data-Plot'!C84="","",$Q$11+('Data-Plot'!C84-'Data-Plot'!D84)*$P$9)</f>
        <v/>
      </c>
      <c r="Q84" s="16" t="str">
        <f>IF('Data-Plot'!C84="","",MAX('Data-Plot'!$C$11:$C$1010)*(1+$Q$9/100))</f>
        <v/>
      </c>
      <c r="R84" s="16" t="str">
        <f>IF('Data-Plot'!C84="","",('Data-Plot'!C84-'Data-Plot'!D84)*$P$9)</f>
        <v/>
      </c>
      <c r="S84" s="13"/>
      <c r="T84" s="13"/>
      <c r="U84" s="13"/>
      <c r="V84" s="13"/>
      <c r="W84" s="13"/>
      <c r="X84" s="13"/>
    </row>
    <row r="85" spans="2:24" x14ac:dyDescent="0.3">
      <c r="B85" s="19">
        <f>$B$11+($B$10-$B$11)*74/99</f>
        <v>0</v>
      </c>
      <c r="P85" s="16" t="str">
        <f>IF('Data-Plot'!C85="","",$Q$11+('Data-Plot'!C85-'Data-Plot'!D85)*$P$9)</f>
        <v/>
      </c>
      <c r="Q85" s="16" t="str">
        <f>IF('Data-Plot'!C85="","",MAX('Data-Plot'!$C$11:$C$1010)*(1+$Q$9/100))</f>
        <v/>
      </c>
      <c r="R85" s="16" t="str">
        <f>IF('Data-Plot'!C85="","",('Data-Plot'!C85-'Data-Plot'!D85)*$P$9)</f>
        <v/>
      </c>
      <c r="S85" s="13"/>
      <c r="T85" s="13"/>
      <c r="U85" s="13"/>
      <c r="V85" s="13"/>
      <c r="W85" s="13"/>
      <c r="X85" s="13"/>
    </row>
    <row r="86" spans="2:24" x14ac:dyDescent="0.3">
      <c r="B86" s="19">
        <f>$B$11+($B$10-$B$11)*75/99</f>
        <v>0</v>
      </c>
      <c r="P86" s="16" t="str">
        <f>IF('Data-Plot'!C86="","",$Q$11+('Data-Plot'!C86-'Data-Plot'!D86)*$P$9)</f>
        <v/>
      </c>
      <c r="Q86" s="16" t="str">
        <f>IF('Data-Plot'!C86="","",MAX('Data-Plot'!$C$11:$C$1010)*(1+$Q$9/100))</f>
        <v/>
      </c>
      <c r="R86" s="16" t="str">
        <f>IF('Data-Plot'!C86="","",('Data-Plot'!C86-'Data-Plot'!D86)*$P$9)</f>
        <v/>
      </c>
      <c r="S86" s="13"/>
      <c r="T86" s="13"/>
      <c r="U86" s="13"/>
      <c r="V86" s="13"/>
      <c r="W86" s="13"/>
      <c r="X86" s="13"/>
    </row>
    <row r="87" spans="2:24" x14ac:dyDescent="0.3">
      <c r="B87" s="19">
        <f>$B$11+($B$10-$B$11)*76/99</f>
        <v>0</v>
      </c>
      <c r="P87" s="16" t="str">
        <f>IF('Data-Plot'!C87="","",$Q$11+('Data-Plot'!C87-'Data-Plot'!D87)*$P$9)</f>
        <v/>
      </c>
      <c r="Q87" s="16" t="str">
        <f>IF('Data-Plot'!C87="","",MAX('Data-Plot'!$C$11:$C$1010)*(1+$Q$9/100))</f>
        <v/>
      </c>
      <c r="R87" s="16" t="str">
        <f>IF('Data-Plot'!C87="","",('Data-Plot'!C87-'Data-Plot'!D87)*$P$9)</f>
        <v/>
      </c>
      <c r="S87" s="13"/>
      <c r="T87" s="13"/>
      <c r="U87" s="13"/>
      <c r="V87" s="13"/>
      <c r="W87" s="13"/>
      <c r="X87" s="13"/>
    </row>
    <row r="88" spans="2:24" x14ac:dyDescent="0.3">
      <c r="B88" s="19">
        <f>$B$11+($B$10-$B$11)*77/99</f>
        <v>0</v>
      </c>
      <c r="P88" s="16" t="str">
        <f>IF('Data-Plot'!C88="","",$Q$11+('Data-Plot'!C88-'Data-Plot'!D88)*$P$9)</f>
        <v/>
      </c>
      <c r="Q88" s="16" t="str">
        <f>IF('Data-Plot'!C88="","",MAX('Data-Plot'!$C$11:$C$1010)*(1+$Q$9/100))</f>
        <v/>
      </c>
      <c r="R88" s="16" t="str">
        <f>IF('Data-Plot'!C88="","",('Data-Plot'!C88-'Data-Plot'!D88)*$P$9)</f>
        <v/>
      </c>
      <c r="S88" s="13"/>
      <c r="T88" s="13"/>
      <c r="U88" s="13"/>
      <c r="V88" s="13"/>
      <c r="W88" s="13"/>
      <c r="X88" s="13"/>
    </row>
    <row r="89" spans="2:24" x14ac:dyDescent="0.3">
      <c r="B89" s="19">
        <f>$B$11+($B$10-$B$11)*78/99</f>
        <v>0</v>
      </c>
      <c r="P89" s="16" t="str">
        <f>IF('Data-Plot'!C89="","",$Q$11+('Data-Plot'!C89-'Data-Plot'!D89)*$P$9)</f>
        <v/>
      </c>
      <c r="Q89" s="16" t="str">
        <f>IF('Data-Plot'!C89="","",MAX('Data-Plot'!$C$11:$C$1010)*(1+$Q$9/100))</f>
        <v/>
      </c>
      <c r="R89" s="16" t="str">
        <f>IF('Data-Plot'!C89="","",('Data-Plot'!C89-'Data-Plot'!D89)*$P$9)</f>
        <v/>
      </c>
      <c r="S89" s="13"/>
      <c r="T89" s="13"/>
      <c r="U89" s="13"/>
      <c r="V89" s="13"/>
      <c r="W89" s="13"/>
      <c r="X89" s="13"/>
    </row>
    <row r="90" spans="2:24" x14ac:dyDescent="0.3">
      <c r="B90" s="19">
        <f>$B$11+($B$10-$B$11)*79/99</f>
        <v>0</v>
      </c>
      <c r="P90" s="16" t="str">
        <f>IF('Data-Plot'!C90="","",$Q$11+('Data-Plot'!C90-'Data-Plot'!D90)*$P$9)</f>
        <v/>
      </c>
      <c r="Q90" s="16" t="str">
        <f>IF('Data-Plot'!C90="","",MAX('Data-Plot'!$C$11:$C$1010)*(1+$Q$9/100))</f>
        <v/>
      </c>
      <c r="R90" s="16" t="str">
        <f>IF('Data-Plot'!C90="","",('Data-Plot'!C90-'Data-Plot'!D90)*$P$9)</f>
        <v/>
      </c>
      <c r="S90" s="13"/>
      <c r="T90" s="13"/>
      <c r="U90" s="13"/>
      <c r="V90" s="13"/>
      <c r="W90" s="13"/>
      <c r="X90" s="13"/>
    </row>
    <row r="91" spans="2:24" x14ac:dyDescent="0.3">
      <c r="B91" s="19">
        <f>$B$11+($B$10-$B$11)*80/99</f>
        <v>0</v>
      </c>
      <c r="P91" s="16" t="str">
        <f>IF('Data-Plot'!C91="","",$Q$11+('Data-Plot'!C91-'Data-Plot'!D91)*$P$9)</f>
        <v/>
      </c>
      <c r="Q91" s="16" t="str">
        <f>IF('Data-Plot'!C91="","",MAX('Data-Plot'!$C$11:$C$1010)*(1+$Q$9/100))</f>
        <v/>
      </c>
      <c r="R91" s="16" t="str">
        <f>IF('Data-Plot'!C91="","",('Data-Plot'!C91-'Data-Plot'!D91)*$P$9)</f>
        <v/>
      </c>
      <c r="S91" s="13"/>
      <c r="T91" s="13"/>
      <c r="U91" s="13"/>
      <c r="V91" s="13"/>
      <c r="W91" s="13"/>
      <c r="X91" s="13"/>
    </row>
    <row r="92" spans="2:24" x14ac:dyDescent="0.3">
      <c r="B92" s="19">
        <f>$B$11+($B$10-$B$11)*81/99</f>
        <v>0</v>
      </c>
      <c r="P92" s="16" t="str">
        <f>IF('Data-Plot'!C92="","",$Q$11+('Data-Plot'!C92-'Data-Plot'!D92)*$P$9)</f>
        <v/>
      </c>
      <c r="Q92" s="16" t="str">
        <f>IF('Data-Plot'!C92="","",MAX('Data-Plot'!$C$11:$C$1010)*(1+$Q$9/100))</f>
        <v/>
      </c>
      <c r="R92" s="16" t="str">
        <f>IF('Data-Plot'!C92="","",('Data-Plot'!C92-'Data-Plot'!D92)*$P$9)</f>
        <v/>
      </c>
      <c r="S92" s="13"/>
      <c r="T92" s="13"/>
      <c r="U92" s="13"/>
      <c r="V92" s="13"/>
      <c r="W92" s="13"/>
      <c r="X92" s="13"/>
    </row>
    <row r="93" spans="2:24" x14ac:dyDescent="0.3">
      <c r="B93" s="19">
        <f>$B$11+($B$10-$B$11)*82/99</f>
        <v>0</v>
      </c>
      <c r="P93" s="16" t="str">
        <f>IF('Data-Plot'!C93="","",$Q$11+('Data-Plot'!C93-'Data-Plot'!D93)*$P$9)</f>
        <v/>
      </c>
      <c r="Q93" s="16" t="str">
        <f>IF('Data-Plot'!C93="","",MAX('Data-Plot'!$C$11:$C$1010)*(1+$Q$9/100))</f>
        <v/>
      </c>
      <c r="R93" s="16" t="str">
        <f>IF('Data-Plot'!C93="","",('Data-Plot'!C93-'Data-Plot'!D93)*$P$9)</f>
        <v/>
      </c>
      <c r="S93" s="13"/>
      <c r="T93" s="13"/>
      <c r="U93" s="13"/>
      <c r="V93" s="13"/>
      <c r="W93" s="13"/>
      <c r="X93" s="13"/>
    </row>
    <row r="94" spans="2:24" x14ac:dyDescent="0.3">
      <c r="B94" s="19">
        <f>$B$11+($B$10-$B$11)*83/99</f>
        <v>0</v>
      </c>
      <c r="P94" s="16" t="str">
        <f>IF('Data-Plot'!C94="","",$Q$11+('Data-Plot'!C94-'Data-Plot'!D94)*$P$9)</f>
        <v/>
      </c>
      <c r="Q94" s="16" t="str">
        <f>IF('Data-Plot'!C94="","",MAX('Data-Plot'!$C$11:$C$1010)*(1+$Q$9/100))</f>
        <v/>
      </c>
      <c r="R94" s="16" t="str">
        <f>IF('Data-Plot'!C94="","",('Data-Plot'!C94-'Data-Plot'!D94)*$P$9)</f>
        <v/>
      </c>
      <c r="S94" s="13"/>
      <c r="T94" s="13"/>
      <c r="U94" s="13"/>
      <c r="V94" s="13"/>
      <c r="W94" s="13"/>
      <c r="X94" s="13"/>
    </row>
    <row r="95" spans="2:24" x14ac:dyDescent="0.3">
      <c r="B95" s="19">
        <f>$B$11+($B$10-$B$11)*84/99</f>
        <v>0</v>
      </c>
      <c r="P95" s="16" t="str">
        <f>IF('Data-Plot'!C95="","",$Q$11+('Data-Plot'!C95-'Data-Plot'!D95)*$P$9)</f>
        <v/>
      </c>
      <c r="Q95" s="16" t="str">
        <f>IF('Data-Plot'!C95="","",MAX('Data-Plot'!$C$11:$C$1010)*(1+$Q$9/100))</f>
        <v/>
      </c>
      <c r="R95" s="16" t="str">
        <f>IF('Data-Plot'!C95="","",('Data-Plot'!C95-'Data-Plot'!D95)*$P$9)</f>
        <v/>
      </c>
      <c r="S95" s="13"/>
      <c r="T95" s="13"/>
      <c r="U95" s="13"/>
      <c r="V95" s="13"/>
      <c r="W95" s="13"/>
      <c r="X95" s="13"/>
    </row>
    <row r="96" spans="2:24" x14ac:dyDescent="0.3">
      <c r="B96" s="19">
        <f>$B$11+($B$10-$B$11)*85/99</f>
        <v>0</v>
      </c>
      <c r="P96" s="16" t="str">
        <f>IF('Data-Plot'!C96="","",$Q$11+('Data-Plot'!C96-'Data-Plot'!D96)*$P$9)</f>
        <v/>
      </c>
      <c r="Q96" s="16" t="str">
        <f>IF('Data-Plot'!C96="","",MAX('Data-Plot'!$C$11:$C$1010)*(1+$Q$9/100))</f>
        <v/>
      </c>
      <c r="R96" s="16" t="str">
        <f>IF('Data-Plot'!C96="","",('Data-Plot'!C96-'Data-Plot'!D96)*$P$9)</f>
        <v/>
      </c>
      <c r="S96" s="13"/>
      <c r="T96" s="13"/>
      <c r="U96" s="13"/>
      <c r="V96" s="13"/>
      <c r="W96" s="13"/>
      <c r="X96" s="13"/>
    </row>
    <row r="97" spans="2:24" x14ac:dyDescent="0.3">
      <c r="B97" s="19">
        <f>$B$11+($B$10-$B$11)*86/99</f>
        <v>0</v>
      </c>
      <c r="P97" s="16" t="str">
        <f>IF('Data-Plot'!C97="","",$Q$11+('Data-Plot'!C97-'Data-Plot'!D97)*$P$9)</f>
        <v/>
      </c>
      <c r="Q97" s="16" t="str">
        <f>IF('Data-Plot'!C97="","",MAX('Data-Plot'!$C$11:$C$1010)*(1+$Q$9/100))</f>
        <v/>
      </c>
      <c r="R97" s="16" t="str">
        <f>IF('Data-Plot'!C97="","",('Data-Plot'!C97-'Data-Plot'!D97)*$P$9)</f>
        <v/>
      </c>
      <c r="S97" s="13"/>
      <c r="T97" s="13"/>
      <c r="U97" s="13"/>
      <c r="V97" s="13"/>
      <c r="W97" s="13"/>
      <c r="X97" s="13"/>
    </row>
    <row r="98" spans="2:24" x14ac:dyDescent="0.3">
      <c r="B98" s="19">
        <f>$B$11+($B$10-$B$11)*87/99</f>
        <v>0</v>
      </c>
      <c r="P98" s="16" t="str">
        <f>IF('Data-Plot'!C98="","",$Q$11+('Data-Plot'!C98-'Data-Plot'!D98)*$P$9)</f>
        <v/>
      </c>
      <c r="Q98" s="16" t="str">
        <f>IF('Data-Plot'!C98="","",MAX('Data-Plot'!$C$11:$C$1010)*(1+$Q$9/100))</f>
        <v/>
      </c>
      <c r="R98" s="16" t="str">
        <f>IF('Data-Plot'!C98="","",('Data-Plot'!C98-'Data-Plot'!D98)*$P$9)</f>
        <v/>
      </c>
      <c r="S98" s="13"/>
      <c r="T98" s="13"/>
      <c r="U98" s="13"/>
      <c r="V98" s="13"/>
      <c r="W98" s="13"/>
      <c r="X98" s="13"/>
    </row>
    <row r="99" spans="2:24" x14ac:dyDescent="0.3">
      <c r="B99" s="19">
        <f>$B$11+($B$10-$B$11)*88/99</f>
        <v>0</v>
      </c>
      <c r="P99" s="16" t="str">
        <f>IF('Data-Plot'!C99="","",$Q$11+('Data-Plot'!C99-'Data-Plot'!D99)*$P$9)</f>
        <v/>
      </c>
      <c r="Q99" s="16" t="str">
        <f>IF('Data-Plot'!C99="","",MAX('Data-Plot'!$C$11:$C$1010)*(1+$Q$9/100))</f>
        <v/>
      </c>
      <c r="R99" s="16" t="str">
        <f>IF('Data-Plot'!C99="","",('Data-Plot'!C99-'Data-Plot'!D99)*$P$9)</f>
        <v/>
      </c>
      <c r="S99" s="13"/>
      <c r="T99" s="13"/>
      <c r="U99" s="13"/>
      <c r="V99" s="13"/>
      <c r="W99" s="13"/>
      <c r="X99" s="13"/>
    </row>
    <row r="100" spans="2:24" x14ac:dyDescent="0.3">
      <c r="B100" s="19">
        <f>$B$11+($B$10-$B$11)*89/99</f>
        <v>0</v>
      </c>
      <c r="P100" s="16" t="str">
        <f>IF('Data-Plot'!C100="","",$Q$11+('Data-Plot'!C100-'Data-Plot'!D100)*$P$9)</f>
        <v/>
      </c>
      <c r="Q100" s="16" t="str">
        <f>IF('Data-Plot'!C100="","",MAX('Data-Plot'!$C$11:$C$1010)*(1+$Q$9/100))</f>
        <v/>
      </c>
      <c r="R100" s="16" t="str">
        <f>IF('Data-Plot'!C100="","",('Data-Plot'!C100-'Data-Plot'!D100)*$P$9)</f>
        <v/>
      </c>
      <c r="S100" s="13"/>
      <c r="T100" s="13"/>
      <c r="U100" s="13"/>
      <c r="V100" s="13"/>
      <c r="W100" s="13"/>
      <c r="X100" s="13"/>
    </row>
    <row r="101" spans="2:24" x14ac:dyDescent="0.3">
      <c r="B101" s="19">
        <f>$B$11+($B$10-$B$11)*90/99</f>
        <v>0</v>
      </c>
      <c r="P101" s="16" t="str">
        <f>IF('Data-Plot'!C101="","",$Q$11+('Data-Plot'!C101-'Data-Plot'!D101)*$P$9)</f>
        <v/>
      </c>
      <c r="Q101" s="16" t="str">
        <f>IF('Data-Plot'!C101="","",MAX('Data-Plot'!$C$11:$C$1010)*(1+$Q$9/100))</f>
        <v/>
      </c>
      <c r="R101" s="16" t="str">
        <f>IF('Data-Plot'!C101="","",('Data-Plot'!C101-'Data-Plot'!D101)*$P$9)</f>
        <v/>
      </c>
      <c r="S101" s="13"/>
      <c r="T101" s="13"/>
      <c r="U101" s="13"/>
      <c r="V101" s="13"/>
      <c r="W101" s="13"/>
      <c r="X101" s="13"/>
    </row>
    <row r="102" spans="2:24" x14ac:dyDescent="0.3">
      <c r="B102" s="19">
        <f>$B$11+($B$10-$B$11)*91/99</f>
        <v>0</v>
      </c>
      <c r="P102" s="16" t="str">
        <f>IF('Data-Plot'!C102="","",$Q$11+('Data-Plot'!C102-'Data-Plot'!D102)*$P$9)</f>
        <v/>
      </c>
      <c r="Q102" s="16" t="str">
        <f>IF('Data-Plot'!C102="","",MAX('Data-Plot'!$C$11:$C$1010)*(1+$Q$9/100))</f>
        <v/>
      </c>
      <c r="R102" s="16" t="str">
        <f>IF('Data-Plot'!C102="","",('Data-Plot'!C102-'Data-Plot'!D102)*$P$9)</f>
        <v/>
      </c>
      <c r="S102" s="13"/>
      <c r="T102" s="13"/>
      <c r="U102" s="13"/>
      <c r="V102" s="13"/>
      <c r="W102" s="13"/>
      <c r="X102" s="13"/>
    </row>
    <row r="103" spans="2:24" x14ac:dyDescent="0.3">
      <c r="B103" s="19">
        <f>$B$11+($B$10-$B$11)*92/99</f>
        <v>0</v>
      </c>
      <c r="P103" s="16" t="str">
        <f>IF('Data-Plot'!C103="","",$Q$11+('Data-Plot'!C103-'Data-Plot'!D103)*$P$9)</f>
        <v/>
      </c>
      <c r="Q103" s="16" t="str">
        <f>IF('Data-Plot'!C103="","",MAX('Data-Plot'!$C$11:$C$1010)*(1+$Q$9/100))</f>
        <v/>
      </c>
      <c r="R103" s="16" t="str">
        <f>IF('Data-Plot'!C103="","",('Data-Plot'!C103-'Data-Plot'!D103)*$P$9)</f>
        <v/>
      </c>
      <c r="S103" s="13"/>
      <c r="T103" s="13"/>
      <c r="U103" s="13"/>
      <c r="V103" s="13"/>
      <c r="W103" s="13"/>
      <c r="X103" s="13"/>
    </row>
    <row r="104" spans="2:24" x14ac:dyDescent="0.3">
      <c r="B104" s="19">
        <f>$B$11+($B$10-$B$11)*93/99</f>
        <v>0</v>
      </c>
      <c r="P104" s="16" t="str">
        <f>IF('Data-Plot'!C104="","",$Q$11+('Data-Plot'!C104-'Data-Plot'!D104)*$P$9)</f>
        <v/>
      </c>
      <c r="Q104" s="16" t="str">
        <f>IF('Data-Plot'!C104="","",MAX('Data-Plot'!$C$11:$C$1010)*(1+$Q$9/100))</f>
        <v/>
      </c>
      <c r="R104" s="16" t="str">
        <f>IF('Data-Plot'!C104="","",('Data-Plot'!C104-'Data-Plot'!D104)*$P$9)</f>
        <v/>
      </c>
      <c r="S104" s="13"/>
      <c r="T104" s="13"/>
      <c r="U104" s="13"/>
      <c r="V104" s="13"/>
      <c r="W104" s="13"/>
      <c r="X104" s="13"/>
    </row>
    <row r="105" spans="2:24" x14ac:dyDescent="0.3">
      <c r="B105" s="19">
        <f>$B$11+($B$10-$B$11)*94/99</f>
        <v>0</v>
      </c>
      <c r="P105" s="16" t="str">
        <f>IF('Data-Plot'!C105="","",$Q$11+('Data-Plot'!C105-'Data-Plot'!D105)*$P$9)</f>
        <v/>
      </c>
      <c r="Q105" s="16" t="str">
        <f>IF('Data-Plot'!C105="","",MAX('Data-Plot'!$C$11:$C$1010)*(1+$Q$9/100))</f>
        <v/>
      </c>
      <c r="R105" s="16" t="str">
        <f>IF('Data-Plot'!C105="","",('Data-Plot'!C105-'Data-Plot'!D105)*$P$9)</f>
        <v/>
      </c>
      <c r="S105" s="13"/>
      <c r="T105" s="13"/>
      <c r="U105" s="13"/>
      <c r="V105" s="13"/>
      <c r="W105" s="13"/>
      <c r="X105" s="13"/>
    </row>
    <row r="106" spans="2:24" x14ac:dyDescent="0.3">
      <c r="B106" s="19">
        <f>$B$11+($B$10-$B$11)*95/99</f>
        <v>0</v>
      </c>
      <c r="P106" s="16" t="str">
        <f>IF('Data-Plot'!C106="","",$Q$11+('Data-Plot'!C106-'Data-Plot'!D106)*$P$9)</f>
        <v/>
      </c>
      <c r="Q106" s="16" t="str">
        <f>IF('Data-Plot'!C106="","",MAX('Data-Plot'!$C$11:$C$1010)*(1+$Q$9/100))</f>
        <v/>
      </c>
      <c r="R106" s="16" t="str">
        <f>IF('Data-Plot'!C106="","",('Data-Plot'!C106-'Data-Plot'!D106)*$P$9)</f>
        <v/>
      </c>
      <c r="S106" s="13"/>
      <c r="T106" s="13"/>
      <c r="U106" s="13"/>
      <c r="V106" s="13"/>
      <c r="W106" s="13"/>
      <c r="X106" s="13"/>
    </row>
    <row r="107" spans="2:24" x14ac:dyDescent="0.3">
      <c r="B107" s="19">
        <f>$B$11+($B$10-$B$11)*96/99</f>
        <v>0</v>
      </c>
      <c r="P107" s="16" t="str">
        <f>IF('Data-Plot'!C107="","",$Q$11+('Data-Plot'!C107-'Data-Plot'!D107)*$P$9)</f>
        <v/>
      </c>
      <c r="Q107" s="16" t="str">
        <f>IF('Data-Plot'!C107="","",MAX('Data-Plot'!$C$11:$C$1010)*(1+$Q$9/100))</f>
        <v/>
      </c>
      <c r="R107" s="16" t="str">
        <f>IF('Data-Plot'!C107="","",('Data-Plot'!C107-'Data-Plot'!D107)*$P$9)</f>
        <v/>
      </c>
      <c r="S107" s="13"/>
      <c r="T107" s="13"/>
      <c r="U107" s="13"/>
      <c r="V107" s="13"/>
      <c r="W107" s="13"/>
      <c r="X107" s="13"/>
    </row>
    <row r="108" spans="2:24" x14ac:dyDescent="0.3">
      <c r="B108" s="19">
        <f>$B$11+($B$10-$B$11)*97/99</f>
        <v>0</v>
      </c>
      <c r="P108" s="16" t="str">
        <f>IF('Data-Plot'!C108="","",$Q$11+('Data-Plot'!C108-'Data-Plot'!D108)*$P$9)</f>
        <v/>
      </c>
      <c r="Q108" s="16" t="str">
        <f>IF('Data-Plot'!C108="","",MAX('Data-Plot'!$C$11:$C$1010)*(1+$Q$9/100))</f>
        <v/>
      </c>
      <c r="R108" s="16" t="str">
        <f>IF('Data-Plot'!C108="","",('Data-Plot'!C108-'Data-Plot'!D108)*$P$9)</f>
        <v/>
      </c>
      <c r="S108" s="13"/>
      <c r="T108" s="13"/>
      <c r="U108" s="13"/>
      <c r="V108" s="13"/>
      <c r="W108" s="13"/>
      <c r="X108" s="13"/>
    </row>
    <row r="109" spans="2:24" x14ac:dyDescent="0.3">
      <c r="B109" s="19">
        <f>$B$11+($B$10-$B$11)*98/99</f>
        <v>0</v>
      </c>
      <c r="P109" s="16" t="str">
        <f>IF('Data-Plot'!C109="","",$Q$11+('Data-Plot'!C109-'Data-Plot'!D109)*$P$9)</f>
        <v/>
      </c>
      <c r="Q109" s="16" t="str">
        <f>IF('Data-Plot'!C109="","",MAX('Data-Plot'!$C$11:$C$1010)*(1+$Q$9/100))</f>
        <v/>
      </c>
      <c r="R109" s="16" t="str">
        <f>IF('Data-Plot'!C109="","",('Data-Plot'!C109-'Data-Plot'!D109)*$P$9)</f>
        <v/>
      </c>
      <c r="S109" s="13"/>
      <c r="T109" s="13"/>
      <c r="U109" s="13"/>
      <c r="V109" s="13"/>
      <c r="W109" s="13"/>
      <c r="X109" s="13"/>
    </row>
    <row r="110" spans="2:24" x14ac:dyDescent="0.3">
      <c r="B110" s="19">
        <f>$B$11+($B$10-$B$11)*99/99</f>
        <v>0</v>
      </c>
      <c r="P110" s="16" t="str">
        <f>IF('Data-Plot'!C110="","",$Q$11+('Data-Plot'!C110-'Data-Plot'!D110)*$P$9)</f>
        <v/>
      </c>
      <c r="Q110" s="16" t="str">
        <f>IF('Data-Plot'!C110="","",MAX('Data-Plot'!$C$11:$C$1010)*(1+$Q$9/100))</f>
        <v/>
      </c>
      <c r="R110" s="16" t="str">
        <f>IF('Data-Plot'!C110="","",('Data-Plot'!C110-'Data-Plot'!D110)*$P$9)</f>
        <v/>
      </c>
      <c r="S110" s="13"/>
      <c r="T110" s="13"/>
      <c r="U110" s="13"/>
      <c r="V110" s="13"/>
      <c r="W110" s="13"/>
      <c r="X110" s="13"/>
    </row>
    <row r="111" spans="2:24" x14ac:dyDescent="0.3">
      <c r="P111" s="16" t="str">
        <f>IF('Data-Plot'!C111="","",$Q$11+('Data-Plot'!C111-'Data-Plot'!D111)*$P$9)</f>
        <v/>
      </c>
      <c r="Q111" s="16" t="str">
        <f>IF('Data-Plot'!C111="","",MAX('Data-Plot'!$C$11:$C$1010)*(1+$Q$9/100))</f>
        <v/>
      </c>
      <c r="R111" s="16" t="str">
        <f>IF('Data-Plot'!C111="","",('Data-Plot'!C111-'Data-Plot'!D111)*$P$9)</f>
        <v/>
      </c>
      <c r="S111" s="13"/>
      <c r="T111" s="13"/>
      <c r="U111" s="13"/>
      <c r="V111" s="13"/>
      <c r="W111" s="13"/>
      <c r="X111" s="13"/>
    </row>
    <row r="112" spans="2:24" x14ac:dyDescent="0.3">
      <c r="B112" s="16">
        <f>COUNTIF(C112:L112,"&gt;0")</f>
        <v>0</v>
      </c>
      <c r="P112" s="16" t="str">
        <f>IF('Data-Plot'!C112="","",$Q$11+('Data-Plot'!C112-'Data-Plot'!D112)*$P$9)</f>
        <v/>
      </c>
      <c r="Q112" s="16" t="str">
        <f>IF('Data-Plot'!C112="","",MAX('Data-Plot'!$C$11:$C$1010)*(1+$Q$9/100))</f>
        <v/>
      </c>
      <c r="R112" s="16" t="str">
        <f>IF('Data-Plot'!C112="","",('Data-Plot'!C112-'Data-Plot'!D112)*$P$9)</f>
        <v/>
      </c>
      <c r="S112" s="13"/>
      <c r="T112" s="13"/>
      <c r="U112" s="13"/>
      <c r="V112" s="13"/>
      <c r="W112" s="13"/>
      <c r="X112" s="13"/>
    </row>
    <row r="113" spans="2:24" x14ac:dyDescent="0.3">
      <c r="P113" s="16" t="str">
        <f>IF('Data-Plot'!C113="","",$Q$11+('Data-Plot'!C113-'Data-Plot'!D113)*$P$9)</f>
        <v/>
      </c>
      <c r="Q113" s="16" t="str">
        <f>IF('Data-Plot'!C113="","",MAX('Data-Plot'!$C$11:$C$1010)*(1+$Q$9/100))</f>
        <v/>
      </c>
      <c r="R113" s="16" t="str">
        <f>IF('Data-Plot'!C113="","",('Data-Plot'!C113-'Data-Plot'!D113)*$P$9)</f>
        <v/>
      </c>
      <c r="S113" s="13"/>
      <c r="T113" s="13"/>
      <c r="U113" s="13"/>
      <c r="V113" s="13"/>
      <c r="W113" s="13"/>
      <c r="X113" s="13"/>
    </row>
    <row r="114" spans="2:24" x14ac:dyDescent="0.3">
      <c r="P114" s="16" t="str">
        <f>IF('Data-Plot'!C114="","",$Q$11+('Data-Plot'!C114-'Data-Plot'!D114)*$P$9)</f>
        <v/>
      </c>
      <c r="Q114" s="16" t="str">
        <f>IF('Data-Plot'!C114="","",MAX('Data-Plot'!$C$11:$C$1010)*(1+$Q$9/100))</f>
        <v/>
      </c>
      <c r="R114" s="16" t="str">
        <f>IF('Data-Plot'!C114="","",('Data-Plot'!C114-'Data-Plot'!D114)*$P$9)</f>
        <v/>
      </c>
      <c r="S114" s="13"/>
      <c r="T114" s="13"/>
      <c r="U114" s="13"/>
      <c r="V114" s="13"/>
      <c r="W114" s="13"/>
      <c r="X114" s="13"/>
    </row>
    <row r="115" spans="2:24" x14ac:dyDescent="0.3">
      <c r="P115" s="16" t="str">
        <f>IF('Data-Plot'!C115="","",$Q$11+('Data-Plot'!C115-'Data-Plot'!D115)*$P$9)</f>
        <v/>
      </c>
      <c r="Q115" s="16" t="str">
        <f>IF('Data-Plot'!C115="","",MAX('Data-Plot'!$C$11:$C$1010)*(1+$Q$9/100))</f>
        <v/>
      </c>
      <c r="R115" s="16" t="str">
        <f>IF('Data-Plot'!C115="","",('Data-Plot'!C115-'Data-Plot'!D115)*$P$9)</f>
        <v/>
      </c>
      <c r="S115" s="13"/>
      <c r="T115" s="13"/>
      <c r="U115" s="13"/>
      <c r="V115" s="13"/>
      <c r="W115" s="13"/>
      <c r="X115" s="13"/>
    </row>
    <row r="116" spans="2:24" x14ac:dyDescent="0.3">
      <c r="P116" s="16" t="str">
        <f>IF('Data-Plot'!C116="","",$Q$11+('Data-Plot'!C116-'Data-Plot'!D116)*$P$9)</f>
        <v/>
      </c>
      <c r="Q116" s="16" t="str">
        <f>IF('Data-Plot'!C116="","",MAX('Data-Plot'!$C$11:$C$1010)*(1+$Q$9/100))</f>
        <v/>
      </c>
      <c r="R116" s="16" t="str">
        <f>IF('Data-Plot'!C116="","",('Data-Plot'!C116-'Data-Plot'!D116)*$P$9)</f>
        <v/>
      </c>
      <c r="S116" s="13"/>
      <c r="T116" s="13"/>
      <c r="U116" s="13"/>
      <c r="V116" s="13"/>
      <c r="W116" s="13"/>
      <c r="X116" s="13"/>
    </row>
    <row r="117" spans="2:24" x14ac:dyDescent="0.3">
      <c r="P117" s="16" t="str">
        <f>IF('Data-Plot'!C117="","",$Q$11+('Data-Plot'!C117-'Data-Plot'!D117)*$P$9)</f>
        <v/>
      </c>
      <c r="Q117" s="16" t="str">
        <f>IF('Data-Plot'!C117="","",MAX('Data-Plot'!$C$11:$C$1010)*(1+$Q$9/100))</f>
        <v/>
      </c>
      <c r="R117" s="16" t="str">
        <f>IF('Data-Plot'!C117="","",('Data-Plot'!C117-'Data-Plot'!D117)*$P$9)</f>
        <v/>
      </c>
      <c r="S117" s="13"/>
      <c r="T117" s="13"/>
      <c r="U117" s="13"/>
      <c r="V117" s="13"/>
      <c r="W117" s="13"/>
      <c r="X117" s="13"/>
    </row>
    <row r="118" spans="2:24" x14ac:dyDescent="0.3">
      <c r="P118" s="16" t="str">
        <f>IF('Data-Plot'!C118="","",$Q$11+('Data-Plot'!C118-'Data-Plot'!D118)*$P$9)</f>
        <v/>
      </c>
      <c r="Q118" s="16" t="str">
        <f>IF('Data-Plot'!C118="","",MAX('Data-Plot'!$C$11:$C$1010)*(1+$Q$9/100))</f>
        <v/>
      </c>
      <c r="R118" s="16" t="str">
        <f>IF('Data-Plot'!C118="","",('Data-Plot'!C118-'Data-Plot'!D118)*$P$9)</f>
        <v/>
      </c>
      <c r="S118" s="13"/>
      <c r="T118" s="13"/>
      <c r="U118" s="13"/>
      <c r="V118" s="13"/>
      <c r="W118" s="13"/>
      <c r="X118" s="13"/>
    </row>
    <row r="119" spans="2:24" x14ac:dyDescent="0.3">
      <c r="P119" s="16" t="str">
        <f>IF('Data-Plot'!C119="","",$Q$11+('Data-Plot'!C119-'Data-Plot'!D119)*$P$9)</f>
        <v/>
      </c>
      <c r="Q119" s="16" t="str">
        <f>IF('Data-Plot'!C119="","",MAX('Data-Plot'!$C$11:$C$1010)*(1+$Q$9/100))</f>
        <v/>
      </c>
      <c r="R119" s="16" t="str">
        <f>IF('Data-Plot'!C119="","",('Data-Plot'!C119-'Data-Plot'!D119)*$P$9)</f>
        <v/>
      </c>
      <c r="S119" s="13"/>
      <c r="T119" s="13"/>
      <c r="U119" s="13"/>
      <c r="V119" s="13"/>
      <c r="W119" s="13"/>
      <c r="X119" s="13"/>
    </row>
    <row r="120" spans="2:24" x14ac:dyDescent="0.3">
      <c r="P120" s="16" t="str">
        <f>IF('Data-Plot'!C120="","",$Q$11+('Data-Plot'!C120-'Data-Plot'!D120)*$P$9)</f>
        <v/>
      </c>
      <c r="Q120" s="16" t="str">
        <f>IF('Data-Plot'!C120="","",MAX('Data-Plot'!$C$11:$C$1010)*(1+$Q$9/100))</f>
        <v/>
      </c>
      <c r="R120" s="16" t="str">
        <f>IF('Data-Plot'!C120="","",('Data-Plot'!C120-'Data-Plot'!D120)*$P$9)</f>
        <v/>
      </c>
      <c r="S120" s="13"/>
      <c r="T120" s="13"/>
      <c r="U120" s="13"/>
      <c r="V120" s="13"/>
      <c r="W120" s="13"/>
      <c r="X120" s="13"/>
    </row>
    <row r="121" spans="2:24" x14ac:dyDescent="0.3">
      <c r="E121" s="20"/>
      <c r="P121" s="16" t="str">
        <f>IF('Data-Plot'!C121="","",$Q$11+('Data-Plot'!C121-'Data-Plot'!D121)*$P$9)</f>
        <v/>
      </c>
      <c r="Q121" s="16" t="str">
        <f>IF('Data-Plot'!C121="","",MAX('Data-Plot'!$C$11:$C$1010)*(1+$Q$9/100))</f>
        <v/>
      </c>
      <c r="R121" s="16" t="str">
        <f>IF('Data-Plot'!C121="","",('Data-Plot'!C121-'Data-Plot'!D121)*$P$9)</f>
        <v/>
      </c>
      <c r="S121" s="13"/>
      <c r="T121" s="13"/>
      <c r="U121" s="13"/>
      <c r="V121" s="13"/>
      <c r="W121" s="13"/>
      <c r="X121" s="13"/>
    </row>
    <row r="122" spans="2:24" x14ac:dyDescent="0.3">
      <c r="B122" s="16">
        <f>COUNTIF(C122:L122,"&gt;0")</f>
        <v>0</v>
      </c>
      <c r="P122" s="16" t="str">
        <f>IF('Data-Plot'!C122="","",$Q$11+('Data-Plot'!C122-'Data-Plot'!D122)*$P$9)</f>
        <v/>
      </c>
      <c r="Q122" s="16" t="str">
        <f>IF('Data-Plot'!C122="","",MAX('Data-Plot'!$C$11:$C$1010)*(1+$Q$9/100))</f>
        <v/>
      </c>
      <c r="R122" s="16" t="str">
        <f>IF('Data-Plot'!C122="","",('Data-Plot'!C122-'Data-Plot'!D122)*$P$9)</f>
        <v/>
      </c>
      <c r="S122" s="13"/>
      <c r="T122" s="13"/>
      <c r="U122" s="13"/>
      <c r="V122" s="13"/>
      <c r="W122" s="13"/>
      <c r="X122" s="13"/>
    </row>
    <row r="123" spans="2:24" x14ac:dyDescent="0.3">
      <c r="P123" s="16" t="str">
        <f>IF('Data-Plot'!C123="","",$Q$11+('Data-Plot'!C123-'Data-Plot'!D123)*$P$9)</f>
        <v/>
      </c>
      <c r="Q123" s="16" t="str">
        <f>IF('Data-Plot'!C123="","",MAX('Data-Plot'!$C$11:$C$1010)*(1+$Q$9/100))</f>
        <v/>
      </c>
      <c r="R123" s="16" t="str">
        <f>IF('Data-Plot'!C123="","",('Data-Plot'!C123-'Data-Plot'!D123)*$P$9)</f>
        <v/>
      </c>
      <c r="S123" s="13"/>
      <c r="T123" s="13"/>
      <c r="U123" s="13"/>
      <c r="V123" s="13"/>
      <c r="W123" s="13"/>
      <c r="X123" s="13"/>
    </row>
    <row r="124" spans="2:24" x14ac:dyDescent="0.3">
      <c r="P124" s="16" t="str">
        <f>IF('Data-Plot'!C124="","",$Q$11+('Data-Plot'!C124-'Data-Plot'!D124)*$P$9)</f>
        <v/>
      </c>
      <c r="Q124" s="16" t="str">
        <f>IF('Data-Plot'!C124="","",MAX('Data-Plot'!$C$11:$C$1010)*(1+$Q$9/100))</f>
        <v/>
      </c>
      <c r="R124" s="16" t="str">
        <f>IF('Data-Plot'!C124="","",('Data-Plot'!C124-'Data-Plot'!D124)*$P$9)</f>
        <v/>
      </c>
      <c r="S124" s="13"/>
      <c r="T124" s="13"/>
      <c r="U124" s="13"/>
      <c r="V124" s="13"/>
      <c r="W124" s="13"/>
      <c r="X124" s="13"/>
    </row>
    <row r="125" spans="2:24" x14ac:dyDescent="0.3">
      <c r="P125" s="16" t="str">
        <f>IF('Data-Plot'!C125="","",$Q$11+('Data-Plot'!C125-'Data-Plot'!D125)*$P$9)</f>
        <v/>
      </c>
      <c r="Q125" s="16" t="str">
        <f>IF('Data-Plot'!C125="","",MAX('Data-Plot'!$C$11:$C$1010)*(1+$Q$9/100))</f>
        <v/>
      </c>
      <c r="R125" s="16" t="str">
        <f>IF('Data-Plot'!C125="","",('Data-Plot'!C125-'Data-Plot'!D125)*$P$9)</f>
        <v/>
      </c>
      <c r="S125" s="13"/>
      <c r="T125" s="13"/>
      <c r="U125" s="13"/>
      <c r="V125" s="13"/>
      <c r="W125" s="13"/>
      <c r="X125" s="13"/>
    </row>
    <row r="126" spans="2:24" x14ac:dyDescent="0.3">
      <c r="P126" s="16" t="str">
        <f>IF('Data-Plot'!C126="","",$Q$11+('Data-Plot'!C126-'Data-Plot'!D126)*$P$9)</f>
        <v/>
      </c>
      <c r="Q126" s="16" t="str">
        <f>IF('Data-Plot'!C126="","",MAX('Data-Plot'!$C$11:$C$1010)*(1+$Q$9/100))</f>
        <v/>
      </c>
      <c r="R126" s="16" t="str">
        <f>IF('Data-Plot'!C126="","",('Data-Plot'!C126-'Data-Plot'!D126)*$P$9)</f>
        <v/>
      </c>
      <c r="S126" s="13"/>
      <c r="T126" s="13"/>
      <c r="U126" s="13"/>
      <c r="V126" s="13"/>
      <c r="W126" s="13"/>
      <c r="X126" s="13"/>
    </row>
    <row r="127" spans="2:24" x14ac:dyDescent="0.3">
      <c r="P127" s="16" t="str">
        <f>IF('Data-Plot'!C127="","",$Q$11+('Data-Plot'!C127-'Data-Plot'!D127)*$P$9)</f>
        <v/>
      </c>
      <c r="Q127" s="16" t="str">
        <f>IF('Data-Plot'!C127="","",MAX('Data-Plot'!$C$11:$C$1010)*(1+$Q$9/100))</f>
        <v/>
      </c>
      <c r="R127" s="16" t="str">
        <f>IF('Data-Plot'!C127="","",('Data-Plot'!C127-'Data-Plot'!D127)*$P$9)</f>
        <v/>
      </c>
      <c r="S127" s="13"/>
      <c r="T127" s="13"/>
      <c r="U127" s="13"/>
      <c r="V127" s="13"/>
      <c r="W127" s="13"/>
      <c r="X127" s="13"/>
    </row>
    <row r="128" spans="2:24" x14ac:dyDescent="0.3">
      <c r="P128" s="16" t="str">
        <f>IF('Data-Plot'!C128="","",$Q$11+('Data-Plot'!C128-'Data-Plot'!D128)*$P$9)</f>
        <v/>
      </c>
      <c r="Q128" s="16" t="str">
        <f>IF('Data-Plot'!C128="","",MAX('Data-Plot'!$C$11:$C$1010)*(1+$Q$9/100))</f>
        <v/>
      </c>
      <c r="R128" s="16" t="str">
        <f>IF('Data-Plot'!C128="","",('Data-Plot'!C128-'Data-Plot'!D128)*$P$9)</f>
        <v/>
      </c>
      <c r="S128" s="13"/>
      <c r="T128" s="13"/>
      <c r="U128" s="13"/>
      <c r="V128" s="13"/>
      <c r="W128" s="13"/>
      <c r="X128" s="13"/>
    </row>
    <row r="129" spans="2:18" x14ac:dyDescent="0.3">
      <c r="P129" s="16" t="str">
        <f>IF('Data-Plot'!C129="","",$Q$11+('Data-Plot'!C129-'Data-Plot'!D129)*$P$9)</f>
        <v/>
      </c>
      <c r="Q129" s="16" t="str">
        <f>IF('Data-Plot'!C129="","",MAX('Data-Plot'!$C$11:$C$1010)*(1+$Q$9/100))</f>
        <v/>
      </c>
      <c r="R129" s="16" t="str">
        <f>IF('Data-Plot'!C129="","",('Data-Plot'!C129-'Data-Plot'!D129)*$P$9)</f>
        <v/>
      </c>
    </row>
    <row r="130" spans="2:18" x14ac:dyDescent="0.3">
      <c r="P130" s="16" t="str">
        <f>IF('Data-Plot'!C130="","",$Q$11+('Data-Plot'!C130-'Data-Plot'!D130)*$P$9)</f>
        <v/>
      </c>
      <c r="Q130" s="16" t="str">
        <f>IF('Data-Plot'!C130="","",MAX('Data-Plot'!$C$11:$C$1010)*(1+$Q$9/100))</f>
        <v/>
      </c>
      <c r="R130" s="16" t="str">
        <f>IF('Data-Plot'!C130="","",('Data-Plot'!C130-'Data-Plot'!D130)*$P$9)</f>
        <v/>
      </c>
    </row>
    <row r="131" spans="2:18" x14ac:dyDescent="0.3">
      <c r="P131" s="16" t="str">
        <f>IF('Data-Plot'!C131="","",$Q$11+('Data-Plot'!C131-'Data-Plot'!D131)*$P$9)</f>
        <v/>
      </c>
      <c r="Q131" s="16" t="str">
        <f>IF('Data-Plot'!C131="","",MAX('Data-Plot'!$C$11:$C$1010)*(1+$Q$9/100))</f>
        <v/>
      </c>
      <c r="R131" s="16" t="str">
        <f>IF('Data-Plot'!C131="","",('Data-Plot'!C131-'Data-Plot'!D131)*$P$9)</f>
        <v/>
      </c>
    </row>
    <row r="132" spans="2:18" x14ac:dyDescent="0.3">
      <c r="B132" s="16">
        <f>COUNTIF(C132:L132,"&gt;0")</f>
        <v>0</v>
      </c>
      <c r="P132" s="16" t="str">
        <f>IF('Data-Plot'!C132="","",$Q$11+('Data-Plot'!C132-'Data-Plot'!D132)*$P$9)</f>
        <v/>
      </c>
      <c r="Q132" s="16" t="str">
        <f>IF('Data-Plot'!C132="","",MAX('Data-Plot'!$C$11:$C$1010)*(1+$Q$9/100))</f>
        <v/>
      </c>
      <c r="R132" s="16" t="str">
        <f>IF('Data-Plot'!C132="","",('Data-Plot'!C132-'Data-Plot'!D132)*$P$9)</f>
        <v/>
      </c>
    </row>
    <row r="133" spans="2:18" x14ac:dyDescent="0.3">
      <c r="P133" s="16" t="str">
        <f>IF('Data-Plot'!C133="","",$Q$11+('Data-Plot'!C133-'Data-Plot'!D133)*$P$9)</f>
        <v/>
      </c>
      <c r="Q133" s="16" t="str">
        <f>IF('Data-Plot'!C133="","",MAX('Data-Plot'!$C$11:$C$1010)*(1+$Q$9/100))</f>
        <v/>
      </c>
      <c r="R133" s="16" t="str">
        <f>IF('Data-Plot'!C133="","",('Data-Plot'!C133-'Data-Plot'!D133)*$P$9)</f>
        <v/>
      </c>
    </row>
    <row r="134" spans="2:18" x14ac:dyDescent="0.3">
      <c r="P134" s="16" t="str">
        <f>IF('Data-Plot'!C134="","",$Q$11+('Data-Plot'!C134-'Data-Plot'!D134)*$P$9)</f>
        <v/>
      </c>
      <c r="Q134" s="16" t="str">
        <f>IF('Data-Plot'!C134="","",MAX('Data-Plot'!$C$11:$C$1010)*(1+$Q$9/100))</f>
        <v/>
      </c>
      <c r="R134" s="16" t="str">
        <f>IF('Data-Plot'!C134="","",('Data-Plot'!C134-'Data-Plot'!D134)*$P$9)</f>
        <v/>
      </c>
    </row>
    <row r="135" spans="2:18" x14ac:dyDescent="0.3">
      <c r="P135" s="16" t="str">
        <f>IF('Data-Plot'!C135="","",$Q$11+('Data-Plot'!C135-'Data-Plot'!D135)*$P$9)</f>
        <v/>
      </c>
      <c r="Q135" s="16" t="str">
        <f>IF('Data-Plot'!C135="","",MAX('Data-Plot'!$C$11:$C$1010)*(1+$Q$9/100))</f>
        <v/>
      </c>
      <c r="R135" s="16" t="str">
        <f>IF('Data-Plot'!C135="","",('Data-Plot'!C135-'Data-Plot'!D135)*$P$9)</f>
        <v/>
      </c>
    </row>
    <row r="136" spans="2:18" x14ac:dyDescent="0.3">
      <c r="P136" s="16" t="str">
        <f>IF('Data-Plot'!C136="","",$Q$11+('Data-Plot'!C136-'Data-Plot'!D136)*$P$9)</f>
        <v/>
      </c>
      <c r="Q136" s="16" t="str">
        <f>IF('Data-Plot'!C136="","",MAX('Data-Plot'!$C$11:$C$1010)*(1+$Q$9/100))</f>
        <v/>
      </c>
      <c r="R136" s="16" t="str">
        <f>IF('Data-Plot'!C136="","",('Data-Plot'!C136-'Data-Plot'!D136)*$P$9)</f>
        <v/>
      </c>
    </row>
    <row r="137" spans="2:18" x14ac:dyDescent="0.3">
      <c r="P137" s="16" t="str">
        <f>IF('Data-Plot'!C137="","",$Q$11+('Data-Plot'!C137-'Data-Plot'!D137)*$P$9)</f>
        <v/>
      </c>
      <c r="Q137" s="16" t="str">
        <f>IF('Data-Plot'!C137="","",MAX('Data-Plot'!$C$11:$C$1010)*(1+$Q$9/100))</f>
        <v/>
      </c>
      <c r="R137" s="16" t="str">
        <f>IF('Data-Plot'!C137="","",('Data-Plot'!C137-'Data-Plot'!D137)*$P$9)</f>
        <v/>
      </c>
    </row>
    <row r="138" spans="2:18" x14ac:dyDescent="0.3">
      <c r="P138" s="16" t="str">
        <f>IF('Data-Plot'!C138="","",$Q$11+('Data-Plot'!C138-'Data-Plot'!D138)*$P$9)</f>
        <v/>
      </c>
      <c r="Q138" s="16" t="str">
        <f>IF('Data-Plot'!C138="","",MAX('Data-Plot'!$C$11:$C$1010)*(1+$Q$9/100))</f>
        <v/>
      </c>
      <c r="R138" s="16" t="str">
        <f>IF('Data-Plot'!C138="","",('Data-Plot'!C138-'Data-Plot'!D138)*$P$9)</f>
        <v/>
      </c>
    </row>
    <row r="139" spans="2:18" x14ac:dyDescent="0.3">
      <c r="P139" s="16" t="str">
        <f>IF('Data-Plot'!C139="","",$Q$11+('Data-Plot'!C139-'Data-Plot'!D139)*$P$9)</f>
        <v/>
      </c>
      <c r="Q139" s="16" t="str">
        <f>IF('Data-Plot'!C139="","",MAX('Data-Plot'!$C$11:$C$1010)*(1+$Q$9/100))</f>
        <v/>
      </c>
      <c r="R139" s="16" t="str">
        <f>IF('Data-Plot'!C139="","",('Data-Plot'!C139-'Data-Plot'!D139)*$P$9)</f>
        <v/>
      </c>
    </row>
    <row r="140" spans="2:18" x14ac:dyDescent="0.3">
      <c r="P140" s="16" t="str">
        <f>IF('Data-Plot'!C140="","",$Q$11+('Data-Plot'!C140-'Data-Plot'!D140)*$P$9)</f>
        <v/>
      </c>
      <c r="Q140" s="16" t="str">
        <f>IF('Data-Plot'!C140="","",MAX('Data-Plot'!$C$11:$C$1010)*(1+$Q$9/100))</f>
        <v/>
      </c>
      <c r="R140" s="16" t="str">
        <f>IF('Data-Plot'!C140="","",('Data-Plot'!C140-'Data-Plot'!D140)*$P$9)</f>
        <v/>
      </c>
    </row>
    <row r="141" spans="2:18" x14ac:dyDescent="0.3">
      <c r="P141" s="16" t="str">
        <f>IF('Data-Plot'!C141="","",$Q$11+('Data-Plot'!C141-'Data-Plot'!D141)*$P$9)</f>
        <v/>
      </c>
      <c r="Q141" s="16" t="str">
        <f>IF('Data-Plot'!C141="","",MAX('Data-Plot'!$C$11:$C$1010)*(1+$Q$9/100))</f>
        <v/>
      </c>
      <c r="R141" s="16" t="str">
        <f>IF('Data-Plot'!C141="","",('Data-Plot'!C141-'Data-Plot'!D141)*$P$9)</f>
        <v/>
      </c>
    </row>
    <row r="142" spans="2:18" x14ac:dyDescent="0.3">
      <c r="B142" s="16">
        <f>COUNTIF(C142:L142,"&gt;0")</f>
        <v>0</v>
      </c>
      <c r="P142" s="16" t="str">
        <f>IF('Data-Plot'!C142="","",$Q$11+('Data-Plot'!C142-'Data-Plot'!D142)*$P$9)</f>
        <v/>
      </c>
      <c r="Q142" s="16" t="str">
        <f>IF('Data-Plot'!C142="","",MAX('Data-Plot'!$C$11:$C$1010)*(1+$Q$9/100))</f>
        <v/>
      </c>
      <c r="R142" s="16" t="str">
        <f>IF('Data-Plot'!C142="","",('Data-Plot'!C142-'Data-Plot'!D142)*$P$9)</f>
        <v/>
      </c>
    </row>
    <row r="143" spans="2:18" x14ac:dyDescent="0.3">
      <c r="P143" s="16" t="str">
        <f>IF('Data-Plot'!C143="","",$Q$11+('Data-Plot'!C143-'Data-Plot'!D143)*$P$9)</f>
        <v/>
      </c>
      <c r="Q143" s="16" t="str">
        <f>IF('Data-Plot'!C143="","",MAX('Data-Plot'!$C$11:$C$1010)*(1+$Q$9/100))</f>
        <v/>
      </c>
      <c r="R143" s="16" t="str">
        <f>IF('Data-Plot'!C143="","",('Data-Plot'!C143-'Data-Plot'!D143)*$P$9)</f>
        <v/>
      </c>
    </row>
    <row r="144" spans="2:18" x14ac:dyDescent="0.3">
      <c r="P144" s="16" t="str">
        <f>IF('Data-Plot'!C144="","",$Q$11+('Data-Plot'!C144-'Data-Plot'!D144)*$P$9)</f>
        <v/>
      </c>
      <c r="Q144" s="16" t="str">
        <f>IF('Data-Plot'!C144="","",MAX('Data-Plot'!$C$11:$C$1010)*(1+$Q$9/100))</f>
        <v/>
      </c>
      <c r="R144" s="16" t="str">
        <f>IF('Data-Plot'!C144="","",('Data-Plot'!C144-'Data-Plot'!D144)*$P$9)</f>
        <v/>
      </c>
    </row>
    <row r="145" spans="2:18" x14ac:dyDescent="0.3">
      <c r="P145" s="16" t="str">
        <f>IF('Data-Plot'!C145="","",$Q$11+('Data-Plot'!C145-'Data-Plot'!D145)*$P$9)</f>
        <v/>
      </c>
      <c r="Q145" s="16" t="str">
        <f>IF('Data-Plot'!C145="","",MAX('Data-Plot'!$C$11:$C$1010)*(1+$Q$9/100))</f>
        <v/>
      </c>
      <c r="R145" s="16" t="str">
        <f>IF('Data-Plot'!C145="","",('Data-Plot'!C145-'Data-Plot'!D145)*$P$9)</f>
        <v/>
      </c>
    </row>
    <row r="146" spans="2:18" x14ac:dyDescent="0.3">
      <c r="P146" s="16" t="str">
        <f>IF('Data-Plot'!C146="","",$Q$11+('Data-Plot'!C146-'Data-Plot'!D146)*$P$9)</f>
        <v/>
      </c>
      <c r="Q146" s="16" t="str">
        <f>IF('Data-Plot'!C146="","",MAX('Data-Plot'!$C$11:$C$1010)*(1+$Q$9/100))</f>
        <v/>
      </c>
      <c r="R146" s="16" t="str">
        <f>IF('Data-Plot'!C146="","",('Data-Plot'!C146-'Data-Plot'!D146)*$P$9)</f>
        <v/>
      </c>
    </row>
    <row r="147" spans="2:18" x14ac:dyDescent="0.3">
      <c r="P147" s="16" t="str">
        <f>IF('Data-Plot'!C147="","",$Q$11+('Data-Plot'!C147-'Data-Plot'!D147)*$P$9)</f>
        <v/>
      </c>
      <c r="Q147" s="16" t="str">
        <f>IF('Data-Plot'!C147="","",MAX('Data-Plot'!$C$11:$C$1010)*(1+$Q$9/100))</f>
        <v/>
      </c>
      <c r="R147" s="16" t="str">
        <f>IF('Data-Plot'!C147="","",('Data-Plot'!C147-'Data-Plot'!D147)*$P$9)</f>
        <v/>
      </c>
    </row>
    <row r="148" spans="2:18" x14ac:dyDescent="0.3">
      <c r="P148" s="16" t="str">
        <f>IF('Data-Plot'!C148="","",$Q$11+('Data-Plot'!C148-'Data-Plot'!D148)*$P$9)</f>
        <v/>
      </c>
      <c r="Q148" s="16" t="str">
        <f>IF('Data-Plot'!C148="","",MAX('Data-Plot'!$C$11:$C$1010)*(1+$Q$9/100))</f>
        <v/>
      </c>
      <c r="R148" s="16" t="str">
        <f>IF('Data-Plot'!C148="","",('Data-Plot'!C148-'Data-Plot'!D148)*$P$9)</f>
        <v/>
      </c>
    </row>
    <row r="149" spans="2:18" x14ac:dyDescent="0.3">
      <c r="P149" s="16" t="str">
        <f>IF('Data-Plot'!C149="","",$Q$11+('Data-Plot'!C149-'Data-Plot'!D149)*$P$9)</f>
        <v/>
      </c>
      <c r="Q149" s="16" t="str">
        <f>IF('Data-Plot'!C149="","",MAX('Data-Plot'!$C$11:$C$1010)*(1+$Q$9/100))</f>
        <v/>
      </c>
      <c r="R149" s="16" t="str">
        <f>IF('Data-Plot'!C149="","",('Data-Plot'!C149-'Data-Plot'!D149)*$P$9)</f>
        <v/>
      </c>
    </row>
    <row r="150" spans="2:18" x14ac:dyDescent="0.3">
      <c r="P150" s="16" t="str">
        <f>IF('Data-Plot'!C150="","",$Q$11+('Data-Plot'!C150-'Data-Plot'!D150)*$P$9)</f>
        <v/>
      </c>
      <c r="Q150" s="16" t="str">
        <f>IF('Data-Plot'!C150="","",MAX('Data-Plot'!$C$11:$C$1010)*(1+$Q$9/100))</f>
        <v/>
      </c>
      <c r="R150" s="16" t="str">
        <f>IF('Data-Plot'!C150="","",('Data-Plot'!C150-'Data-Plot'!D150)*$P$9)</f>
        <v/>
      </c>
    </row>
    <row r="151" spans="2:18" x14ac:dyDescent="0.3">
      <c r="P151" s="16" t="str">
        <f>IF('Data-Plot'!C151="","",$Q$11+('Data-Plot'!C151-'Data-Plot'!D151)*$P$9)</f>
        <v/>
      </c>
      <c r="Q151" s="16" t="str">
        <f>IF('Data-Plot'!C151="","",MAX('Data-Plot'!$C$11:$C$1010)*(1+$Q$9/100))</f>
        <v/>
      </c>
      <c r="R151" s="16" t="str">
        <f>IF('Data-Plot'!C151="","",('Data-Plot'!C151-'Data-Plot'!D151)*$P$9)</f>
        <v/>
      </c>
    </row>
    <row r="152" spans="2:18" x14ac:dyDescent="0.3">
      <c r="B152" s="16">
        <f>COUNTIF(C152:L152,"&gt;0")</f>
        <v>0</v>
      </c>
      <c r="P152" s="16" t="str">
        <f>IF('Data-Plot'!C152="","",$Q$11+('Data-Plot'!C152-'Data-Plot'!D152)*$P$9)</f>
        <v/>
      </c>
      <c r="Q152" s="16" t="str">
        <f>IF('Data-Plot'!C152="","",MAX('Data-Plot'!$C$11:$C$1010)*(1+$Q$9/100))</f>
        <v/>
      </c>
      <c r="R152" s="16" t="str">
        <f>IF('Data-Plot'!C152="","",('Data-Plot'!C152-'Data-Plot'!D152)*$P$9)</f>
        <v/>
      </c>
    </row>
    <row r="153" spans="2:18" x14ac:dyDescent="0.3">
      <c r="P153" s="16" t="str">
        <f>IF('Data-Plot'!C153="","",$Q$11+('Data-Plot'!C153-'Data-Plot'!D153)*$P$9)</f>
        <v/>
      </c>
      <c r="Q153" s="16" t="str">
        <f>IF('Data-Plot'!C153="","",MAX('Data-Plot'!$C$11:$C$1010)*(1+$Q$9/100))</f>
        <v/>
      </c>
      <c r="R153" s="16" t="str">
        <f>IF('Data-Plot'!C153="","",('Data-Plot'!C153-'Data-Plot'!D153)*$P$9)</f>
        <v/>
      </c>
    </row>
    <row r="154" spans="2:18" x14ac:dyDescent="0.3">
      <c r="P154" s="16" t="str">
        <f>IF('Data-Plot'!C154="","",$Q$11+('Data-Plot'!C154-'Data-Plot'!D154)*$P$9)</f>
        <v/>
      </c>
      <c r="Q154" s="16" t="str">
        <f>IF('Data-Plot'!C154="","",MAX('Data-Plot'!$C$11:$C$1010)*(1+$Q$9/100))</f>
        <v/>
      </c>
      <c r="R154" s="16" t="str">
        <f>IF('Data-Plot'!C154="","",('Data-Plot'!C154-'Data-Plot'!D154)*$P$9)</f>
        <v/>
      </c>
    </row>
    <row r="155" spans="2:18" x14ac:dyDescent="0.3">
      <c r="P155" s="16" t="str">
        <f>IF('Data-Plot'!C155="","",$Q$11+('Data-Plot'!C155-'Data-Plot'!D155)*$P$9)</f>
        <v/>
      </c>
      <c r="Q155" s="16" t="str">
        <f>IF('Data-Plot'!C155="","",MAX('Data-Plot'!$C$11:$C$1010)*(1+$Q$9/100))</f>
        <v/>
      </c>
      <c r="R155" s="16" t="str">
        <f>IF('Data-Plot'!C155="","",('Data-Plot'!C155-'Data-Plot'!D155)*$P$9)</f>
        <v/>
      </c>
    </row>
    <row r="156" spans="2:18" x14ac:dyDescent="0.3">
      <c r="P156" s="16" t="str">
        <f>IF('Data-Plot'!C156="","",$Q$11+('Data-Plot'!C156-'Data-Plot'!D156)*$P$9)</f>
        <v/>
      </c>
      <c r="Q156" s="16" t="str">
        <f>IF('Data-Plot'!C156="","",MAX('Data-Plot'!$C$11:$C$1010)*(1+$Q$9/100))</f>
        <v/>
      </c>
      <c r="R156" s="16" t="str">
        <f>IF('Data-Plot'!C156="","",('Data-Plot'!C156-'Data-Plot'!D156)*$P$9)</f>
        <v/>
      </c>
    </row>
    <row r="157" spans="2:18" x14ac:dyDescent="0.3">
      <c r="P157" s="16" t="str">
        <f>IF('Data-Plot'!C157="","",$Q$11+('Data-Plot'!C157-'Data-Plot'!D157)*$P$9)</f>
        <v/>
      </c>
      <c r="Q157" s="16" t="str">
        <f>IF('Data-Plot'!C157="","",MAX('Data-Plot'!$C$11:$C$1010)*(1+$Q$9/100))</f>
        <v/>
      </c>
      <c r="R157" s="16" t="str">
        <f>IF('Data-Plot'!C157="","",('Data-Plot'!C157-'Data-Plot'!D157)*$P$9)</f>
        <v/>
      </c>
    </row>
    <row r="158" spans="2:18" x14ac:dyDescent="0.3">
      <c r="P158" s="16" t="str">
        <f>IF('Data-Plot'!C158="","",$Q$11+('Data-Plot'!C158-'Data-Plot'!D158)*$P$9)</f>
        <v/>
      </c>
      <c r="Q158" s="16" t="str">
        <f>IF('Data-Plot'!C158="","",MAX('Data-Plot'!$C$11:$C$1010)*(1+$Q$9/100))</f>
        <v/>
      </c>
      <c r="R158" s="16" t="str">
        <f>IF('Data-Plot'!C158="","",('Data-Plot'!C158-'Data-Plot'!D158)*$P$9)</f>
        <v/>
      </c>
    </row>
    <row r="159" spans="2:18" x14ac:dyDescent="0.3">
      <c r="P159" s="16" t="str">
        <f>IF('Data-Plot'!C159="","",$Q$11+('Data-Plot'!C159-'Data-Plot'!D159)*$P$9)</f>
        <v/>
      </c>
      <c r="Q159" s="16" t="str">
        <f>IF('Data-Plot'!C159="","",MAX('Data-Plot'!$C$11:$C$1010)*(1+$Q$9/100))</f>
        <v/>
      </c>
      <c r="R159" s="16" t="str">
        <f>IF('Data-Plot'!C159="","",('Data-Plot'!C159-'Data-Plot'!D159)*$P$9)</f>
        <v/>
      </c>
    </row>
    <row r="160" spans="2:18" x14ac:dyDescent="0.3">
      <c r="P160" s="16" t="str">
        <f>IF('Data-Plot'!C160="","",$Q$11+('Data-Plot'!C160-'Data-Plot'!D160)*$P$9)</f>
        <v/>
      </c>
      <c r="Q160" s="16" t="str">
        <f>IF('Data-Plot'!C160="","",MAX('Data-Plot'!$C$11:$C$1010)*(1+$Q$9/100))</f>
        <v/>
      </c>
      <c r="R160" s="16" t="str">
        <f>IF('Data-Plot'!C160="","",('Data-Plot'!C160-'Data-Plot'!D160)*$P$9)</f>
        <v/>
      </c>
    </row>
    <row r="161" spans="2:18" x14ac:dyDescent="0.3">
      <c r="P161" s="16" t="str">
        <f>IF('Data-Plot'!C161="","",$Q$11+('Data-Plot'!C161-'Data-Plot'!D161)*$P$9)</f>
        <v/>
      </c>
      <c r="Q161" s="16" t="str">
        <f>IF('Data-Plot'!C161="","",MAX('Data-Plot'!$C$11:$C$1010)*(1+$Q$9/100))</f>
        <v/>
      </c>
      <c r="R161" s="16" t="str">
        <f>IF('Data-Plot'!C161="","",('Data-Plot'!C161-'Data-Plot'!D161)*$P$9)</f>
        <v/>
      </c>
    </row>
    <row r="162" spans="2:18" x14ac:dyDescent="0.3">
      <c r="B162" s="16">
        <f>COUNTIF(C162:L162,"&gt;0")</f>
        <v>0</v>
      </c>
      <c r="P162" s="16" t="str">
        <f>IF('Data-Plot'!C162="","",$Q$11+('Data-Plot'!C162-'Data-Plot'!D162)*$P$9)</f>
        <v/>
      </c>
      <c r="Q162" s="16" t="str">
        <f>IF('Data-Plot'!C162="","",MAX('Data-Plot'!$C$11:$C$1010)*(1+$Q$9/100))</f>
        <v/>
      </c>
      <c r="R162" s="16" t="str">
        <f>IF('Data-Plot'!C162="","",('Data-Plot'!C162-'Data-Plot'!D162)*$P$9)</f>
        <v/>
      </c>
    </row>
    <row r="163" spans="2:18" x14ac:dyDescent="0.3">
      <c r="P163" s="16" t="str">
        <f>IF('Data-Plot'!C163="","",$Q$11+('Data-Plot'!C163-'Data-Plot'!D163)*$P$9)</f>
        <v/>
      </c>
      <c r="Q163" s="16" t="str">
        <f>IF('Data-Plot'!C163="","",MAX('Data-Plot'!$C$11:$C$1010)*(1+$Q$9/100))</f>
        <v/>
      </c>
      <c r="R163" s="16" t="str">
        <f>IF('Data-Plot'!C163="","",('Data-Plot'!C163-'Data-Plot'!D163)*$P$9)</f>
        <v/>
      </c>
    </row>
    <row r="164" spans="2:18" x14ac:dyDescent="0.3">
      <c r="P164" s="16" t="str">
        <f>IF('Data-Plot'!C164="","",$Q$11+('Data-Plot'!C164-'Data-Plot'!D164)*$P$9)</f>
        <v/>
      </c>
      <c r="Q164" s="16" t="str">
        <f>IF('Data-Plot'!C164="","",MAX('Data-Plot'!$C$11:$C$1010)*(1+$Q$9/100))</f>
        <v/>
      </c>
      <c r="R164" s="16" t="str">
        <f>IF('Data-Plot'!C164="","",('Data-Plot'!C164-'Data-Plot'!D164)*$P$9)</f>
        <v/>
      </c>
    </row>
    <row r="165" spans="2:18" x14ac:dyDescent="0.3">
      <c r="P165" s="16" t="str">
        <f>IF('Data-Plot'!C165="","",$Q$11+('Data-Plot'!C165-'Data-Plot'!D165)*$P$9)</f>
        <v/>
      </c>
      <c r="Q165" s="16" t="str">
        <f>IF('Data-Plot'!C165="","",MAX('Data-Plot'!$C$11:$C$1010)*(1+$Q$9/100))</f>
        <v/>
      </c>
      <c r="R165" s="16" t="str">
        <f>IF('Data-Plot'!C165="","",('Data-Plot'!C165-'Data-Plot'!D165)*$P$9)</f>
        <v/>
      </c>
    </row>
    <row r="166" spans="2:18" x14ac:dyDescent="0.3">
      <c r="P166" s="16" t="str">
        <f>IF('Data-Plot'!C166="","",$Q$11+('Data-Plot'!C166-'Data-Plot'!D166)*$P$9)</f>
        <v/>
      </c>
      <c r="Q166" s="16" t="str">
        <f>IF('Data-Plot'!C166="","",MAX('Data-Plot'!$C$11:$C$1010)*(1+$Q$9/100))</f>
        <v/>
      </c>
      <c r="R166" s="16" t="str">
        <f>IF('Data-Plot'!C166="","",('Data-Plot'!C166-'Data-Plot'!D166)*$P$9)</f>
        <v/>
      </c>
    </row>
    <row r="167" spans="2:18" x14ac:dyDescent="0.3">
      <c r="P167" s="16" t="str">
        <f>IF('Data-Plot'!C167="","",$Q$11+('Data-Plot'!C167-'Data-Plot'!D167)*$P$9)</f>
        <v/>
      </c>
      <c r="Q167" s="16" t="str">
        <f>IF('Data-Plot'!C167="","",MAX('Data-Plot'!$C$11:$C$1010)*(1+$Q$9/100))</f>
        <v/>
      </c>
      <c r="R167" s="16" t="str">
        <f>IF('Data-Plot'!C167="","",('Data-Plot'!C167-'Data-Plot'!D167)*$P$9)</f>
        <v/>
      </c>
    </row>
    <row r="168" spans="2:18" x14ac:dyDescent="0.3">
      <c r="P168" s="16" t="str">
        <f>IF('Data-Plot'!C168="","",$Q$11+('Data-Plot'!C168-'Data-Plot'!D168)*$P$9)</f>
        <v/>
      </c>
      <c r="Q168" s="16" t="str">
        <f>IF('Data-Plot'!C168="","",MAX('Data-Plot'!$C$11:$C$1010)*(1+$Q$9/100))</f>
        <v/>
      </c>
      <c r="R168" s="16" t="str">
        <f>IF('Data-Plot'!C168="","",('Data-Plot'!C168-'Data-Plot'!D168)*$P$9)</f>
        <v/>
      </c>
    </row>
    <row r="169" spans="2:18" x14ac:dyDescent="0.3">
      <c r="P169" s="16" t="str">
        <f>IF('Data-Plot'!C169="","",$Q$11+('Data-Plot'!C169-'Data-Plot'!D169)*$P$9)</f>
        <v/>
      </c>
      <c r="Q169" s="16" t="str">
        <f>IF('Data-Plot'!C169="","",MAX('Data-Plot'!$C$11:$C$1010)*(1+$Q$9/100))</f>
        <v/>
      </c>
      <c r="R169" s="16" t="str">
        <f>IF('Data-Plot'!C169="","",('Data-Plot'!C169-'Data-Plot'!D169)*$P$9)</f>
        <v/>
      </c>
    </row>
    <row r="170" spans="2:18" x14ac:dyDescent="0.3">
      <c r="P170" s="16" t="str">
        <f>IF('Data-Plot'!C170="","",$Q$11+('Data-Plot'!C170-'Data-Plot'!D170)*$P$9)</f>
        <v/>
      </c>
      <c r="Q170" s="16" t="str">
        <f>IF('Data-Plot'!C170="","",MAX('Data-Plot'!$C$11:$C$1010)*(1+$Q$9/100))</f>
        <v/>
      </c>
      <c r="R170" s="16" t="str">
        <f>IF('Data-Plot'!C170="","",('Data-Plot'!C170-'Data-Plot'!D170)*$P$9)</f>
        <v/>
      </c>
    </row>
    <row r="171" spans="2:18" x14ac:dyDescent="0.3">
      <c r="P171" s="16" t="str">
        <f>IF('Data-Plot'!C171="","",$Q$11+('Data-Plot'!C171-'Data-Plot'!D171)*$P$9)</f>
        <v/>
      </c>
      <c r="Q171" s="16" t="str">
        <f>IF('Data-Plot'!C171="","",MAX('Data-Plot'!$C$11:$C$1010)*(1+$Q$9/100))</f>
        <v/>
      </c>
      <c r="R171" s="16" t="str">
        <f>IF('Data-Plot'!C171="","",('Data-Plot'!C171-'Data-Plot'!D171)*$P$9)</f>
        <v/>
      </c>
    </row>
    <row r="172" spans="2:18" x14ac:dyDescent="0.3">
      <c r="B172" s="16">
        <f>COUNTIF(C172:L172,"&gt;0")</f>
        <v>0</v>
      </c>
      <c r="P172" s="16" t="str">
        <f>IF('Data-Plot'!C172="","",$Q$11+('Data-Plot'!C172-'Data-Plot'!D172)*$P$9)</f>
        <v/>
      </c>
      <c r="Q172" s="16" t="str">
        <f>IF('Data-Plot'!C172="","",MAX('Data-Plot'!$C$11:$C$1010)*(1+$Q$9/100))</f>
        <v/>
      </c>
      <c r="R172" s="16" t="str">
        <f>IF('Data-Plot'!C172="","",('Data-Plot'!C172-'Data-Plot'!D172)*$P$9)</f>
        <v/>
      </c>
    </row>
    <row r="173" spans="2:18" x14ac:dyDescent="0.3">
      <c r="P173" s="16" t="str">
        <f>IF('Data-Plot'!C173="","",$Q$11+('Data-Plot'!C173-'Data-Plot'!D173)*$P$9)</f>
        <v/>
      </c>
      <c r="Q173" s="16" t="str">
        <f>IF('Data-Plot'!C173="","",MAX('Data-Plot'!$C$11:$C$1010)*(1+$Q$9/100))</f>
        <v/>
      </c>
      <c r="R173" s="16" t="str">
        <f>IF('Data-Plot'!C173="","",('Data-Plot'!C173-'Data-Plot'!D173)*$P$9)</f>
        <v/>
      </c>
    </row>
    <row r="174" spans="2:18" x14ac:dyDescent="0.3">
      <c r="P174" s="16" t="str">
        <f>IF('Data-Plot'!C174="","",$Q$11+('Data-Plot'!C174-'Data-Plot'!D174)*$P$9)</f>
        <v/>
      </c>
      <c r="Q174" s="16" t="str">
        <f>IF('Data-Plot'!C174="","",MAX('Data-Plot'!$C$11:$C$1010)*(1+$Q$9/100))</f>
        <v/>
      </c>
      <c r="R174" s="16" t="str">
        <f>IF('Data-Plot'!C174="","",('Data-Plot'!C174-'Data-Plot'!D174)*$P$9)</f>
        <v/>
      </c>
    </row>
    <row r="175" spans="2:18" x14ac:dyDescent="0.3">
      <c r="P175" s="16" t="str">
        <f>IF('Data-Plot'!C175="","",$Q$11+('Data-Plot'!C175-'Data-Plot'!D175)*$P$9)</f>
        <v/>
      </c>
      <c r="Q175" s="16" t="str">
        <f>IF('Data-Plot'!C175="","",MAX('Data-Plot'!$C$11:$C$1010)*(1+$Q$9/100))</f>
        <v/>
      </c>
      <c r="R175" s="16" t="str">
        <f>IF('Data-Plot'!C175="","",('Data-Plot'!C175-'Data-Plot'!D175)*$P$9)</f>
        <v/>
      </c>
    </row>
    <row r="176" spans="2:18" x14ac:dyDescent="0.3">
      <c r="P176" s="16" t="str">
        <f>IF('Data-Plot'!C176="","",$Q$11+('Data-Plot'!C176-'Data-Plot'!D176)*$P$9)</f>
        <v/>
      </c>
      <c r="Q176" s="16" t="str">
        <f>IF('Data-Plot'!C176="","",MAX('Data-Plot'!$C$11:$C$1010)*(1+$Q$9/100))</f>
        <v/>
      </c>
      <c r="R176" s="16" t="str">
        <f>IF('Data-Plot'!C176="","",('Data-Plot'!C176-'Data-Plot'!D176)*$P$9)</f>
        <v/>
      </c>
    </row>
    <row r="177" spans="16:18" x14ac:dyDescent="0.3">
      <c r="P177" s="16" t="str">
        <f>IF('Data-Plot'!C177="","",$Q$11+('Data-Plot'!C177-'Data-Plot'!D177)*$P$9)</f>
        <v/>
      </c>
      <c r="Q177" s="16" t="str">
        <f>IF('Data-Plot'!C177="","",MAX('Data-Plot'!$C$11:$C$1010)*(1+$Q$9/100))</f>
        <v/>
      </c>
      <c r="R177" s="16" t="str">
        <f>IF('Data-Plot'!C177="","",('Data-Plot'!C177-'Data-Plot'!D177)*$P$9)</f>
        <v/>
      </c>
    </row>
    <row r="178" spans="16:18" x14ac:dyDescent="0.3">
      <c r="P178" s="16" t="str">
        <f>IF('Data-Plot'!C178="","",$Q$11+('Data-Plot'!C178-'Data-Plot'!D178)*$P$9)</f>
        <v/>
      </c>
      <c r="Q178" s="16" t="str">
        <f>IF('Data-Plot'!C178="","",MAX('Data-Plot'!$C$11:$C$1010)*(1+$Q$9/100))</f>
        <v/>
      </c>
      <c r="R178" s="16" t="str">
        <f>IF('Data-Plot'!C178="","",('Data-Plot'!C178-'Data-Plot'!D178)*$P$9)</f>
        <v/>
      </c>
    </row>
    <row r="179" spans="16:18" x14ac:dyDescent="0.3">
      <c r="P179" s="16" t="str">
        <f>IF('Data-Plot'!C179="","",$Q$11+('Data-Plot'!C179-'Data-Plot'!D179)*$P$9)</f>
        <v/>
      </c>
      <c r="Q179" s="16" t="str">
        <f>IF('Data-Plot'!C179="","",MAX('Data-Plot'!$C$11:$C$1010)*(1+$Q$9/100))</f>
        <v/>
      </c>
      <c r="R179" s="16" t="str">
        <f>IF('Data-Plot'!C179="","",('Data-Plot'!C179-'Data-Plot'!D179)*$P$9)</f>
        <v/>
      </c>
    </row>
    <row r="180" spans="16:18" x14ac:dyDescent="0.3">
      <c r="P180" s="16" t="str">
        <f>IF('Data-Plot'!C180="","",$Q$11+('Data-Plot'!C180-'Data-Plot'!D180)*$P$9)</f>
        <v/>
      </c>
      <c r="Q180" s="16" t="str">
        <f>IF('Data-Plot'!C180="","",MAX('Data-Plot'!$C$11:$C$1010)*(1+$Q$9/100))</f>
        <v/>
      </c>
      <c r="R180" s="16" t="str">
        <f>IF('Data-Plot'!C180="","",('Data-Plot'!C180-'Data-Plot'!D180)*$P$9)</f>
        <v/>
      </c>
    </row>
    <row r="181" spans="16:18" x14ac:dyDescent="0.3">
      <c r="P181" s="16" t="str">
        <f>IF('Data-Plot'!C181="","",$Q$11+('Data-Plot'!C181-'Data-Plot'!D181)*$P$9)</f>
        <v/>
      </c>
      <c r="Q181" s="16" t="str">
        <f>IF('Data-Plot'!C181="","",MAX('Data-Plot'!$C$11:$C$1010)*(1+$Q$9/100))</f>
        <v/>
      </c>
      <c r="R181" s="16" t="str">
        <f>IF('Data-Plot'!C181="","",('Data-Plot'!C181-'Data-Plot'!D181)*$P$9)</f>
        <v/>
      </c>
    </row>
    <row r="182" spans="16:18" x14ac:dyDescent="0.3">
      <c r="P182" s="16" t="str">
        <f>IF('Data-Plot'!C182="","",$Q$11+('Data-Plot'!C182-'Data-Plot'!D182)*$P$9)</f>
        <v/>
      </c>
      <c r="Q182" s="16" t="str">
        <f>IF('Data-Plot'!C182="","",MAX('Data-Plot'!$C$11:$C$1010)*(1+$Q$9/100))</f>
        <v/>
      </c>
      <c r="R182" s="16" t="str">
        <f>IF('Data-Plot'!C182="","",('Data-Plot'!C182-'Data-Plot'!D182)*$P$9)</f>
        <v/>
      </c>
    </row>
    <row r="183" spans="16:18" x14ac:dyDescent="0.3">
      <c r="P183" s="16" t="str">
        <f>IF('Data-Plot'!C183="","",$Q$11+('Data-Plot'!C183-'Data-Plot'!D183)*$P$9)</f>
        <v/>
      </c>
      <c r="Q183" s="16" t="str">
        <f>IF('Data-Plot'!C183="","",MAX('Data-Plot'!$C$11:$C$1010)*(1+$Q$9/100))</f>
        <v/>
      </c>
      <c r="R183" s="16" t="str">
        <f>IF('Data-Plot'!C183="","",('Data-Plot'!C183-'Data-Plot'!D183)*$P$9)</f>
        <v/>
      </c>
    </row>
    <row r="184" spans="16:18" x14ac:dyDescent="0.3">
      <c r="P184" s="16" t="str">
        <f>IF('Data-Plot'!C184="","",$Q$11+('Data-Plot'!C184-'Data-Plot'!D184)*$P$9)</f>
        <v/>
      </c>
      <c r="Q184" s="16" t="str">
        <f>IF('Data-Plot'!C184="","",MAX('Data-Plot'!$C$11:$C$1010)*(1+$Q$9/100))</f>
        <v/>
      </c>
      <c r="R184" s="16" t="str">
        <f>IF('Data-Plot'!C184="","",('Data-Plot'!C184-'Data-Plot'!D184)*$P$9)</f>
        <v/>
      </c>
    </row>
    <row r="185" spans="16:18" x14ac:dyDescent="0.3">
      <c r="P185" s="16" t="str">
        <f>IF('Data-Plot'!C185="","",$Q$11+('Data-Plot'!C185-'Data-Plot'!D185)*$P$9)</f>
        <v/>
      </c>
      <c r="Q185" s="16" t="str">
        <f>IF('Data-Plot'!C185="","",MAX('Data-Plot'!$C$11:$C$1010)*(1+$Q$9/100))</f>
        <v/>
      </c>
      <c r="R185" s="16" t="str">
        <f>IF('Data-Plot'!C185="","",('Data-Plot'!C185-'Data-Plot'!D185)*$P$9)</f>
        <v/>
      </c>
    </row>
    <row r="186" spans="16:18" x14ac:dyDescent="0.3">
      <c r="P186" s="16" t="str">
        <f>IF('Data-Plot'!C186="","",$Q$11+('Data-Plot'!C186-'Data-Plot'!D186)*$P$9)</f>
        <v/>
      </c>
      <c r="Q186" s="16" t="str">
        <f>IF('Data-Plot'!C186="","",MAX('Data-Plot'!$C$11:$C$1010)*(1+$Q$9/100))</f>
        <v/>
      </c>
      <c r="R186" s="16" t="str">
        <f>IF('Data-Plot'!C186="","",('Data-Plot'!C186-'Data-Plot'!D186)*$P$9)</f>
        <v/>
      </c>
    </row>
    <row r="187" spans="16:18" x14ac:dyDescent="0.3">
      <c r="P187" s="16" t="str">
        <f>IF('Data-Plot'!C187="","",$Q$11+('Data-Plot'!C187-'Data-Plot'!D187)*$P$9)</f>
        <v/>
      </c>
      <c r="Q187" s="16" t="str">
        <f>IF('Data-Plot'!C187="","",MAX('Data-Plot'!$C$11:$C$1010)*(1+$Q$9/100))</f>
        <v/>
      </c>
      <c r="R187" s="16" t="str">
        <f>IF('Data-Plot'!C187="","",('Data-Plot'!C187-'Data-Plot'!D187)*$P$9)</f>
        <v/>
      </c>
    </row>
    <row r="188" spans="16:18" x14ac:dyDescent="0.3">
      <c r="P188" s="16" t="str">
        <f>IF('Data-Plot'!C188="","",$Q$11+('Data-Plot'!C188-'Data-Plot'!D188)*$P$9)</f>
        <v/>
      </c>
      <c r="Q188" s="16" t="str">
        <f>IF('Data-Plot'!C188="","",MAX('Data-Plot'!$C$11:$C$1010)*(1+$Q$9/100))</f>
        <v/>
      </c>
      <c r="R188" s="16" t="str">
        <f>IF('Data-Plot'!C188="","",('Data-Plot'!C188-'Data-Plot'!D188)*$P$9)</f>
        <v/>
      </c>
    </row>
    <row r="189" spans="16:18" x14ac:dyDescent="0.3">
      <c r="P189" s="16" t="str">
        <f>IF('Data-Plot'!C189="","",$Q$11+('Data-Plot'!C189-'Data-Plot'!D189)*$P$9)</f>
        <v/>
      </c>
      <c r="Q189" s="16" t="str">
        <f>IF('Data-Plot'!C189="","",MAX('Data-Plot'!$C$11:$C$1010)*(1+$Q$9/100))</f>
        <v/>
      </c>
      <c r="R189" s="16" t="str">
        <f>IF('Data-Plot'!C189="","",('Data-Plot'!C189-'Data-Plot'!D189)*$P$9)</f>
        <v/>
      </c>
    </row>
    <row r="190" spans="16:18" x14ac:dyDescent="0.3">
      <c r="P190" s="16" t="str">
        <f>IF('Data-Plot'!C190="","",$Q$11+('Data-Plot'!C190-'Data-Plot'!D190)*$P$9)</f>
        <v/>
      </c>
      <c r="Q190" s="16" t="str">
        <f>IF('Data-Plot'!C190="","",MAX('Data-Plot'!$C$11:$C$1010)*(1+$Q$9/100))</f>
        <v/>
      </c>
      <c r="R190" s="16" t="str">
        <f>IF('Data-Plot'!C190="","",('Data-Plot'!C190-'Data-Plot'!D190)*$P$9)</f>
        <v/>
      </c>
    </row>
    <row r="191" spans="16:18" x14ac:dyDescent="0.3">
      <c r="P191" s="16" t="str">
        <f>IF('Data-Plot'!C191="","",$Q$11+('Data-Plot'!C191-'Data-Plot'!D191)*$P$9)</f>
        <v/>
      </c>
      <c r="Q191" s="16" t="str">
        <f>IF('Data-Plot'!C191="","",MAX('Data-Plot'!$C$11:$C$1010)*(1+$Q$9/100))</f>
        <v/>
      </c>
      <c r="R191" s="16" t="str">
        <f>IF('Data-Plot'!C191="","",('Data-Plot'!C191-'Data-Plot'!D191)*$P$9)</f>
        <v/>
      </c>
    </row>
    <row r="192" spans="16:18" x14ac:dyDescent="0.3">
      <c r="P192" s="16" t="str">
        <f>IF('Data-Plot'!C192="","",$Q$11+('Data-Plot'!C192-'Data-Plot'!D192)*$P$9)</f>
        <v/>
      </c>
      <c r="Q192" s="16" t="str">
        <f>IF('Data-Plot'!C192="","",MAX('Data-Plot'!$C$11:$C$1010)*(1+$Q$9/100))</f>
        <v/>
      </c>
      <c r="R192" s="16" t="str">
        <f>IF('Data-Plot'!C192="","",('Data-Plot'!C192-'Data-Plot'!D192)*$P$9)</f>
        <v/>
      </c>
    </row>
    <row r="193" spans="16:24" x14ac:dyDescent="0.3">
      <c r="P193" s="16" t="str">
        <f>IF('Data-Plot'!C193="","",$Q$11+('Data-Plot'!C193-'Data-Plot'!D193)*$P$9)</f>
        <v/>
      </c>
      <c r="Q193" s="16" t="str">
        <f>IF('Data-Plot'!C193="","",MAX('Data-Plot'!$C$11:$C$1010)*(1+$Q$9/100))</f>
        <v/>
      </c>
      <c r="R193" s="16" t="str">
        <f>IF('Data-Plot'!C193="","",('Data-Plot'!C193-'Data-Plot'!D193)*$P$9)</f>
        <v/>
      </c>
    </row>
    <row r="194" spans="16:24" x14ac:dyDescent="0.3">
      <c r="P194" s="16" t="str">
        <f>IF('Data-Plot'!C194="","",$Q$11+('Data-Plot'!C194-'Data-Plot'!D194)*$P$9)</f>
        <v/>
      </c>
      <c r="Q194" s="16" t="str">
        <f>IF('Data-Plot'!C194="","",MAX('Data-Plot'!$C$11:$C$1010)*(1+$Q$9/100))</f>
        <v/>
      </c>
      <c r="R194" s="16" t="str">
        <f>IF('Data-Plot'!C194="","",('Data-Plot'!C194-'Data-Plot'!D194)*$P$9)</f>
        <v/>
      </c>
    </row>
    <row r="195" spans="16:24" x14ac:dyDescent="0.3">
      <c r="P195" s="16" t="str">
        <f>IF('Data-Plot'!C195="","",$Q$11+('Data-Plot'!C195-'Data-Plot'!D195)*$P$9)</f>
        <v/>
      </c>
      <c r="Q195" s="16" t="str">
        <f>IF('Data-Plot'!C195="","",MAX('Data-Plot'!$C$11:$C$1010)*(1+$Q$9/100))</f>
        <v/>
      </c>
      <c r="R195" s="16" t="str">
        <f>IF('Data-Plot'!C195="","",('Data-Plot'!C195-'Data-Plot'!D195)*$P$9)</f>
        <v/>
      </c>
    </row>
    <row r="196" spans="16:24" x14ac:dyDescent="0.3">
      <c r="P196" s="16" t="str">
        <f>IF('Data-Plot'!C196="","",$Q$11+('Data-Plot'!C196-'Data-Plot'!D196)*$P$9)</f>
        <v/>
      </c>
      <c r="Q196" s="16" t="str">
        <f>IF('Data-Plot'!C196="","",MAX('Data-Plot'!$C$11:$C$1010)*(1+$Q$9/100))</f>
        <v/>
      </c>
      <c r="R196" s="16" t="str">
        <f>IF('Data-Plot'!C196="","",('Data-Plot'!C196-'Data-Plot'!D196)*$P$9)</f>
        <v/>
      </c>
    </row>
    <row r="197" spans="16:24" x14ac:dyDescent="0.3">
      <c r="P197" s="16" t="str">
        <f>IF('Data-Plot'!C197="","",$Q$11+('Data-Plot'!C197-'Data-Plot'!D197)*$P$9)</f>
        <v/>
      </c>
      <c r="Q197" s="16" t="str">
        <f>IF('Data-Plot'!C197="","",MAX('Data-Plot'!$C$11:$C$1010)*(1+$Q$9/100))</f>
        <v/>
      </c>
      <c r="R197" s="16" t="str">
        <f>IF('Data-Plot'!C197="","",('Data-Plot'!C197-'Data-Plot'!D197)*$P$9)</f>
        <v/>
      </c>
    </row>
    <row r="198" spans="16:24" x14ac:dyDescent="0.3">
      <c r="P198" s="16" t="str">
        <f>IF('Data-Plot'!C198="","",$Q$11+('Data-Plot'!C198-'Data-Plot'!D198)*$P$9)</f>
        <v/>
      </c>
      <c r="Q198" s="16" t="str">
        <f>IF('Data-Plot'!C198="","",MAX('Data-Plot'!$C$11:$C$1010)*(1+$Q$9/100))</f>
        <v/>
      </c>
      <c r="R198" s="16" t="str">
        <f>IF('Data-Plot'!C198="","",('Data-Plot'!C198-'Data-Plot'!D198)*$P$9)</f>
        <v/>
      </c>
    </row>
    <row r="199" spans="16:24" x14ac:dyDescent="0.3">
      <c r="P199" s="16" t="str">
        <f>IF('Data-Plot'!C199="","",$Q$11+('Data-Plot'!C199-'Data-Plot'!D199)*$P$9)</f>
        <v/>
      </c>
      <c r="Q199" s="16" t="str">
        <f>IF('Data-Plot'!C199="","",MAX('Data-Plot'!$C$11:$C$1010)*(1+$Q$9/100))</f>
        <v/>
      </c>
      <c r="R199" s="16" t="str">
        <f>IF('Data-Plot'!C199="","",('Data-Plot'!C199-'Data-Plot'!D199)*$P$9)</f>
        <v/>
      </c>
    </row>
    <row r="200" spans="16:24" x14ac:dyDescent="0.3">
      <c r="P200" s="16" t="str">
        <f>IF('Data-Plot'!C200="","",$Q$11+('Data-Plot'!C200-'Data-Plot'!D200)*$P$9)</f>
        <v/>
      </c>
      <c r="Q200" s="16" t="str">
        <f>IF('Data-Plot'!C200="","",MAX('Data-Plot'!$C$11:$C$1010)*(1+$Q$9/100))</f>
        <v/>
      </c>
      <c r="R200" s="16" t="str">
        <f>IF('Data-Plot'!C200="","",('Data-Plot'!C200-'Data-Plot'!D200)*$P$9)</f>
        <v/>
      </c>
    </row>
    <row r="201" spans="16:24" x14ac:dyDescent="0.3">
      <c r="P201" s="16" t="str">
        <f>IF('Data-Plot'!C201="","",$Q$11+('Data-Plot'!C201-'Data-Plot'!D201)*$P$9)</f>
        <v/>
      </c>
      <c r="Q201" s="16" t="str">
        <f>IF('Data-Plot'!C201="","",MAX('Data-Plot'!$C$11:$C$1010)*(1+$Q$9/100))</f>
        <v/>
      </c>
      <c r="R201" s="16" t="str">
        <f>IF('Data-Plot'!C201="","",('Data-Plot'!C201-'Data-Plot'!D201)*$P$9)</f>
        <v/>
      </c>
      <c r="S201" s="16">
        <v>32287.338757137735</v>
      </c>
      <c r="T201" s="16">
        <v>2.677146802079929E-7</v>
      </c>
      <c r="U201" s="16">
        <v>77.078722962780731</v>
      </c>
      <c r="V201" s="16">
        <v>3.4925315820583344E-14</v>
      </c>
      <c r="W201" s="16">
        <v>32203.260033907241</v>
      </c>
    </row>
    <row r="202" spans="16:24" x14ac:dyDescent="0.3">
      <c r="P202" s="16" t="str">
        <f>IF('Data-Plot'!C202="","",$Q$11+('Data-Plot'!C202-'Data-Plot'!D202)*$P$9)</f>
        <v/>
      </c>
      <c r="Q202" s="16" t="str">
        <f>IF('Data-Plot'!C202="","",MAX('Data-Plot'!$C$11:$C$1010)*(1+$Q$9/100))</f>
        <v/>
      </c>
      <c r="R202" s="16" t="str">
        <f>IF('Data-Plot'!C202="","",('Data-Plot'!C202-'Data-Plot'!D202)*$P$9)</f>
        <v/>
      </c>
      <c r="S202" s="16">
        <v>29849.34826209422</v>
      </c>
      <c r="T202" s="16">
        <v>2.1803644912479802E-7</v>
      </c>
      <c r="U202" s="16">
        <v>71.493697610291392</v>
      </c>
      <c r="V202" s="16">
        <v>1.1991504251607252E-15</v>
      </c>
      <c r="W202" s="16">
        <v>29770.85456426589</v>
      </c>
    </row>
    <row r="203" spans="16:24" x14ac:dyDescent="0.3">
      <c r="P203" s="16" t="str">
        <f>IF('Data-Plot'!C203="","",$Q$11+('Data-Plot'!C203-'Data-Plot'!D203)*$P$9)</f>
        <v/>
      </c>
      <c r="Q203" s="16" t="str">
        <f>IF('Data-Plot'!C203="","",MAX('Data-Plot'!$C$11:$C$1010)*(1+$Q$9/100))</f>
        <v/>
      </c>
      <c r="R203" s="16" t="str">
        <f>IF('Data-Plot'!C203="","",('Data-Plot'!C203-'Data-Plot'!D203)*$P$9)</f>
        <v/>
      </c>
      <c r="S203" s="16">
        <v>27542.224486400421</v>
      </c>
      <c r="T203" s="16">
        <v>1.7778344087527211E-7</v>
      </c>
      <c r="U203" s="16">
        <v>66.340879657160031</v>
      </c>
      <c r="V203" s="16">
        <v>3.23413787557835E-17</v>
      </c>
      <c r="W203" s="16">
        <v>27468.883606565476</v>
      </c>
    </row>
    <row r="204" spans="16:24" x14ac:dyDescent="0.3">
      <c r="P204" s="16" t="str">
        <f>IF('Data-Plot'!C204="","",$Q$11+('Data-Plot'!C204-'Data-Plot'!D204)*$P$9)</f>
        <v/>
      </c>
      <c r="Q204" s="16" t="str">
        <f>IF('Data-Plot'!C204="","",MAX('Data-Plot'!$C$11:$C$1010)*(1+$Q$9/100))</f>
        <v/>
      </c>
      <c r="R204" s="16" t="str">
        <f>IF('Data-Plot'!C204="","",('Data-Plot'!C204-'Data-Plot'!D204)*$P$9)</f>
        <v/>
      </c>
      <c r="S204" s="16">
        <v>26438.309810027677</v>
      </c>
      <c r="T204" s="16">
        <v>1.6060554081513215E-7</v>
      </c>
      <c r="U204" s="16">
        <v>63.915335838913578</v>
      </c>
      <c r="V204" s="16">
        <v>4.8286132099651002E-18</v>
      </c>
      <c r="W204" s="16">
        <v>26367.394474028159</v>
      </c>
    </row>
    <row r="205" spans="16:24" x14ac:dyDescent="0.3">
      <c r="P205" s="16" t="str">
        <f>IF('Data-Plot'!C205="","",$Q$11+('Data-Plot'!C205-'Data-Plot'!D205)*$P$9)</f>
        <v/>
      </c>
      <c r="Q205" s="16" t="str">
        <f>IF('Data-Plot'!C205="","",MAX('Data-Plot'!$C$11:$C$1010)*(1+$Q$9/100))</f>
        <v/>
      </c>
      <c r="R205" s="16" t="str">
        <f>IF('Data-Plot'!C205="","",('Data-Plot'!C205-'Data-Plot'!D205)*$P$9)</f>
        <v/>
      </c>
      <c r="S205" s="16">
        <v>24329.965660796181</v>
      </c>
      <c r="T205" s="16">
        <v>1.3118146234460024E-7</v>
      </c>
      <c r="U205" s="16">
        <v>59.345266028832953</v>
      </c>
      <c r="V205" s="16">
        <v>8.8078303643537647E-20</v>
      </c>
      <c r="W205" s="16">
        <v>24263.620394636167</v>
      </c>
    </row>
    <row r="206" spans="16:24" x14ac:dyDescent="0.3">
      <c r="P206" s="16" t="str">
        <f>IF('Data-Plot'!C206="","",$Q$11+('Data-Plot'!C206-'Data-Plot'!D206)*$P$9)</f>
        <v/>
      </c>
      <c r="Q206" s="16" t="str">
        <f>IF('Data-Plot'!C206="","",MAX('Data-Plot'!$C$11:$C$1010)*(1+$Q$9/100))</f>
        <v/>
      </c>
      <c r="R206" s="16" t="str">
        <f>IF('Data-Plot'!C206="","",('Data-Plot'!C206-'Data-Plot'!D206)*$P$9)</f>
        <v/>
      </c>
      <c r="S206" s="16">
        <v>24523.735577938256</v>
      </c>
      <c r="T206" s="16">
        <v>4.223277423301945</v>
      </c>
      <c r="U206" s="16">
        <v>24393.799886236986</v>
      </c>
      <c r="V206" s="16">
        <v>61.692483107328023</v>
      </c>
      <c r="W206" s="16">
        <v>1.9931057576330902E-2</v>
      </c>
      <c r="X206" s="16">
        <v>1.1306386106039493E-7</v>
      </c>
    </row>
    <row r="207" spans="16:24" x14ac:dyDescent="0.3">
      <c r="P207" s="16" t="str">
        <f>IF('Data-Plot'!C207="","",$Q$11+('Data-Plot'!C207-'Data-Plot'!D207)*$P$9)</f>
        <v/>
      </c>
      <c r="Q207" s="16" t="str">
        <f>IF('Data-Plot'!C207="","",MAX('Data-Plot'!$C$11:$C$1010)*(1+$Q$9/100))</f>
        <v/>
      </c>
      <c r="R207" s="16" t="str">
        <f>IF('Data-Plot'!C207="","",('Data-Plot'!C207-'Data-Plot'!D207)*$P$9)</f>
        <v/>
      </c>
      <c r="S207" s="16">
        <v>21576.792205450845</v>
      </c>
      <c r="T207" s="16">
        <v>4.1145703699654224</v>
      </c>
      <c r="U207" s="16">
        <v>21444.505552463179</v>
      </c>
      <c r="V207" s="16">
        <v>64.150659850679602</v>
      </c>
      <c r="W207" s="16">
        <v>2.1422641866110977E-2</v>
      </c>
      <c r="X207" s="16">
        <v>1.2515434783332951E-7</v>
      </c>
    </row>
    <row r="208" spans="16:24" x14ac:dyDescent="0.3">
      <c r="P208" s="16" t="str">
        <f>IF('Data-Plot'!C208="","",$Q$11+('Data-Plot'!C208-'Data-Plot'!D208)*$P$9)</f>
        <v/>
      </c>
      <c r="Q208" s="16" t="str">
        <f>IF('Data-Plot'!C208="","",MAX('Data-Plot'!$C$11:$C$1010)*(1+$Q$9/100))</f>
        <v/>
      </c>
      <c r="R208" s="16" t="str">
        <f>IF('Data-Plot'!C208="","",('Data-Plot'!C208-'Data-Plot'!D208)*$P$9)</f>
        <v/>
      </c>
      <c r="S208" s="16">
        <v>18854.618548190421</v>
      </c>
      <c r="T208" s="16">
        <v>4.0089364427135443</v>
      </c>
      <c r="U208" s="16">
        <v>18719.901789154232</v>
      </c>
      <c r="V208" s="16">
        <v>66.684801695601848</v>
      </c>
      <c r="W208" s="16">
        <v>2.3020759382396751E-2</v>
      </c>
      <c r="X208" s="16">
        <v>1.384946463883851E-7</v>
      </c>
    </row>
    <row r="209" spans="16:24" x14ac:dyDescent="0.3">
      <c r="P209" s="16" t="str">
        <f>IF('Data-Plot'!C209="","",$Q$11+('Data-Plot'!C209-'Data-Plot'!D209)*$P$9)</f>
        <v/>
      </c>
      <c r="Q209" s="16" t="str">
        <f>IF('Data-Plot'!C209="","",MAX('Data-Plot'!$C$11:$C$1010)*(1+$Q$9/100))</f>
        <v/>
      </c>
      <c r="R209" s="16" t="str">
        <f>IF('Data-Plot'!C209="","",('Data-Plot'!C209-'Data-Plot'!D209)*$P$9)</f>
        <v/>
      </c>
      <c r="S209" s="16">
        <v>16360.864856369875</v>
      </c>
      <c r="T209" s="16">
        <v>3.9062816515905516</v>
      </c>
      <c r="U209" s="16">
        <v>16223.638082843296</v>
      </c>
      <c r="V209" s="16">
        <v>69.295759072985007</v>
      </c>
      <c r="W209" s="16">
        <v>2.4732648794103529E-2</v>
      </c>
      <c r="X209" s="16">
        <v>1.5320945385678397E-7</v>
      </c>
    </row>
    <row r="210" spans="16:24" x14ac:dyDescent="0.3">
      <c r="P210" s="16" t="str">
        <f>IF('Data-Plot'!C210="","",$Q$11+('Data-Plot'!C210-'Data-Plot'!D210)*$P$9)</f>
        <v/>
      </c>
      <c r="Q210" s="16" t="str">
        <f>IF('Data-Plot'!C210="","",MAX('Data-Plot'!$C$11:$C$1010)*(1+$Q$9/100))</f>
        <v/>
      </c>
      <c r="R210" s="16" t="str">
        <f>IF('Data-Plot'!C210="","",('Data-Plot'!C210-'Data-Plot'!D210)*$P$9)</f>
        <v/>
      </c>
      <c r="S210" s="16">
        <v>14095.6242210405</v>
      </c>
      <c r="T210" s="16">
        <v>3.8065150755103274</v>
      </c>
      <c r="U210" s="16">
        <v>13955.806867130135</v>
      </c>
      <c r="V210" s="16">
        <v>71.984272650511286</v>
      </c>
      <c r="W210" s="16">
        <v>2.6566014907111867E-2</v>
      </c>
      <c r="X210" s="16">
        <v>1.6943545499788212E-7</v>
      </c>
    </row>
    <row r="211" spans="16:24" x14ac:dyDescent="0.3">
      <c r="P211" s="16" t="str">
        <f>IF('Data-Plot'!C211="","",$Q$11+('Data-Plot'!C211-'Data-Plot'!D211)*$P$9)</f>
        <v/>
      </c>
      <c r="Q211" s="16" t="str">
        <f>IF('Data-Plot'!C211="","",MAX('Data-Plot'!$C$11:$C$1010)*(1+$Q$9/100))</f>
        <v/>
      </c>
      <c r="R211" s="16" t="str">
        <f>IF('Data-Plot'!C211="","",('Data-Plot'!C211-'Data-Plot'!D211)*$P$9)</f>
        <v/>
      </c>
      <c r="S211" s="16">
        <v>12055.657499279681</v>
      </c>
      <c r="T211" s="16">
        <v>3.7095487567170209</v>
      </c>
      <c r="U211" s="16">
        <v>11913.168458397495</v>
      </c>
      <c r="V211" s="16">
        <v>74.750962881170068</v>
      </c>
      <c r="W211" s="16">
        <v>2.8529056977202778E-2</v>
      </c>
      <c r="X211" s="16">
        <v>1.8732243045052598E-7</v>
      </c>
    </row>
    <row r="212" spans="16:24" x14ac:dyDescent="0.3">
      <c r="P212" s="16" t="str">
        <f>IF('Data-Plot'!C212="","",$Q$11+('Data-Plot'!C212-'Data-Plot'!D212)*$P$9)</f>
        <v/>
      </c>
      <c r="Q212" s="16" t="str">
        <f>IF('Data-Plot'!C212="","",MAX('Data-Plot'!$C$11:$C$1010)*(1+$Q$9/100))</f>
        <v/>
      </c>
      <c r="R212" s="16" t="str">
        <f>IF('Data-Plot'!C212="","",('Data-Plot'!C212-'Data-Plot'!D212)*$P$9)</f>
        <v/>
      </c>
      <c r="S212" s="16">
        <v>10234.69738620124</v>
      </c>
      <c r="T212" s="16">
        <v>3.6152975990081937</v>
      </c>
      <c r="U212" s="16">
        <v>10089.455138706082</v>
      </c>
      <c r="V212" s="16">
        <v>77.59631919048006</v>
      </c>
      <c r="W212" s="16">
        <v>3.063049863475829E-2</v>
      </c>
      <c r="X212" s="16">
        <v>2.0703446330074727E-7</v>
      </c>
    </row>
    <row r="213" spans="16:24" x14ac:dyDescent="0.3">
      <c r="P213" s="16" t="str">
        <f>IF('Data-Plot'!C213="","",$Q$11+('Data-Plot'!C213-'Data-Plot'!D213)*$P$9)</f>
        <v/>
      </c>
      <c r="Q213" s="16" t="str">
        <f>IF('Data-Plot'!C213="","",MAX('Data-Plot'!$C$11:$C$1010)*(1+$Q$9/100))</f>
        <v/>
      </c>
      <c r="R213" s="16" t="str">
        <f>IF('Data-Plot'!C213="","",('Data-Plot'!C213-'Data-Plot'!D213)*$P$9)</f>
        <v/>
      </c>
      <c r="S213" s="16">
        <v>8623.8182126459033</v>
      </c>
      <c r="T213" s="16">
        <v>3.5236792695845467</v>
      </c>
      <c r="U213" s="16">
        <v>8475.7409646968026</v>
      </c>
      <c r="V213" s="16">
        <v>80.520688831258241</v>
      </c>
      <c r="W213" s="16">
        <v>3.2879619506386543E-2</v>
      </c>
      <c r="X213" s="16">
        <v>2.2875125231443231E-7</v>
      </c>
    </row>
    <row r="214" spans="16:24" x14ac:dyDescent="0.3">
      <c r="P214" s="16" t="str">
        <f>IF('Data-Plot'!C214="","",$Q$11+('Data-Plot'!C214-'Data-Plot'!D214)*$P$9)</f>
        <v/>
      </c>
      <c r="Q214" s="16" t="str">
        <f>IF('Data-Plot'!C214="","",MAX('Data-Plot'!$C$11:$C$1010)*(1+$Q$9/100))</f>
        <v/>
      </c>
      <c r="R214" s="16" t="str">
        <f>IF('Data-Plot'!C214="","",('Data-Plot'!C214-'Data-Plot'!D214)*$P$9)</f>
        <v/>
      </c>
      <c r="S214" s="16">
        <v>7211.8555743167972</v>
      </c>
      <c r="T214" s="16">
        <v>3.4346141043951124</v>
      </c>
      <c r="U214" s="16">
        <v>7060.8614082305949</v>
      </c>
      <c r="V214" s="16">
        <v>83.524265440515208</v>
      </c>
      <c r="W214" s="16">
        <v>3.5286288622730748E-2</v>
      </c>
      <c r="X214" s="16">
        <v>2.5266954086026691E-7</v>
      </c>
    </row>
    <row r="215" spans="16:24" x14ac:dyDescent="0.3">
      <c r="P215" s="16" t="str">
        <f>IF('Data-Plot'!C215="","",$Q$11+('Data-Plot'!C215-'Data-Plot'!D215)*$P$9)</f>
        <v/>
      </c>
      <c r="Q215" s="16" t="str">
        <f>IF('Data-Plot'!C215="","",MAX('Data-Plot'!$C$11:$C$1010)*(1+$Q$9/100))</f>
        <v/>
      </c>
      <c r="R215" s="16" t="str">
        <f>IF('Data-Plot'!C215="","",('Data-Plot'!C215-'Data-Plot'!D215)*$P$9)</f>
        <v/>
      </c>
      <c r="S215" s="16">
        <v>5985.8582674760955</v>
      </c>
      <c r="T215" s="16">
        <v>3.34802501685121</v>
      </c>
      <c r="U215" s="16">
        <v>5831.8653038413613</v>
      </c>
      <c r="V215" s="16">
        <v>86.607077339171923</v>
      </c>
      <c r="W215" s="16">
        <v>3.7860999706002853E-2</v>
      </c>
      <c r="X215" s="16">
        <v>2.7900467127714516E-7</v>
      </c>
    </row>
    <row r="216" spans="16:24" x14ac:dyDescent="0.3">
      <c r="P216" s="16" t="str">
        <f>IF('Data-Plot'!C216="","",$Q$11+('Data-Plot'!C216-'Data-Plot'!D216)*$P$9)</f>
        <v/>
      </c>
      <c r="Q216" s="16" t="str">
        <f>IF('Data-Plot'!C216="","",MAX('Data-Plot'!$C$11:$C$1010)*(1+$Q$9/100))</f>
        <v/>
      </c>
      <c r="R216" s="16" t="str">
        <f>IF('Data-Plot'!C216="","",('Data-Plot'!C216-'Data-Plot'!D216)*$P$9)</f>
        <v/>
      </c>
      <c r="S216" s="16">
        <v>4931.5543171905556</v>
      </c>
      <c r="T216" s="16">
        <v>3.2638374097872753</v>
      </c>
      <c r="U216" s="16">
        <v>4774.4808889426104</v>
      </c>
      <c r="V216" s="16">
        <v>89.768975621730718</v>
      </c>
      <c r="W216" s="16">
        <v>4.0614908435221614E-2</v>
      </c>
      <c r="X216" s="16">
        <v>3.0799227522489629E-7</v>
      </c>
    </row>
    <row r="217" spans="16:24" x14ac:dyDescent="0.3">
      <c r="P217" s="16" t="str">
        <f>IF('Data-Plot'!C217="","",$Q$11+('Data-Plot'!C217-'Data-Plot'!D217)*$P$9)</f>
        <v/>
      </c>
      <c r="Q217" s="16" t="str">
        <f>IF('Data-Plot'!C217="","",MAX('Data-Plot'!$C$11:$C$1010)*(1+$Q$9/100))</f>
        <v/>
      </c>
      <c r="R217" s="16" t="str">
        <f>IF('Data-Plot'!C217="","",('Data-Plot'!C217-'Data-Plot'!D217)*$P$9)</f>
        <v/>
      </c>
      <c r="S217" s="16">
        <v>4033.8131705105288</v>
      </c>
      <c r="T217" s="16">
        <v>3.1819790905506991</v>
      </c>
      <c r="U217" s="16">
        <v>3873.5780091184843</v>
      </c>
      <c r="V217" s="16">
        <v>93.009622089811842</v>
      </c>
      <c r="W217" s="16">
        <v>4.3559871791780586E-2</v>
      </c>
      <c r="X217" s="16">
        <v>3.3989011140220903E-7</v>
      </c>
    </row>
    <row r="218" spans="16:24" x14ac:dyDescent="0.3">
      <c r="P218" s="16" t="str">
        <f>IF('Data-Plot'!C218="","",$Q$11+('Data-Plot'!C218-'Data-Plot'!D218)*$P$9)</f>
        <v/>
      </c>
      <c r="Q218" s="16" t="str">
        <f>IF('Data-Plot'!C218="","",MAX('Data-Plot'!$C$11:$C$1010)*(1+$Q$9/100))</f>
        <v/>
      </c>
      <c r="R218" s="16" t="str">
        <f>IF('Data-Plot'!C218="","",('Data-Plot'!C218-'Data-Plot'!D218)*$P$9)</f>
        <v/>
      </c>
      <c r="S218" s="16">
        <v>3277.0873536189515</v>
      </c>
      <c r="T218" s="16">
        <v>3.1023801891072709</v>
      </c>
      <c r="U218" s="16">
        <v>3113.6097874747752</v>
      </c>
      <c r="V218" s="16">
        <v>96.328477090496108</v>
      </c>
      <c r="W218" s="16">
        <v>4.6708489592786444E-2</v>
      </c>
      <c r="X218" s="16">
        <v>3.7498006292481524E-7</v>
      </c>
    </row>
    <row r="219" spans="16:24" x14ac:dyDescent="0.3">
      <c r="P219" s="16" t="str">
        <f>IF('Data-Plot'!C219="","",$Q$11+('Data-Plot'!C219-'Data-Plot'!D219)*$P$9)</f>
        <v/>
      </c>
      <c r="Q219" s="16" t="str">
        <f>IF('Data-Plot'!C219="","",MAX('Data-Plot'!$C$11:$C$1010)*(1+$Q$9/100))</f>
        <v/>
      </c>
      <c r="R219" s="16" t="str">
        <f>IF('Data-Plot'!C219="","",('Data-Plot'!C219-'Data-Plot'!D219)*$P$9)</f>
        <v/>
      </c>
      <c r="S219" s="16">
        <v>2645.8189561822446</v>
      </c>
      <c r="T219" s="16">
        <v>3.0249730790528342</v>
      </c>
      <c r="U219" s="16">
        <v>2479.0191212136288</v>
      </c>
      <c r="V219" s="16">
        <v>99.724787327668565</v>
      </c>
      <c r="W219" s="16">
        <v>5.007414832462171E-2</v>
      </c>
      <c r="X219" s="16">
        <v>4.1357030763529956E-7</v>
      </c>
    </row>
    <row r="220" spans="16:24" x14ac:dyDescent="0.3">
      <c r="P220" s="16" t="str">
        <f>IF('Data-Plot'!C220="","",$Q$11+('Data-Plot'!C220-'Data-Plot'!D220)*$P$9)</f>
        <v/>
      </c>
      <c r="Q220" s="16" t="str">
        <f>IF('Data-Plot'!C220="","",MAX('Data-Plot'!$C$11:$C$1010)*(1+$Q$9/100))</f>
        <v/>
      </c>
      <c r="R220" s="16" t="str">
        <f>IF('Data-Plot'!C220="","",('Data-Plot'!C220-'Data-Plot'!D220)*$P$9)</f>
        <v/>
      </c>
      <c r="S220" s="16">
        <v>2124.7990460388369</v>
      </c>
      <c r="T220" s="16">
        <v>2.949692301425507</v>
      </c>
      <c r="U220" s="16">
        <v>1954.5981084920347</v>
      </c>
      <c r="V220" s="16">
        <v>103.19757372198468</v>
      </c>
      <c r="W220" s="16">
        <v>5.3671067394410341E-2</v>
      </c>
      <c r="X220" s="16">
        <v>4.5599767566836627E-7</v>
      </c>
    </row>
    <row r="221" spans="16:24" x14ac:dyDescent="0.3">
      <c r="P221" s="16" t="str">
        <f>IF('Data-Plot'!C221="","",$Q$11+('Data-Plot'!C221-'Data-Plot'!D221)*$P$9)</f>
        <v/>
      </c>
      <c r="Q221" s="16" t="str">
        <f>IF('Data-Plot'!C221="","",MAX('Data-Plot'!$C$11:$C$1010)*(1+$Q$9/100))</f>
        <v/>
      </c>
      <c r="R221" s="16" t="str">
        <f>IF('Data-Plot'!C221="","",('Data-Plot'!C221-'Data-Plot'!D221)*$P$9)</f>
        <v/>
      </c>
      <c r="S221" s="16">
        <v>1699.4713259025878</v>
      </c>
      <c r="T221" s="16">
        <v>2.8764744912169822</v>
      </c>
      <c r="U221" s="16">
        <v>1525.7917171582549</v>
      </c>
      <c r="V221" s="16">
        <v>106.74561940256325</v>
      </c>
      <c r="W221" s="16">
        <v>5.7514347922465611E-2</v>
      </c>
      <c r="X221" s="16">
        <v>5.0263020972698303E-7</v>
      </c>
    </row>
    <row r="222" spans="16:24" x14ac:dyDescent="0.3">
      <c r="P222" s="16" t="str">
        <f>IF('Data-Plot'!C222="","",$Q$11+('Data-Plot'!C222-'Data-Plot'!D222)*$P$9)</f>
        <v/>
      </c>
      <c r="Q222" s="16" t="str">
        <f>IF('Data-Plot'!C222="","",MAX('Data-Plot'!$C$11:$C$1010)*(1+$Q$9/100))</f>
        <v/>
      </c>
      <c r="R222" s="16" t="str">
        <f>IF('Data-Plot'!C222="","",('Data-Plot'!C222-'Data-Plot'!D222)*$P$9)</f>
        <v/>
      </c>
      <c r="S222" s="16">
        <v>1356.1747868348389</v>
      </c>
      <c r="T222" s="16">
        <v>2.8052583064847649</v>
      </c>
      <c r="U222" s="16">
        <v>1178.9404500292562</v>
      </c>
      <c r="V222" s="16">
        <v>110.36745792102353</v>
      </c>
      <c r="W222" s="16">
        <v>6.1620024204441515E-2</v>
      </c>
      <c r="X222" s="16">
        <v>5.5386994474155472E-7</v>
      </c>
    </row>
    <row r="223" spans="16:24" x14ac:dyDescent="0.3">
      <c r="P223" s="16" t="str">
        <f>IF('Data-Plot'!C223="","",$Q$11+('Data-Plot'!C223-'Data-Plot'!D223)*$P$9)</f>
        <v/>
      </c>
      <c r="Q223" s="16" t="str">
        <f>IF('Data-Plot'!C223="","",MAX('Data-Plot'!$C$11:$C$1010)*(1+$Q$9/100))</f>
        <v/>
      </c>
      <c r="R223" s="16" t="str">
        <f>IF('Data-Plot'!C223="","",('Data-Plot'!C223-'Data-Plot'!D223)*$P$9)</f>
        <v/>
      </c>
      <c r="S223" s="16">
        <v>1082.3235504432075</v>
      </c>
      <c r="T223" s="16">
        <v>2.7359843599708777</v>
      </c>
      <c r="U223" s="16">
        <v>901.46019856922612</v>
      </c>
      <c r="V223" s="16">
        <v>114.06136178587685</v>
      </c>
      <c r="W223" s="16">
        <v>6.6005117977736241E-2</v>
      </c>
      <c r="X223" s="16">
        <v>6.101559248920682E-7</v>
      </c>
    </row>
    <row r="224" spans="16:24" x14ac:dyDescent="0.3">
      <c r="P224" s="16" t="str">
        <f>IF('Data-Plot'!C224="","",$Q$11+('Data-Plot'!C224-'Data-Plot'!D224)*$P$9)</f>
        <v/>
      </c>
      <c r="Q224" s="16" t="str">
        <f>IF('Data-Plot'!C224="","",MAX('Data-Plot'!$C$11:$C$1010)*(1+$Q$9/100))</f>
        <v/>
      </c>
      <c r="R224" s="16" t="str">
        <f>IF('Data-Plot'!C224="","",('Data-Plot'!C224-'Data-Plot'!D224)*$P$9)</f>
        <v/>
      </c>
      <c r="S224" s="16">
        <v>866.5252972082717</v>
      </c>
      <c r="T224" s="16">
        <v>2.6685951531361276</v>
      </c>
      <c r="U224" s="16">
        <v>681.96068226506429</v>
      </c>
      <c r="V224" s="16">
        <v>117.82533142247095</v>
      </c>
      <c r="W224" s="16">
        <v>7.0687695632750971E-2</v>
      </c>
      <c r="X224" s="16">
        <v>6.7196747737812827E-7</v>
      </c>
    </row>
    <row r="225" spans="16:24" x14ac:dyDescent="0.3">
      <c r="P225" s="16" t="str">
        <f>IF('Data-Plot'!C225="","",$Q$11+('Data-Plot'!C225-'Data-Plot'!D225)*$P$9)</f>
        <v/>
      </c>
      <c r="Q225" s="16" t="str">
        <f>IF('Data-Plot'!C225="","",MAX('Data-Plot'!$C$11:$C$1010)*(1+$Q$9/100))</f>
        <v/>
      </c>
      <c r="R225" s="16" t="str">
        <f>IF('Data-Plot'!C225="","",('Data-Plot'!C225-'Data-Plot'!D225)*$P$9)</f>
        <v/>
      </c>
      <c r="S225" s="16">
        <v>698.64245952538215</v>
      </c>
      <c r="T225" s="16">
        <v>2.6030350125220423</v>
      </c>
      <c r="U225" s="16">
        <v>510.30665217395205</v>
      </c>
      <c r="V225" s="16">
        <v>121.65708467056439</v>
      </c>
      <c r="W225" s="16">
        <v>7.5686928515895355E-2</v>
      </c>
      <c r="X225" s="16">
        <v>7.3982776383175979E-7</v>
      </c>
    </row>
    <row r="226" spans="16:24" x14ac:dyDescent="0.3">
      <c r="P226" s="16" t="str">
        <f>IF('Data-Plot'!C226="","",$Q$11+('Data-Plot'!C226-'Data-Plot'!D226)*$P$9)</f>
        <v/>
      </c>
      <c r="Q226" s="16" t="str">
        <f>IF('Data-Plot'!C226="","",MAX('Data-Plot'!$C$11:$C$1010)*(1+$Q$9/100))</f>
        <v/>
      </c>
      <c r="R226" s="16" t="str">
        <f>IF('Data-Plot'!C226="","",('Data-Plot'!C226-'Data-Plot'!D226)*$P$9)</f>
        <v/>
      </c>
      <c r="S226" s="16">
        <v>569.80257061676173</v>
      </c>
      <c r="T226" s="16">
        <v>2.5392500283561197</v>
      </c>
      <c r="U226" s="16">
        <v>377.62824967963184</v>
      </c>
      <c r="V226" s="16">
        <v>125.55404693798847</v>
      </c>
      <c r="W226" s="16">
        <v>8.1023156477710787E-2</v>
      </c>
      <c r="X226" s="16">
        <v>8.1430763188868741E-7</v>
      </c>
    </row>
    <row r="227" spans="16:24" x14ac:dyDescent="0.3">
      <c r="P227" s="16" t="str">
        <f>IF('Data-Plot'!C227="","",$Q$11+('Data-Plot'!C227-'Data-Plot'!D227)*$P$9)</f>
        <v/>
      </c>
      <c r="Q227" s="16" t="str">
        <f>IF('Data-Plot'!C227="","",MAX('Data-Plot'!$C$11:$C$1010)*(1+$Q$9/100))</f>
        <v/>
      </c>
      <c r="R227" s="16" t="str">
        <f>IF('Data-Plot'!C227="","",('Data-Plot'!C227-'Data-Plot'!D227)*$P$9)</f>
        <v/>
      </c>
      <c r="S227" s="16">
        <v>472.36571740142352</v>
      </c>
      <c r="T227" s="16">
        <v>2.4771879953188178</v>
      </c>
      <c r="U227" s="16">
        <v>276.2884684205755</v>
      </c>
      <c r="V227" s="16">
        <v>129.5133421346732</v>
      </c>
      <c r="W227" s="16">
        <v>8.6717954826231722E-2</v>
      </c>
      <c r="X227" s="16">
        <v>8.9602979117496105E-7</v>
      </c>
    </row>
    <row r="228" spans="16:24" x14ac:dyDescent="0.3">
      <c r="P228" s="16" t="str">
        <f>IF('Data-Plot'!C228="","",$Q$11+('Data-Plot'!C228-'Data-Plot'!D228)*$P$9)</f>
        <v/>
      </c>
      <c r="Q228" s="16" t="str">
        <f>IF('Data-Plot'!C228="","",MAX('Data-Plot'!$C$11:$C$1010)*(1+$Q$9/100))</f>
        <v/>
      </c>
      <c r="R228" s="16" t="str">
        <f>IF('Data-Plot'!C228="","",('Data-Plot'!C228-'Data-Plot'!D228)*$P$9)</f>
        <v/>
      </c>
      <c r="S228" s="16">
        <v>399.85791993616618</v>
      </c>
      <c r="T228" s="16">
        <v>2.416798355393877</v>
      </c>
      <c r="U228" s="16">
        <v>199.81654187390438</v>
      </c>
      <c r="V228" s="16">
        <v>133.53178451634193</v>
      </c>
      <c r="W228" s="16">
        <v>9.279420485264879E-2</v>
      </c>
      <c r="X228" s="16">
        <v>9.8567333983421893E-7</v>
      </c>
    </row>
    <row r="229" spans="16:24" x14ac:dyDescent="0.3">
      <c r="P229" s="16" t="str">
        <f>IF('Data-Plot'!C229="","",$Q$11+('Data-Plot'!C229-'Data-Plot'!D229)*$P$9)</f>
        <v/>
      </c>
      <c r="Q229" s="16" t="str">
        <f>IF('Data-Plot'!C229="","",MAX('Data-Plot'!$C$11:$C$1010)*(1+$Q$9/100))</f>
        <v/>
      </c>
      <c r="R229" s="16" t="str">
        <f>IF('Data-Plot'!C229="","",('Data-Plot'!C229-'Data-Plot'!D229)*$P$9)</f>
        <v/>
      </c>
      <c r="S229" s="16">
        <v>346.87948223756609</v>
      </c>
      <c r="T229" s="16">
        <v>2.3580321427264046</v>
      </c>
      <c r="U229" s="16">
        <v>142.81630127145311</v>
      </c>
      <c r="V229" s="16">
        <v>137.60587157130439</v>
      </c>
      <c r="W229" s="16">
        <v>9.9276168103525242E-2</v>
      </c>
      <c r="X229" s="16">
        <v>1.0839786697262862E-6</v>
      </c>
    </row>
    <row r="230" spans="16:24" x14ac:dyDescent="0.3">
      <c r="P230" s="16" t="str">
        <f>IF('Data-Plot'!C230="","",$Q$11+('Data-Plot'!C230-'Data-Plot'!D230)*$P$9)</f>
        <v/>
      </c>
      <c r="Q230" s="16" t="str">
        <f>IF('Data-Plot'!C230="","",MAX('Data-Plot'!$C$11:$C$1010)*(1+$Q$9/100))</f>
        <v/>
      </c>
      <c r="R230" s="16" t="str">
        <f>IF('Data-Plot'!C230="","",('Data-Plot'!C230-'Data-Plot'!D230)*$P$9)</f>
        <v/>
      </c>
      <c r="S230" s="16">
        <v>308.9970072728467</v>
      </c>
      <c r="T230" s="16">
        <v>2.3008419304158108</v>
      </c>
      <c r="U230" s="16">
        <v>100.85819649926229</v>
      </c>
      <c r="V230" s="16">
        <v>141.73177808683457</v>
      </c>
      <c r="W230" s="16">
        <v>0.10618956458125563</v>
      </c>
      <c r="X230" s="16">
        <v>1.1917527805795717E-6</v>
      </c>
    </row>
    <row r="231" spans="16:24" x14ac:dyDescent="0.3">
      <c r="P231" s="16" t="str">
        <f>IF('Data-Plot'!C231="","",$Q$11+('Data-Plot'!C231-'Data-Plot'!D231)*$P$9)</f>
        <v/>
      </c>
      <c r="Q231" s="16" t="str">
        <f>IF('Data-Plot'!C231="","",MAX('Data-Plot'!$C$11:$C$1010)*(1+$Q$9/100))</f>
        <v/>
      </c>
      <c r="R231" s="16" t="str">
        <f>IF('Data-Plot'!C231="","",('Data-Plot'!C231-'Data-Plot'!D231)*$P$9)</f>
        <v/>
      </c>
      <c r="S231" s="16">
        <v>282.62695598481451</v>
      </c>
      <c r="T231" s="16">
        <v>2.2451817791735742</v>
      </c>
      <c r="U231" s="16">
        <v>70.362859707308431</v>
      </c>
      <c r="V231" s="16">
        <v>145.90535153339536</v>
      </c>
      <c r="W231" s="16">
        <v>0.11356165506208267</v>
      </c>
      <c r="X231" s="16">
        <v>1.3098750356872513E-6</v>
      </c>
    </row>
    <row r="232" spans="16:24" x14ac:dyDescent="0.3">
      <c r="P232" s="16" t="str">
        <f>IF('Data-Plot'!C232="","",$Q$11+('Data-Plot'!C232-'Data-Plot'!D232)*$P$9)</f>
        <v/>
      </c>
      <c r="Q232" s="16" t="str">
        <f>IF('Data-Plot'!C232="","",MAX('Data-Plot'!$C$11:$C$1010)*(1+$Q$9/100))</f>
        <v/>
      </c>
      <c r="R232" s="16" t="str">
        <f>IF('Data-Plot'!C232="","",('Data-Plot'!C232-'Data-Plot'!D232)*$P$9)</f>
        <v/>
      </c>
      <c r="S232" s="16">
        <v>264.91748995237754</v>
      </c>
      <c r="T232" s="16">
        <v>2.1910071877781059</v>
      </c>
      <c r="U232" s="16">
        <v>48.482951092197808</v>
      </c>
      <c r="V232" s="16">
        <v>150.12210890536934</v>
      </c>
      <c r="W232" s="16">
        <v>0.1214213277289013</v>
      </c>
      <c r="X232" s="16">
        <v>1.4393033942124585E-6</v>
      </c>
    </row>
    <row r="233" spans="16:24" x14ac:dyDescent="0.3">
      <c r="P233" s="16" t="str">
        <f>IF('Data-Plot'!C233="","",$Q$11+('Data-Plot'!C233-'Data-Plot'!D233)*$P$9)</f>
        <v/>
      </c>
      <c r="Q233" s="16" t="str">
        <f>IF('Data-Plot'!C233="","",MAX('Data-Plot'!$C$11:$C$1010)*(1+$Q$9/100))</f>
        <v/>
      </c>
      <c r="R233" s="16" t="str">
        <f>IF('Data-Plot'!C233="","",('Data-Plot'!C233-'Data-Plot'!D233)*$P$9)</f>
        <v/>
      </c>
      <c r="S233" s="16">
        <v>253.63400832458402</v>
      </c>
      <c r="T233" s="16">
        <v>2.1382750452617172</v>
      </c>
      <c r="U233" s="16">
        <v>32.988697353179411</v>
      </c>
      <c r="V233" s="16">
        <v>154.37723515573757</v>
      </c>
      <c r="W233" s="16">
        <v>0.12979918932417772</v>
      </c>
      <c r="X233" s="16">
        <v>1.5810811578208831E-6</v>
      </c>
    </row>
    <row r="234" spans="16:24" x14ac:dyDescent="0.3">
      <c r="P234" s="16" t="str">
        <f>IF('Data-Plot'!C234="","",$Q$11+('Data-Plot'!C234-'Data-Plot'!D234)*$P$9)</f>
        <v/>
      </c>
      <c r="Q234" s="16" t="str">
        <f>IF('Data-Plot'!C234="","",MAX('Data-Plot'!$C$11:$C$1010)*(1+$Q$9/100))</f>
        <v/>
      </c>
      <c r="R234" s="16" t="str">
        <f>IF('Data-Plot'!C234="","",('Data-Plot'!C234-'Data-Plot'!D234)*$P$9)</f>
        <v/>
      </c>
      <c r="S234" s="16">
        <v>247.0524021324018</v>
      </c>
      <c r="T234" s="16">
        <v>2.0869435847669981</v>
      </c>
      <c r="U234" s="16">
        <v>22.161145791047169</v>
      </c>
      <c r="V234" s="16">
        <v>158.66558335920669</v>
      </c>
      <c r="W234" s="16">
        <v>0.13872766103664319</v>
      </c>
      <c r="X234" s="16">
        <v>1.7363442722028914E-6</v>
      </c>
    </row>
    <row r="235" spans="16:24" x14ac:dyDescent="0.3">
      <c r="P235" s="16" t="str">
        <f>IF('Data-Plot'!C235="","",$Q$11+('Data-Plot'!C235-'Data-Plot'!D235)*$P$9)</f>
        <v/>
      </c>
      <c r="Q235" s="16" t="str">
        <f>IF('Data-Plot'!C235="","",MAX('Data-Plot'!$C$11:$C$1010)*(1+$Q$9/100))</f>
        <v/>
      </c>
      <c r="R235" s="16" t="str">
        <f>IF('Data-Plot'!C235="","",('Data-Plot'!C235-'Data-Plot'!D235)*$P$9)</f>
        <v/>
      </c>
      <c r="S235" s="16">
        <v>243.86271394937179</v>
      </c>
      <c r="T235" s="16">
        <v>2.0369723390120997</v>
      </c>
      <c r="U235" s="16">
        <v>14.695821891217467</v>
      </c>
      <c r="V235" s="16">
        <v>162.98167673346902</v>
      </c>
      <c r="W235" s="16">
        <v>0.14824107934401412</v>
      </c>
      <c r="X235" s="16">
        <v>1.9063292270953953E-6</v>
      </c>
    </row>
    <row r="236" spans="16:24" x14ac:dyDescent="0.3">
      <c r="P236" s="16" t="str">
        <f>IF('Data-Plot'!C236="","",$Q$11+('Data-Plot'!C236-'Data-Plot'!D236)*$P$9)</f>
        <v/>
      </c>
      <c r="Q236" s="16" t="str">
        <f>IF('Data-Plot'!C236="","",MAX('Data-Plot'!$C$11:$C$1010)*(1+$Q$9/100))</f>
        <v/>
      </c>
      <c r="R236" s="16" t="str">
        <f>IF('Data-Plot'!C236="","",('Data-Plot'!C236-'Data-Plot'!D236)*$P$9)</f>
        <v/>
      </c>
      <c r="S236" s="16">
        <v>243.08469304590855</v>
      </c>
      <c r="T236" s="16">
        <v>1.9883220973068905</v>
      </c>
      <c r="U236" s="16">
        <v>9.6182804127615462</v>
      </c>
      <c r="V236" s="16">
        <v>167.3197126414158</v>
      </c>
      <c r="W236" s="16">
        <v>0.15837580204272309</v>
      </c>
      <c r="X236" s="16">
        <v>2.0923816016774698E-6</v>
      </c>
    </row>
    <row r="237" spans="16:24" x14ac:dyDescent="0.3">
      <c r="P237" s="16" t="str">
        <f>IF('Data-Plot'!C237="","",$Q$11+('Data-Plot'!C237-'Data-Plot'!D237)*$P$9)</f>
        <v/>
      </c>
      <c r="Q237" s="16" t="str">
        <f>IF('Data-Plot'!C237="","",MAX('Data-Plot'!$C$11:$C$1010)*(1+$Q$9/100))</f>
        <v/>
      </c>
      <c r="R237" s="16" t="str">
        <f>IF('Data-Plot'!C237="","",('Data-Plot'!C237-'Data-Plot'!D237)*$P$9)</f>
        <v/>
      </c>
      <c r="S237" s="16">
        <v>243.99573155445034</v>
      </c>
      <c r="T237" s="16">
        <v>1.9409548640638512</v>
      </c>
      <c r="U237" s="16">
        <v>6.2120353865359093</v>
      </c>
      <c r="V237" s="16">
        <v>171.67356868818064</v>
      </c>
      <c r="W237" s="16">
        <v>0.1691703197046654</v>
      </c>
      <c r="X237" s="16">
        <v>2.2959653057117461E-6</v>
      </c>
    </row>
    <row r="238" spans="16:24" x14ac:dyDescent="0.3">
      <c r="P238" s="16" t="str">
        <f>IF('Data-Plot'!C238="","",$Q$11+('Data-Plot'!C238-'Data-Plot'!D238)*$P$9)</f>
        <v/>
      </c>
      <c r="Q238" s="16" t="str">
        <f>IF('Data-Plot'!C238="","",MAX('Data-Plot'!$C$11:$C$1010)*(1+$Q$9/100))</f>
        <v/>
      </c>
      <c r="R238" s="16" t="str">
        <f>IF('Data-Plot'!C238="","",('Data-Plot'!C238-'Data-Plot'!D238)*$P$9)</f>
        <v/>
      </c>
      <c r="S238" s="16">
        <v>246.07088328109128</v>
      </c>
      <c r="T238" s="16">
        <v>1.8948338187497609</v>
      </c>
      <c r="U238" s="16">
        <v>3.9585705551575705</v>
      </c>
      <c r="V238" s="16">
        <v>176.03681101570129</v>
      </c>
      <c r="W238" s="16">
        <v>0.18066537281011788</v>
      </c>
      <c r="X238" s="16">
        <v>2.5186725705469219E-6</v>
      </c>
    </row>
    <row r="239" spans="16:24" x14ac:dyDescent="0.3">
      <c r="P239" s="16" t="str">
        <f>IF('Data-Plot'!C239="","",$Q$11+('Data-Plot'!C239-'Data-Plot'!D239)*$P$9)</f>
        <v/>
      </c>
      <c r="Q239" s="16" t="str">
        <f>IF('Data-Plot'!C239="","",MAX('Data-Plot'!$C$11:$C$1010)*(1+$Q$9/100))</f>
        <v/>
      </c>
      <c r="R239" s="16" t="str">
        <f>IF('Data-Plot'!C239="","",('Data-Plot'!C239-'Data-Plot'!D239)*$P$9)</f>
        <v/>
      </c>
      <c r="S239" s="16">
        <v>248.93410640148454</v>
      </c>
      <c r="T239" s="16">
        <v>1.8499232772262781</v>
      </c>
      <c r="U239" s="16">
        <v>2.4885714031568051</v>
      </c>
      <c r="V239" s="16">
        <v>180.40270488405139</v>
      </c>
      <c r="W239" s="16">
        <v>0.19290407481533225</v>
      </c>
      <c r="X239" s="16">
        <v>2.7622347481053144E-6</v>
      </c>
    </row>
    <row r="240" spans="16:24" x14ac:dyDescent="0.3">
      <c r="P240" s="16" t="str">
        <f>IF('Data-Plot'!C240="","",$Q$11+('Data-Plot'!C240-'Data-Plot'!D240)*$P$9)</f>
        <v/>
      </c>
      <c r="Q240" s="16" t="str">
        <f>IF('Data-Plot'!C240="","",MAX('Data-Plot'!$C$11:$C$1010)*(1+$Q$9/100))</f>
        <v/>
      </c>
      <c r="R240" s="16" t="str">
        <f>IF('Data-Plot'!C240="","",('Data-Plot'!C240-'Data-Plot'!D240)*$P$9)</f>
        <v/>
      </c>
      <c r="S240" s="16">
        <v>252.31951771044567</v>
      </c>
      <c r="T240" s="16">
        <v>1.806188654429199</v>
      </c>
      <c r="U240" s="16">
        <v>1.5431663729608516</v>
      </c>
      <c r="V240" s="16">
        <v>184.76422761309877</v>
      </c>
      <c r="W240" s="16">
        <v>0.20593204142287186</v>
      </c>
      <c r="X240" s="16">
        <v>3.0285339802701407E-6</v>
      </c>
    </row>
    <row r="241" spans="16:24" x14ac:dyDescent="0.3">
      <c r="P241" s="16" t="str">
        <f>IF('Data-Plot'!C241="","",$Q$11+('Data-Plot'!C241-'Data-Plot'!D241)*$P$9)</f>
        <v/>
      </c>
      <c r="Q241" s="16" t="str">
        <f>IF('Data-Plot'!C241="","",MAX('Data-Plot'!$C$11:$C$1010)*(1+$Q$9/100))</f>
        <v/>
      </c>
      <c r="R241" s="16" t="str">
        <f>IF('Data-Plot'!C241="","",('Data-Plot'!C241-'Data-Plot'!D241)*$P$9)</f>
        <v/>
      </c>
      <c r="S241" s="16">
        <v>256.0412695667959</v>
      </c>
      <c r="T241" s="16">
        <v>1.7635964283383727</v>
      </c>
      <c r="U241" s="16">
        <v>0.94378835245919324</v>
      </c>
      <c r="V241" s="16">
        <v>189.11408394005019</v>
      </c>
      <c r="W241" s="16">
        <v>0.21979752633236002</v>
      </c>
      <c r="X241" s="16">
        <v>3.3196158056765527E-6</v>
      </c>
    </row>
    <row r="242" spans="16:24" x14ac:dyDescent="0.3">
      <c r="P242" s="16" t="str">
        <f>IF('Data-Plot'!C242="","",$Q$11+('Data-Plot'!C242-'Data-Plot'!D242)*$P$9)</f>
        <v/>
      </c>
      <c r="Q242" s="16" t="str">
        <f>IF('Data-Plot'!C242="","",MAX('Data-Plot'!$C$11:$C$1010)*(1+$Q$9/100))</f>
        <v/>
      </c>
      <c r="R242" s="16" t="str">
        <f>IF('Data-Plot'!C242="","",('Data-Plot'!C242-'Data-Plot'!D242)*$P$9)</f>
        <v/>
      </c>
      <c r="S242" s="16">
        <v>259.97062443097616</v>
      </c>
      <c r="T242" s="16">
        <v>1.7221141051916409</v>
      </c>
      <c r="U242" s="16">
        <v>0.56923129601540523</v>
      </c>
      <c r="V242" s="16">
        <v>193.44472382830719</v>
      </c>
      <c r="W242" s="16">
        <v>0.2345515637591612</v>
      </c>
      <c r="X242" s="16">
        <v>3.637702775822305E-6</v>
      </c>
    </row>
    <row r="243" spans="16:24" x14ac:dyDescent="0.3">
      <c r="P243" s="16" t="str">
        <f>IF('Data-Plot'!C243="","",$Q$11+('Data-Plot'!C243-'Data-Plot'!D243)*$P$9)</f>
        <v/>
      </c>
      <c r="Q243" s="16" t="str">
        <f>IF('Data-Plot'!C243="","",MAX('Data-Plot'!$C$11:$C$1010)*(1+$Q$9/100))</f>
        <v/>
      </c>
      <c r="R243" s="16" t="str">
        <f>IF('Data-Plot'!C243="","",('Data-Plot'!C243-'Data-Plot'!D243)*$P$9)</f>
        <v/>
      </c>
      <c r="S243" s="16">
        <v>264.01886757157746</v>
      </c>
      <c r="T243" s="16">
        <v>1.6817101858982269</v>
      </c>
      <c r="U243" s="16">
        <v>0.33854254164838715</v>
      </c>
      <c r="V243" s="16">
        <v>197.74836274080332</v>
      </c>
      <c r="W243" s="16">
        <v>0.25024811801836749</v>
      </c>
      <c r="X243" s="16">
        <v>3.9852091576652441E-6</v>
      </c>
    </row>
    <row r="244" spans="16:24" x14ac:dyDescent="0.3">
      <c r="P244" s="16" t="str">
        <f>IF('Data-Plot'!C244="","",$Q$11+('Data-Plot'!C244-'Data-Plot'!D244)*$P$9)</f>
        <v/>
      </c>
      <c r="Q244" s="16" t="str">
        <f>IF('Data-Plot'!C244="","",MAX('Data-Plot'!$C$11:$C$1010)*(1+$Q$9/100))</f>
        <v/>
      </c>
      <c r="R244" s="16" t="str">
        <f>IF('Data-Plot'!C244="","",('Data-Plot'!C244-'Data-Plot'!D244)*$P$9)</f>
        <v/>
      </c>
      <c r="S244" s="16">
        <v>268.12483027331859</v>
      </c>
      <c r="T244" s="16">
        <v>1.6423541336084273</v>
      </c>
      <c r="U244" s="16">
        <v>0.19852316763425878</v>
      </c>
      <c r="V244" s="16">
        <v>202.01700436683768</v>
      </c>
      <c r="W244" s="16">
        <v>0.26694424048140503</v>
      </c>
      <c r="X244" s="16">
        <v>4.3647568054906422E-6</v>
      </c>
    </row>
    <row r="245" spans="16:24" x14ac:dyDescent="0.3">
      <c r="P245" s="16" t="str">
        <f>IF('Data-Plot'!C245="","",$Q$11+('Data-Plot'!C245-'Data-Plot'!D245)*$P$9)</f>
        <v/>
      </c>
      <c r="Q245" s="16" t="str">
        <f>IF('Data-Plot'!C245="","",MAX('Data-Plot'!$C$11:$C$1010)*(1+$Q$9/100))</f>
        <v/>
      </c>
      <c r="R245" s="16" t="str">
        <f>IF('Data-Plot'!C245="","",('Data-Plot'!C245-'Data-Plot'!D245)*$P$9)</f>
        <v/>
      </c>
      <c r="S245" s="16">
        <v>272.24596309719033</v>
      </c>
      <c r="T245" s="16">
        <v>1.6040163423981049</v>
      </c>
      <c r="U245" s="16">
        <v>0.11477597579894525</v>
      </c>
      <c r="V245" s="16">
        <v>206.24246576557834</v>
      </c>
      <c r="W245" s="16">
        <v>0.28470023422260993</v>
      </c>
      <c r="X245" s="16">
        <v>4.7791922908354029E-6</v>
      </c>
    </row>
    <row r="246" spans="16:24" x14ac:dyDescent="0.3">
      <c r="P246" s="16" t="str">
        <f>IF('Data-Plot'!C246="","",$Q$11+('Data-Plot'!C246-'Data-Plot'!D246)*$P$9)</f>
        <v/>
      </c>
      <c r="Q246" s="16" t="str">
        <f>IF('Data-Plot'!C246="","",MAX('Data-Plot'!$C$11:$C$1010)*(1+$Q$9/100))</f>
        <v/>
      </c>
      <c r="R246" s="16" t="str">
        <f>IF('Data-Plot'!C246="","",('Data-Plot'!C246-'Data-Plot'!D246)*$P$9)</f>
        <v/>
      </c>
      <c r="S246" s="16">
        <v>276.35207740392184</v>
      </c>
      <c r="T246" s="16">
        <v>1.566668107028107</v>
      </c>
      <c r="U246" s="16">
        <v>6.5419376509386562E-2</v>
      </c>
      <c r="V246" s="16">
        <v>210.41640486209596</v>
      </c>
      <c r="W246" s="16">
        <v>0.30357982668301581</v>
      </c>
      <c r="X246" s="16">
        <v>5.2316053856712393E-6</v>
      </c>
    </row>
    <row r="247" spans="16:24" x14ac:dyDescent="0.3">
      <c r="P247" s="16" t="str">
        <f>IF('Data-Plot'!C247="","",$Q$11+('Data-Plot'!C247-'Data-Plot'!D247)*$P$9)</f>
        <v/>
      </c>
      <c r="Q247" s="16" t="str">
        <f>IF('Data-Plot'!C247="","",MAX('Data-Plot'!$C$11:$C$1010)*(1+$Q$9/100))</f>
        <v/>
      </c>
      <c r="R247" s="16" t="str">
        <f>IF('Data-Plot'!C247="","",('Data-Plot'!C247-'Data-Plot'!D247)*$P$9)</f>
        <v/>
      </c>
      <c r="S247" s="16">
        <v>280.42104627763422</v>
      </c>
      <c r="T247" s="16">
        <v>1.5302815937400036</v>
      </c>
      <c r="U247" s="16">
        <v>3.6758404462025822E-2</v>
      </c>
      <c r="V247" s="16">
        <v>214.53035020339456</v>
      </c>
      <c r="W247" s="16">
        <v>0.32365035068859305</v>
      </c>
      <c r="X247" s="16">
        <v>5.7253490009057704E-6</v>
      </c>
    </row>
    <row r="248" spans="16:24" x14ac:dyDescent="0.3">
      <c r="P248" s="16" t="str">
        <f>IF('Data-Plot'!C248="","",$Q$11+('Data-Plot'!C248-'Data-Plot'!D248)*$P$9)</f>
        <v/>
      </c>
      <c r="Q248" s="16" t="str">
        <f>IF('Data-Plot'!C248="","",MAX('Data-Plot'!$C$11:$C$1010)*(1+$Q$9/100))</f>
        <v/>
      </c>
      <c r="R248" s="16" t="str">
        <f>IF('Data-Plot'!C248="","",('Data-Plot'!C248-'Data-Plot'!D248)*$P$9)</f>
        <v/>
      </c>
      <c r="S248" s="16">
        <v>284.43591227445523</v>
      </c>
      <c r="T248" s="16">
        <v>1.494829812051174</v>
      </c>
      <c r="U248" s="16">
        <v>2.0360411440279134E-2</v>
      </c>
      <c r="V248" s="16">
        <v>218.57573285273315</v>
      </c>
      <c r="W248" s="16">
        <v>0.34498293416992803</v>
      </c>
      <c r="X248" s="16">
        <v>6.2640606895828526E-6</v>
      </c>
    </row>
    <row r="249" spans="16:24" x14ac:dyDescent="0.3">
      <c r="P249" s="16" t="str">
        <f>IF('Data-Plot'!C249="","",$Q$11+('Data-Plot'!C249-'Data-Plot'!D249)*$P$9)</f>
        <v/>
      </c>
      <c r="Q249" s="16" t="str">
        <f>IF('Data-Plot'!C249="","",MAX('Data-Plot'!$C$11:$C$1010)*(1+$Q$9/100))</f>
        <v/>
      </c>
      <c r="R249" s="16" t="str">
        <f>IF('Data-Plot'!C249="","",('Data-Plot'!C249-'Data-Plot'!D249)*$P$9)</f>
        <v/>
      </c>
      <c r="S249" s="16">
        <v>288.38298338174258</v>
      </c>
      <c r="T249" s="16">
        <v>1.4602865875135234</v>
      </c>
      <c r="U249" s="16">
        <v>1.1116972584784085E-2</v>
      </c>
      <c r="V249" s="16">
        <v>222.54392027101849</v>
      </c>
      <c r="W249" s="16">
        <v>0.36765269893996483</v>
      </c>
      <c r="X249" s="16">
        <v>6.8516858319858108E-6</v>
      </c>
    </row>
    <row r="250" spans="16:24" x14ac:dyDescent="0.3">
      <c r="P250" s="16" t="str">
        <f>IF('Data-Plot'!C250="","",$Q$11+('Data-Plot'!C250-'Data-Plot'!D250)*$P$9)</f>
        <v/>
      </c>
      <c r="Q250" s="16" t="str">
        <f>IF('Data-Plot'!C250="","",MAX('Data-Plot'!$C$11:$C$1010)*(1+$Q$9/100))</f>
        <v/>
      </c>
      <c r="R250" s="16" t="str">
        <f>IF('Data-Plot'!C250="","",('Data-Plot'!C250-'Data-Plot'!D250)*$P$9)</f>
        <v/>
      </c>
      <c r="S250" s="16">
        <v>292.25060846624001</v>
      </c>
      <c r="T250" s="16">
        <v>1.4266265354013639</v>
      </c>
      <c r="U250" s="16">
        <v>5.9834647773470617E-3</v>
      </c>
      <c r="V250" s="16">
        <v>226.42625200466279</v>
      </c>
      <c r="W250" s="16">
        <v>0.39173896889588983</v>
      </c>
      <c r="X250" s="16">
        <v>7.4925026281998003E-6</v>
      </c>
    </row>
    <row r="251" spans="16:24" x14ac:dyDescent="0.3">
      <c r="P251" s="16" t="str">
        <f>IF('Data-Plot'!C251="","",$Q$11+('Data-Plot'!C251-'Data-Plot'!D251)*$P$9)</f>
        <v/>
      </c>
      <c r="Q251" s="16" t="str">
        <f>IF('Data-Plot'!C251="","",MAX('Data-Plot'!$C$11:$C$1010)*(1+$Q$9/100))</f>
        <v/>
      </c>
      <c r="R251" s="16" t="str">
        <f>IF('Data-Plot'!C251="","",('Data-Plot'!C251-'Data-Plot'!D251)*$P$9)</f>
        <v/>
      </c>
      <c r="S251" s="16">
        <v>296.02841027038022</v>
      </c>
      <c r="T251" s="16">
        <v>1.3938250352954715</v>
      </c>
      <c r="U251" s="16">
        <v>3.1745854498281332E-3</v>
      </c>
      <c r="V251" s="16">
        <v>230.21407697046573</v>
      </c>
      <c r="W251" s="16">
        <v>0.41732548802020908</v>
      </c>
      <c r="X251" s="16">
        <v>8.1911490326028259E-6</v>
      </c>
    </row>
    <row r="252" spans="16:24" x14ac:dyDescent="0.3">
      <c r="P252" s="16" t="str">
        <f>IF('Data-Plot'!C252="","",$Q$11+('Data-Plot'!C252-'Data-Plot'!D252)*$P$9)</f>
        <v/>
      </c>
      <c r="Q252" s="16" t="str">
        <f>IF('Data-Plot'!C252="","",MAX('Data-Plot'!$C$11:$C$1010)*(1+$Q$9/100))</f>
        <v/>
      </c>
      <c r="R252" s="16" t="str">
        <f>IF('Data-Plot'!C252="","",('Data-Plot'!C252-'Data-Plot'!D252)*$P$9)</f>
        <v/>
      </c>
      <c r="S252" s="16">
        <v>299.70682024794775</v>
      </c>
      <c r="T252" s="16">
        <v>1.3618582065312774</v>
      </c>
      <c r="U252" s="16">
        <v>1.6603398191678937E-3</v>
      </c>
      <c r="V252" s="16">
        <v>233.89879210038063</v>
      </c>
      <c r="W252" s="16">
        <v>0.44450064856486882</v>
      </c>
      <c r="X252" s="16">
        <v>8.9526517742739157E-6</v>
      </c>
    </row>
    <row r="253" spans="16:24" x14ac:dyDescent="0.3">
      <c r="P253" s="16" t="str">
        <f>IF('Data-Plot'!C253="","",$Q$11+('Data-Plot'!C253-'Data-Plot'!D253)*$P$9)</f>
        <v/>
      </c>
      <c r="Q253" s="16" t="str">
        <f>IF('Data-Plot'!C253="","",MAX('Data-Plot'!$C$11:$C$1010)*(1+$Q$9/100))</f>
        <v/>
      </c>
      <c r="R253" s="16" t="str">
        <f>IF('Data-Plot'!C253="","",('Data-Plot'!C253-'Data-Plot'!D253)*$P$9)</f>
        <v/>
      </c>
      <c r="S253" s="16">
        <v>303.27680852341695</v>
      </c>
      <c r="T253" s="16">
        <v>1.3307028844805557</v>
      </c>
      <c r="U253" s="16">
        <v>8.5604375798097607E-4</v>
      </c>
      <c r="V253" s="16">
        <v>237.47188208291047</v>
      </c>
      <c r="W253" s="16">
        <v>0.47335772981035368</v>
      </c>
      <c r="X253" s="16">
        <v>9.7824576174575594E-6</v>
      </c>
    </row>
    <row r="254" spans="16:24" x14ac:dyDescent="0.3">
      <c r="P254" s="16" t="str">
        <f>IF('Data-Plot'!C254="","",$Q$11+('Data-Plot'!C254-'Data-Plot'!D254)*$P$9)</f>
        <v/>
      </c>
      <c r="Q254" s="16" t="str">
        <f>IF('Data-Plot'!C254="","",MAX('Data-Plot'!$C$11:$C$1010)*(1+$Q$9/100))</f>
        <v/>
      </c>
      <c r="R254" s="16" t="str">
        <f>IF('Data-Plot'!C254="","",('Data-Plot'!C254-'Data-Plot'!D254)*$P$9)</f>
        <v/>
      </c>
      <c r="S254" s="16">
        <v>306.72973745978157</v>
      </c>
      <c r="T254" s="16">
        <v>1.3003365976369714</v>
      </c>
      <c r="U254" s="16">
        <v>4.3511396396186415E-4</v>
      </c>
      <c r="V254" s="16">
        <v>240.92495991391434</v>
      </c>
      <c r="W254" s="16">
        <v>0.50399514779927845</v>
      </c>
      <c r="X254" s="16">
        <v>1.068646702705575E-5</v>
      </c>
    </row>
    <row r="255" spans="16:24" x14ac:dyDescent="0.3">
      <c r="P255" s="16" t="str">
        <f>IF('Data-Plot'!C255="","",$Q$11+('Data-Plot'!C255-'Data-Plot'!D255)*$P$9)</f>
        <v/>
      </c>
      <c r="Q255" s="16" t="str">
        <f>IF('Data-Plot'!C255="","",MAX('Data-Plot'!$C$11:$C$1010)*(1+$Q$9/100))</f>
        <v/>
      </c>
      <c r="R255" s="16" t="str">
        <f>IF('Data-Plot'!C255="","",('Data-Plot'!C255-'Data-Plot'!D255)*$P$9)</f>
        <v/>
      </c>
      <c r="S255" s="16">
        <v>310.05729192467743</v>
      </c>
      <c r="T255" s="16">
        <v>1.2707375454769636</v>
      </c>
      <c r="U255" s="16">
        <v>2.1804336842927316E-4</v>
      </c>
      <c r="V255" s="16">
        <v>244.24980794831072</v>
      </c>
      <c r="W255" s="16">
        <v>0.53651671645090415</v>
      </c>
      <c r="X255" s="16">
        <v>1.167107041567448E-5</v>
      </c>
    </row>
    <row r="256" spans="16:24" x14ac:dyDescent="0.3">
      <c r="P256" s="16" t="str">
        <f>IF('Data-Plot'!C256="","",$Q$11+('Data-Plot'!C256-'Data-Plot'!D256)*$P$9)</f>
        <v/>
      </c>
      <c r="Q256" s="16" t="str">
        <f>IF('Data-Plot'!C256="","",MAX('Data-Plot'!$C$11:$C$1010)*(1+$Q$9/100))</f>
        <v/>
      </c>
      <c r="R256" s="16" t="str">
        <f>IF('Data-Plot'!C256="","",('Data-Plot'!C256-'Data-Plot'!D256)*$P$9)</f>
        <v/>
      </c>
      <c r="S256" s="16">
        <v>313.2514560989988</v>
      </c>
      <c r="T256" s="16">
        <v>1.2418845770685221</v>
      </c>
      <c r="U256" s="16">
        <v>1.0773229047606207E-4</v>
      </c>
      <c r="V256" s="16">
        <v>247.43841912598381</v>
      </c>
      <c r="W256" s="16">
        <v>0.57103192046883033</v>
      </c>
      <c r="X256" s="16">
        <v>1.2743187161064611E-5</v>
      </c>
    </row>
    <row r="257" spans="16:24" x14ac:dyDescent="0.3">
      <c r="P257" s="16" t="str">
        <f>IF('Data-Plot'!C257="","",$Q$11+('Data-Plot'!C257-'Data-Plot'!D257)*$P$9)</f>
        <v/>
      </c>
      <c r="Q257" s="16" t="str">
        <f>IF('Data-Plot'!C257="","",MAX('Data-Plot'!$C$11:$C$1010)*(1+$Q$9/100))</f>
        <v/>
      </c>
      <c r="R257" s="16" t="str">
        <f>IF('Data-Plot'!C257="","",('Data-Plot'!C257-'Data-Plot'!D257)*$P$9)</f>
        <v/>
      </c>
      <c r="S257" s="16">
        <v>316.30451779837517</v>
      </c>
      <c r="T257" s="16">
        <v>1.2137571704013681</v>
      </c>
      <c r="U257" s="16">
        <v>5.2486538715655403E-5</v>
      </c>
      <c r="V257" s="16">
        <v>250.48303803066821</v>
      </c>
      <c r="W257" s="16">
        <v>0.6076562004592303</v>
      </c>
      <c r="X257" s="16">
        <v>1.3910307595936786E-5</v>
      </c>
    </row>
    <row r="258" spans="16:24" x14ac:dyDescent="0.3">
      <c r="P258" s="16" t="str">
        <f>IF('Data-Plot'!C258="","",$Q$11+('Data-Plot'!C258-'Data-Plot'!D258)*$P$9)</f>
        <v/>
      </c>
      <c r="Q258" s="16" t="str">
        <f>IF('Data-Plot'!C258="","",MAX('Data-Plot'!$C$11:$C$1010)*(1+$Q$9/100))</f>
        <v/>
      </c>
      <c r="R258" s="16" t="str">
        <f>IF('Data-Plot'!C258="","",('Data-Plot'!C258-'Data-Plot'!D258)*$P$9)</f>
        <v/>
      </c>
      <c r="S258" s="16">
        <v>319.20908849049721</v>
      </c>
      <c r="T258" s="16">
        <v>1.1863354124130576</v>
      </c>
      <c r="U258" s="16">
        <v>2.5216820261172076E-5</v>
      </c>
      <c r="V258" s="16">
        <v>253.37620143004503</v>
      </c>
      <c r="W258" s="16">
        <v>0.64651125068064963</v>
      </c>
      <c r="X258" s="16">
        <v>1.5180538186122731E-5</v>
      </c>
    </row>
    <row r="259" spans="16:24" x14ac:dyDescent="0.3">
      <c r="P259" s="16" t="str">
        <f>IF('Data-Plot'!C259="","",$Q$11+('Data-Plot'!C259-'Data-Plot'!D259)*$P$9)</f>
        <v/>
      </c>
      <c r="Q259" s="16" t="str">
        <f>IF('Data-Plot'!C259="","",MAX('Data-Plot'!$C$11:$C$1010)*(1+$Q$9/100))</f>
        <v/>
      </c>
      <c r="R259" s="16" t="str">
        <f>IF('Data-Plot'!C259="","",('Data-Plot'!C259-'Data-Plot'!D259)*$P$9)</f>
        <v/>
      </c>
      <c r="S259" s="16">
        <v>321.95813175998745</v>
      </c>
      <c r="T259" s="16">
        <v>1.1595999796864724</v>
      </c>
      <c r="U259" s="16">
        <v>1.1948673850542007E-5</v>
      </c>
      <c r="V259" s="16">
        <v>256.11077793912824</v>
      </c>
      <c r="W259" s="16">
        <v>0.68772532984877044</v>
      </c>
      <c r="X259" s="16">
        <v>1.6562650127971052E-5</v>
      </c>
    </row>
    <row r="260" spans="16:24" x14ac:dyDescent="0.3">
      <c r="P260" s="16" t="str">
        <f>IF('Data-Plot'!C260="","",$Q$11+('Data-Plot'!C260-'Data-Plot'!D260)*$P$9)</f>
        <v/>
      </c>
      <c r="Q260" s="16" t="str">
        <f>IF('Data-Plot'!C260="","",MAX('Data-Plot'!$C$11:$C$1010)*(1+$Q$9/100))</f>
        <v/>
      </c>
      <c r="R260" s="16" t="str">
        <f>IF('Data-Plot'!C260="","",('Data-Plot'!C260-'Data-Plot'!D260)*$P$9)</f>
        <v/>
      </c>
      <c r="S260" s="16">
        <v>324.54499580342417</v>
      </c>
      <c r="T260" s="16">
        <v>1.1335321197949813</v>
      </c>
      <c r="U260" s="16">
        <v>5.5845467094275123E-6</v>
      </c>
      <c r="V260" s="16">
        <v>258.68000644753039</v>
      </c>
      <c r="W260" s="16">
        <v>0.73143358542047865</v>
      </c>
      <c r="X260" s="16">
        <v>1.8066131611764187E-5</v>
      </c>
    </row>
    <row r="261" spans="16:24" x14ac:dyDescent="0.3">
      <c r="P261" s="16" t="str">
        <f>IF('Data-Plot'!C261="","",$Q$11+('Data-Plot'!C261-'Data-Plot'!D261)*$P$9)</f>
        <v/>
      </c>
      <c r="Q261" s="16" t="str">
        <f>IF('Data-Plot'!C261="","",MAX('Data-Plot'!$C$11:$C$1010)*(1+$Q$9/100))</f>
        <v/>
      </c>
      <c r="R261" s="16" t="str">
        <f>IF('Data-Plot'!C261="","",('Data-Plot'!C261-'Data-Plot'!D261)*$P$9)</f>
        <v/>
      </c>
      <c r="S261" s="16">
        <v>326.96344725568866</v>
      </c>
      <c r="T261" s="16">
        <v>1.108113633272549</v>
      </c>
      <c r="U261" s="16">
        <v>2.5748496769414535E-6</v>
      </c>
      <c r="V261" s="16">
        <v>261.07753295454205</v>
      </c>
      <c r="W261" s="16">
        <v>0.77777839178036323</v>
      </c>
      <c r="X261" s="16">
        <v>1.9701244014856054E-5</v>
      </c>
    </row>
    <row r="262" spans="16:24" x14ac:dyDescent="0.3">
      <c r="P262" s="16" t="str">
        <f>IF('Data-Plot'!C262="","",$Q$11+('Data-Plot'!C262-'Data-Plot'!D262)*$P$9)</f>
        <v/>
      </c>
      <c r="Q262" s="16" t="str">
        <f>IF('Data-Plot'!C262="","",MAX('Data-Plot'!$C$11:$C$1010)*(1+$Q$9/100))</f>
        <v/>
      </c>
      <c r="R262" s="16" t="str">
        <f>IF('Data-Plot'!C262="","",('Data-Plot'!C262-'Data-Plot'!D262)*$P$9)</f>
        <v/>
      </c>
      <c r="S262" s="16">
        <v>329.20770467363184</v>
      </c>
      <c r="T262" s="16">
        <v>1.0833268561867642</v>
      </c>
      <c r="U262" s="16">
        <v>1.1713140364615707E-6</v>
      </c>
      <c r="V262" s="16">
        <v>263.29744546429879</v>
      </c>
      <c r="W262" s="16">
        <v>0.82690970274991871</v>
      </c>
      <c r="X262" s="16">
        <v>2.14790823062704E-5</v>
      </c>
    </row>
    <row r="263" spans="16:24" x14ac:dyDescent="0.3">
      <c r="P263" s="16" t="str">
        <f>IF('Data-Plot'!C263="","",$Q$11+('Data-Plot'!C263-'Data-Plot'!D263)*$P$9)</f>
        <v/>
      </c>
      <c r="Q263" s="16" t="str">
        <f>IF('Data-Plot'!C263="","",MAX('Data-Plot'!$C$11:$C$1010)*(1+$Q$9/100))</f>
        <v/>
      </c>
      <c r="R263" s="16" t="str">
        <f>IF('Data-Plot'!C263="","",('Data-Plot'!C263-'Data-Plot'!D263)*$P$9)</f>
        <v/>
      </c>
      <c r="S263" s="16">
        <v>331.27247060618095</v>
      </c>
      <c r="T263" s="16">
        <v>1.0591546432936576</v>
      </c>
      <c r="U263" s="16">
        <v>5.2579788784946485E-7</v>
      </c>
      <c r="V263" s="16">
        <v>265.33430660661526</v>
      </c>
      <c r="W263" s="16">
        <v>0.87898541883416159</v>
      </c>
      <c r="X263" s="16">
        <v>2.3411639963680387E-5</v>
      </c>
    </row>
    <row r="264" spans="16:24" x14ac:dyDescent="0.3">
      <c r="P264" s="16" t="str">
        <f>IF('Data-Plot'!C264="","",$Q$11+('Data-Plot'!C264-'Data-Plot'!D264)*$P$9)</f>
        <v/>
      </c>
      <c r="Q264" s="16" t="str">
        <f>IF('Data-Plot'!C264="","",MAX('Data-Plot'!$C$11:$C$1010)*(1+$Q$9/100))</f>
        <v/>
      </c>
      <c r="R264" s="16" t="str">
        <f>IF('Data-Plot'!C264="","",('Data-Plot'!C264-'Data-Plot'!D264)*$P$9)</f>
        <v/>
      </c>
      <c r="S264" s="16">
        <v>333.15296153347305</v>
      </c>
      <c r="T264" s="16">
        <v>1.0355803517539428</v>
      </c>
      <c r="U264" s="16">
        <v>2.3294821459341311E-7</v>
      </c>
      <c r="V264" s="16">
        <v>267.18318366727982</v>
      </c>
      <c r="W264" s="16">
        <v>0.93417176961231296</v>
      </c>
      <c r="X264" s="16">
        <v>2.5511878724118311E-5</v>
      </c>
    </row>
    <row r="265" spans="16:24" x14ac:dyDescent="0.3">
      <c r="P265" s="16" t="str">
        <f>IF('Data-Plot'!C265="","",$Q$11+('Data-Plot'!C265-'Data-Plot'!D265)*$P$9)</f>
        <v/>
      </c>
      <c r="Q265" s="16" t="str">
        <f>IF('Data-Plot'!C265="","",MAX('Data-Plot'!$C$11:$C$1010)*(1+$Q$9/100))</f>
        <v/>
      </c>
      <c r="R265" s="16" t="str">
        <f>IF('Data-Plot'!C265="","",('Data-Plot'!C265-'Data-Plot'!D265)*$P$9)</f>
        <v/>
      </c>
      <c r="S265" s="16">
        <v>334.8449351672773</v>
      </c>
      <c r="T265" s="16">
        <v>1.0125878253909641</v>
      </c>
      <c r="U265" s="16">
        <v>1.0187564464678E-7</v>
      </c>
      <c r="V265" s="16">
        <v>268.8396757345389</v>
      </c>
      <c r="W265" s="16">
        <v>0.99264371166827159</v>
      </c>
      <c r="X265" s="16">
        <v>2.7793803511512819E-5</v>
      </c>
    </row>
    <row r="266" spans="16:24" x14ac:dyDescent="0.3">
      <c r="P266" s="16" t="str">
        <f>IF('Data-Plot'!C266="","",$Q$11+('Data-Plot'!C266-'Data-Plot'!D266)*$P$9)</f>
        <v/>
      </c>
      <c r="Q266" s="16" t="str">
        <f>IF('Data-Plot'!C266="","",MAX('Data-Plot'!$C$11:$C$1010)*(1+$Q$9/100))</f>
        <v/>
      </c>
      <c r="R266" s="16" t="str">
        <f>IF('Data-Plot'!C266="","",('Data-Plot'!C266-'Data-Plot'!D266)*$P$9)</f>
        <v/>
      </c>
      <c r="S266" s="16">
        <v>336.34471473429522</v>
      </c>
      <c r="T266" s="16">
        <v>0.9901613794715024</v>
      </c>
      <c r="U266" s="16">
        <v>4.3987703985160514E-8</v>
      </c>
      <c r="V266" s="16">
        <v>270.2999376958511</v>
      </c>
      <c r="W266" s="16">
        <v>1.0545853424419442</v>
      </c>
      <c r="X266" s="16">
        <v>3.0272542907269191E-5</v>
      </c>
    </row>
    <row r="267" spans="16:24" x14ac:dyDescent="0.3">
      <c r="P267" s="16" t="str">
        <f>IF('Data-Plot'!C267="","",$Q$11+('Data-Plot'!C267-'Data-Plot'!D267)*$P$9)</f>
        <v/>
      </c>
      <c r="Q267" s="16" t="str">
        <f>IF('Data-Plot'!C267="","",MAX('Data-Plot'!$C$11:$C$1010)*(1+$Q$9/100))</f>
        <v/>
      </c>
      <c r="R267" s="16" t="str">
        <f>IF('Data-Plot'!C267="","",('Data-Plot'!C267-'Data-Plot'!D267)*$P$9)</f>
        <v/>
      </c>
      <c r="S267" s="16">
        <v>337.64920994996203</v>
      </c>
      <c r="T267" s="16">
        <v>0.96828578599112936</v>
      </c>
      <c r="U267" s="16">
        <v>1.8755367512700559E-8</v>
      </c>
      <c r="V267" s="16">
        <v>271.56070085041546</v>
      </c>
      <c r="W267" s="16">
        <v>1.1201903303645258</v>
      </c>
      <c r="X267" s="16">
        <v>3.2964435554725538E-5</v>
      </c>
    </row>
    <row r="268" spans="16:24" x14ac:dyDescent="0.3">
      <c r="P268" s="16" t="str">
        <f>IF('Data-Plot'!C268="","",$Q$11+('Data-Plot'!C268-'Data-Plot'!D268)*$P$9)</f>
        <v/>
      </c>
      <c r="Q268" s="16" t="str">
        <f>IF('Data-Plot'!C268="","",MAX('Data-Plot'!$C$11:$C$1010)*(1+$Q$9/100))</f>
        <v/>
      </c>
      <c r="R268" s="16" t="str">
        <f>IF('Data-Plot'!C268="","",('Data-Plot'!C268-'Data-Plot'!D268)*$P$9)</f>
        <v/>
      </c>
      <c r="S268" s="16">
        <v>338.75593445405445</v>
      </c>
      <c r="T268" s="16">
        <v>0.94694625944655175</v>
      </c>
      <c r="U268" s="16">
        <v>7.898422061556908E-9</v>
      </c>
      <c r="V268" s="16">
        <v>272.61928993796835</v>
      </c>
      <c r="W268" s="16">
        <v>1.1896623616182407</v>
      </c>
      <c r="X268" s="16">
        <v>3.5887122914481541E-5</v>
      </c>
    </row>
    <row r="269" spans="16:24" x14ac:dyDescent="0.3">
      <c r="P269" s="16" t="str">
        <f>IF('Data-Plot'!C269="","",$Q$11+('Data-Plot'!C269-'Data-Plot'!D269)*$P$9)</f>
        <v/>
      </c>
      <c r="Q269" s="16" t="str">
        <f>IF('Data-Plot'!C269="","",MAX('Data-Plot'!$C$11:$C$1010)*(1+$Q$9/100))</f>
        <v/>
      </c>
      <c r="R269" s="16" t="str">
        <f>IF('Data-Plot'!C269="","",('Data-Plot'!C269-'Data-Plot'!D269)*$P$9)</f>
        <v/>
      </c>
      <c r="S269" s="16">
        <v>339.66301953222614</v>
      </c>
      <c r="T269" s="16">
        <v>0.92612844307802866</v>
      </c>
      <c r="U269" s="16">
        <v>3.2859893019361154E-9</v>
      </c>
      <c r="V269" s="16">
        <v>273.4736364223794</v>
      </c>
      <c r="W269" s="16">
        <v>1.263215603833884</v>
      </c>
      <c r="X269" s="16">
        <v>3.905964881541963E-5</v>
      </c>
    </row>
    <row r="270" spans="16:24" x14ac:dyDescent="0.3">
      <c r="P270" s="16" t="str">
        <f>IF('Data-Plot'!C270="","",$Q$11+('Data-Plot'!C270-'Data-Plot'!D270)*$P$9)</f>
        <v/>
      </c>
      <c r="Q270" s="16" t="str">
        <f>IF('Data-Plot'!C270="","",MAX('Data-Plot'!$C$11:$C$1010)*(1+$Q$9/100))</f>
        <v/>
      </c>
      <c r="R270" s="16" t="str">
        <f>IF('Data-Plot'!C270="","",('Data-Plot'!C270-'Data-Plot'!D270)*$P$9)</f>
        <v/>
      </c>
      <c r="S270" s="16">
        <v>340.36922399553021</v>
      </c>
      <c r="T270" s="16">
        <v>0.90581839556547317</v>
      </c>
      <c r="U270" s="16">
        <v>1.350817903730834E-9</v>
      </c>
      <c r="V270" s="16">
        <v>274.12228790904038</v>
      </c>
      <c r="W270" s="16">
        <v>1.3410751870072859</v>
      </c>
      <c r="X270" s="16">
        <v>4.2502566275832758E-5</v>
      </c>
    </row>
    <row r="271" spans="16:24" x14ac:dyDescent="0.3">
      <c r="P271" s="16" t="str">
        <f>IF('Data-Plot'!C271="","",$Q$11+('Data-Plot'!C271-'Data-Plot'!D271)*$P$9)</f>
        <v/>
      </c>
      <c r="Q271" s="16" t="str">
        <f>IF('Data-Plot'!C271="","",MAX('Data-Plot'!$C$11:$C$1010)*(1+$Q$9/100))</f>
        <v/>
      </c>
      <c r="R271" s="16" t="str">
        <f>IF('Data-Plot'!C271="","",('Data-Plot'!C271-'Data-Plot'!D271)*$P$9)</f>
        <v/>
      </c>
      <c r="S271" s="16">
        <v>340.87394013589335</v>
      </c>
      <c r="T271" s="16">
        <v>0.886002578162563</v>
      </c>
      <c r="U271" s="16">
        <v>5.4881898030630579E-10</v>
      </c>
      <c r="V271" s="16">
        <v>274.56441361725263</v>
      </c>
      <c r="W271" s="16">
        <v>1.4234777018772584</v>
      </c>
      <c r="X271" s="16">
        <v>4.6238052100496179E-5</v>
      </c>
    </row>
    <row r="272" spans="16:24" x14ac:dyDescent="0.3">
      <c r="P272" s="16" t="str">
        <f>IF('Data-Plot'!C272="","",$Q$11+('Data-Plot'!C272-'Data-Plot'!D272)*$P$9)</f>
        <v/>
      </c>
      <c r="Q272" s="16" t="str">
        <f>IF('Data-Plot'!C272="","",MAX('Data-Plot'!$C$11:$C$1010)*(1+$Q$9/100))</f>
        <v/>
      </c>
      <c r="R272" s="16" t="str">
        <f>IF('Data-Plot'!C272="","",('Data-Plot'!C272-'Data-Plot'!D272)*$P$9)</f>
        <v/>
      </c>
      <c r="S272" s="16">
        <v>341.17719572056222</v>
      </c>
      <c r="T272" s="16">
        <v>0.86666784225364424</v>
      </c>
      <c r="U272" s="16">
        <v>2.204259069645587E-10</v>
      </c>
      <c r="V272" s="16">
        <v>274.79980587209519</v>
      </c>
      <c r="W272" s="16">
        <v>1.5106717159631597</v>
      </c>
      <c r="X272" s="16">
        <v>5.0290029792950531E-5</v>
      </c>
    </row>
    <row r="273" spans="1:24" x14ac:dyDescent="0.3">
      <c r="A273" s="16">
        <v>0</v>
      </c>
      <c r="P273" s="16" t="str">
        <f>IF('Data-Plot'!C273="","",$Q$11+('Data-Plot'!C273-'Data-Plot'!D273)*$P$9)</f>
        <v/>
      </c>
      <c r="Q273" s="16" t="str">
        <f>IF('Data-Plot'!C273="","",MAX('Data-Plot'!$C$11:$C$1010)*(1+$Q$9/100))</f>
        <v/>
      </c>
      <c r="R273" s="16" t="str">
        <f>IF('Data-Plot'!C273="","",('Data-Plot'!C273-'Data-Plot'!D273)*$P$9)</f>
        <v/>
      </c>
      <c r="S273" s="16">
        <v>341.27965203297578</v>
      </c>
      <c r="T273" s="16">
        <v>0.84780141731881797</v>
      </c>
      <c r="U273" s="16">
        <v>8.75385618787381E-11</v>
      </c>
      <c r="V273" s="16">
        <v>274.82887762385997</v>
      </c>
      <c r="W273" s="16">
        <v>1.6029183074080937</v>
      </c>
      <c r="X273" s="16">
        <v>5.4684301357750603E-5</v>
      </c>
    </row>
    <row r="274" spans="1:24" x14ac:dyDescent="0.3">
      <c r="A274" s="16">
        <f>COUNTA(A275:A524)</f>
        <v>0</v>
      </c>
      <c r="P274" s="16" t="str">
        <f>IF('Data-Plot'!C274="","",$Q$11+('Data-Plot'!C274-'Data-Plot'!D274)*$P$9)</f>
        <v/>
      </c>
      <c r="Q274" s="16" t="str">
        <f>IF('Data-Plot'!C274="","",MAX('Data-Plot'!$C$11:$C$1010)*(1+$Q$9/100))</f>
        <v/>
      </c>
      <c r="R274" s="16" t="str">
        <f>IF('Data-Plot'!C274="","",('Data-Plot'!C274-'Data-Plot'!D274)*$P$9)</f>
        <v/>
      </c>
      <c r="S274" s="16">
        <v>341.18259801107314</v>
      </c>
      <c r="T274" s="16">
        <v>0.82939089929314158</v>
      </c>
      <c r="U274" s="16">
        <v>3.4382999598771373E-11</v>
      </c>
      <c r="V274" s="16">
        <v>274.65265604634311</v>
      </c>
      <c r="W274" s="16">
        <v>1.7004916167138449</v>
      </c>
      <c r="X274" s="16">
        <v>5.9448688605136607E-5</v>
      </c>
    </row>
    <row r="275" spans="1:24" x14ac:dyDescent="0.3">
      <c r="P275" s="16" t="str">
        <f>IF('Data-Plot'!C275="","",$Q$11+('Data-Plot'!C275-'Data-Plot'!D275)*$P$9)</f>
        <v/>
      </c>
      <c r="Q275" s="16" t="str">
        <f>IF('Data-Plot'!C275="","",MAX('Data-Plot'!$C$11:$C$1010)*(1+$Q$9/100))</f>
        <v/>
      </c>
      <c r="R275" s="16" t="str">
        <f>IF('Data-Plot'!C275="","",('Data-Plot'!C275-'Data-Plot'!D275)*$P$9)</f>
        <v/>
      </c>
      <c r="S275" s="16">
        <v>340.88794057627479</v>
      </c>
      <c r="T275" s="16">
        <v>0.81142423930630903</v>
      </c>
      <c r="U275" s="16">
        <v>1.3359864526428303E-11</v>
      </c>
      <c r="V275" s="16">
        <v>274.2727723073852</v>
      </c>
      <c r="W275" s="16">
        <v>1.803679416385336</v>
      </c>
      <c r="X275" s="16">
        <v>6.4613184610639058E-5</v>
      </c>
    </row>
    <row r="276" spans="1:24" x14ac:dyDescent="0.3">
      <c r="P276" s="16" t="str">
        <f>IF('Data-Plot'!C276="","",$Q$11+('Data-Plot'!C276-'Data-Plot'!D276)*$P$9)</f>
        <v/>
      </c>
      <c r="Q276" s="16" t="str">
        <f>IF('Data-Plot'!C276="","",MAX('Data-Plot'!$C$11:$C$1010)*(1+$Q$9/100))</f>
        <v/>
      </c>
      <c r="R276" s="16" t="str">
        <f>IF('Data-Plot'!C276="","",('Data-Plot'!C276-'Data-Plot'!D276)*$P$9)</f>
        <v/>
      </c>
      <c r="S276" s="16">
        <v>340.3981912866887</v>
      </c>
      <c r="T276" s="16">
        <v>0.79388973278976627</v>
      </c>
      <c r="U276" s="16">
        <v>5.1366790037845017E-12</v>
      </c>
      <c r="V276" s="16">
        <v>273.69144764535412</v>
      </c>
      <c r="W276" s="16">
        <v>1.9127836984236466</v>
      </c>
      <c r="X276" s="16">
        <v>7.0210116024631397E-5</v>
      </c>
    </row>
    <row r="277" spans="1:24" x14ac:dyDescent="0.3">
      <c r="P277" s="16" t="str">
        <f>IF('Data-Plot'!C277="","",$Q$11+('Data-Plot'!C277-'Data-Plot'!D277)*$P$9)</f>
        <v/>
      </c>
      <c r="Q277" s="16" t="str">
        <f>IF('Data-Plot'!C277="","",MAX('Data-Plot'!$C$11:$C$1010)*(1+$Q$9/100))</f>
        <v/>
      </c>
      <c r="R277" s="16" t="str">
        <f>IF('Data-Plot'!C277="","",('Data-Plot'!C277-'Data-Plot'!D277)*$P$9)</f>
        <v/>
      </c>
      <c r="S277" s="16">
        <v>339.7164494859087</v>
      </c>
      <c r="T277" s="16">
        <v>0.77677600893858567</v>
      </c>
      <c r="U277" s="16">
        <v>1.9547651046210976E-12</v>
      </c>
      <c r="V277" s="16">
        <v>272.91147592313308</v>
      </c>
      <c r="W277" s="16">
        <v>2.0281212795181407</v>
      </c>
      <c r="X277" s="16">
        <v>7.6274316971989965E-5</v>
      </c>
    </row>
    <row r="278" spans="1:24" x14ac:dyDescent="0.3">
      <c r="P278" s="16" t="str">
        <f>IF('Data-Plot'!C278="","",$Q$11+('Data-Plot'!C278-'Data-Plot'!D278)*$P$9)</f>
        <v/>
      </c>
      <c r="Q278" s="16" t="str">
        <f>IF('Data-Plot'!C278="","",MAX('Data-Plot'!$C$11:$C$1010)*(1+$Q$9/100))</f>
        <v/>
      </c>
      <c r="R278" s="16" t="str">
        <f>IF('Data-Plot'!C278="","",('Data-Plot'!C278-'Data-Plot'!D278)*$P$9)</f>
        <v/>
      </c>
      <c r="S278" s="16">
        <v>338.84638215356773</v>
      </c>
      <c r="T278" s="16">
        <v>0.76007202051595479</v>
      </c>
      <c r="U278" s="16">
        <v>7.3646061325850011E-13</v>
      </c>
      <c r="V278" s="16">
        <v>271.93620286604818</v>
      </c>
      <c r="W278" s="16">
        <v>2.1500244236875008</v>
      </c>
      <c r="X278" s="16">
        <v>8.2843315329905043E-5</v>
      </c>
    </row>
    <row r="279" spans="1:24" x14ac:dyDescent="0.3">
      <c r="P279" s="16" t="str">
        <f>IF('Data-Plot'!C279="","",$Q$11+('Data-Plot'!C279-'Data-Plot'!D279)*$P$9)</f>
        <v/>
      </c>
      <c r="Q279" s="16" t="str">
        <f>IF('Data-Plot'!C279="","",MAX('Data-Plot'!$C$11:$C$1010)*(1+$Q$9/100))</f>
        <v/>
      </c>
      <c r="R279" s="16" t="str">
        <f>IF('Data-Plot'!C279="","",('Data-Plot'!C279-'Data-Plot'!D279)*$P$9)</f>
        <v/>
      </c>
      <c r="S279" s="16">
        <v>337.79220069503208</v>
      </c>
      <c r="T279" s="16">
        <v>0.74376703398854438</v>
      </c>
      <c r="U279" s="16">
        <v>2.747637181108285E-13</v>
      </c>
      <c r="V279" s="16">
        <v>270.76950222150509</v>
      </c>
      <c r="W279" s="16">
        <v>2.2788414820059288</v>
      </c>
      <c r="X279" s="16">
        <v>8.9957532222737066E-5</v>
      </c>
    </row>
    <row r="280" spans="1:24" x14ac:dyDescent="0.3">
      <c r="P280" s="16" t="str">
        <f>IF('Data-Plot'!C280="","",$Q$11+('Data-Plot'!C280-'Data-Plot'!D280)*$P$9)</f>
        <v/>
      </c>
      <c r="Q280" s="16" t="str">
        <f>IF('Data-Plot'!C280="","",MAX('Data-Plot'!$C$11:$C$1010)*(1+$Q$9/100))</f>
        <v/>
      </c>
      <c r="R280" s="16" t="str">
        <f>IF('Data-Plot'!C280="","",('Data-Plot'!C280-'Data-Plot'!D280)*$P$9)</f>
        <v/>
      </c>
      <c r="S280" s="16">
        <v>336.55863493492893</v>
      </c>
      <c r="T280" s="16">
        <v>0.72785061998141265</v>
      </c>
      <c r="U280" s="16">
        <v>1.0153999667383403E-13</v>
      </c>
      <c r="V280" s="16">
        <v>269.41574910552788</v>
      </c>
      <c r="W280" s="16">
        <v>2.4149375489239135</v>
      </c>
      <c r="X280" s="16">
        <v>9.7660495626712574E-5</v>
      </c>
    </row>
    <row r="281" spans="1:24" x14ac:dyDescent="0.3">
      <c r="P281" s="16" t="str">
        <f>IF('Data-Plot'!C281="","",$Q$11+('Data-Plot'!C281-'Data-Plot'!D281)*$P$9)</f>
        <v/>
      </c>
      <c r="Q281" s="16" t="str">
        <f>IF('Data-Plot'!C281="","",MAX('Data-Plot'!$C$11:$C$1010)*(1+$Q$9/100))</f>
        <v/>
      </c>
      <c r="R281" s="16" t="str">
        <f>IF('Data-Plot'!C281="","",('Data-Plot'!C281-'Data-Plot'!D281)*$P$9)</f>
        <v/>
      </c>
      <c r="S281" s="16">
        <v>335.15090460217147</v>
      </c>
      <c r="T281" s="16">
        <v>0.71231264404156081</v>
      </c>
      <c r="U281" s="16">
        <v>3.7178892978042867E-14</v>
      </c>
      <c r="V281" s="16">
        <v>267.87979082451119</v>
      </c>
      <c r="W281" s="16">
        <v>2.5586951345496325</v>
      </c>
      <c r="X281" s="16">
        <v>1.0599906903447403E-4</v>
      </c>
    </row>
    <row r="282" spans="1:24" x14ac:dyDescent="0.3">
      <c r="P282" s="16" t="str">
        <f>IF('Data-Plot'!C282="","",$Q$11+('Data-Plot'!C282-'Data-Plot'!D282)*$P$9)</f>
        <v/>
      </c>
      <c r="Q282" s="16" t="str">
        <f>IF('Data-Plot'!C282="","",MAX('Data-Plot'!$C$11:$C$1010)*(1+$Q$9/100))</f>
        <v/>
      </c>
      <c r="R282" s="16" t="str">
        <f>IF('Data-Plot'!C282="","",('Data-Plot'!C282-'Data-Plot'!D282)*$P$9)</f>
        <v/>
      </c>
      <c r="S282" s="16">
        <v>333.57468861262464</v>
      </c>
      <c r="T282" s="16">
        <v>0.6971432576996055</v>
      </c>
      <c r="U282" s="16">
        <v>1.3491225848642263E-14</v>
      </c>
      <c r="V282" s="16">
        <v>266.16691547913047</v>
      </c>
      <c r="W282" s="16">
        <v>2.7105148520983642</v>
      </c>
      <c r="X282" s="16">
        <v>1.1502369619012862E-4</v>
      </c>
    </row>
    <row r="283" spans="1:24" x14ac:dyDescent="0.3">
      <c r="P283" s="16" t="str">
        <f>IF('Data-Plot'!C283="","",$Q$11+('Data-Plot'!C283-'Data-Plot'!D283)*$P$9)</f>
        <v/>
      </c>
      <c r="Q283" s="16" t="str">
        <f>IF('Data-Plot'!C283="","",MAX('Data-Plot'!$C$11:$C$1010)*(1+$Q$9/100))</f>
        <v/>
      </c>
      <c r="R283" s="16" t="str">
        <f>IF('Data-Plot'!C283="","",('Data-Plot'!C283-'Data-Plot'!D283)*$P$9)</f>
        <v/>
      </c>
      <c r="S283" s="16">
        <v>331.83609246932332</v>
      </c>
      <c r="T283" s="16">
        <v>0.68233288981940265</v>
      </c>
      <c r="U283" s="16">
        <v>4.853067929268095E-15</v>
      </c>
      <c r="V283" s="16">
        <v>264.28281867130158</v>
      </c>
      <c r="W283" s="16">
        <v>2.8708161195393891</v>
      </c>
      <c r="X283" s="16">
        <v>1.24788662969787E-4</v>
      </c>
    </row>
    <row r="284" spans="1:24" x14ac:dyDescent="0.3">
      <c r="P284" s="16" t="str">
        <f>IF('Data-Plot'!C284="","",$Q$11+('Data-Plot'!C284-'Data-Plot'!D284)*$P$9)</f>
        <v/>
      </c>
      <c r="Q284" s="16" t="str">
        <f>IF('Data-Plot'!C284="","",MAX('Data-Plot'!$C$11:$C$1010)*(1+$Q$9/100))</f>
        <v/>
      </c>
      <c r="R284" s="16" t="str">
        <f>IF('Data-Plot'!C284="","",('Data-Plot'!C284-'Data-Plot'!D284)*$P$9)</f>
        <v/>
      </c>
      <c r="S284" s="16">
        <v>329.94161410922283</v>
      </c>
      <c r="T284" s="16">
        <v>0.66787223822588548</v>
      </c>
      <c r="U284" s="16">
        <v>1.7310345476712083E-15</v>
      </c>
      <c r="V284" s="16">
        <v>262.23356864434692</v>
      </c>
      <c r="W284" s="16">
        <v>3.0400378742724445</v>
      </c>
      <c r="X284" s="16">
        <v>1.3535237755070745E-4</v>
      </c>
    </row>
    <row r="285" spans="1:24" x14ac:dyDescent="0.3">
      <c r="P285" s="16" t="str">
        <f>IF('Data-Plot'!C285="","",$Q$11+('Data-Plot'!C285-'Data-Plot'!D285)*$P$9)</f>
        <v/>
      </c>
      <c r="Q285" s="16" t="str">
        <f>IF('Data-Plot'!C285="","",MAX('Data-Plot'!$C$11:$C$1010)*(1+$Q$9/100))</f>
        <v/>
      </c>
      <c r="R285" s="16" t="str">
        <f>IF('Data-Plot'!C285="","",('Data-Plot'!C285-'Data-Plot'!D285)*$P$9)</f>
        <v/>
      </c>
      <c r="S285" s="16">
        <v>327.89810852980645</v>
      </c>
      <c r="T285" s="16">
        <v>0.65375226160160971</v>
      </c>
      <c r="U285" s="16">
        <v>6.1239803753040764E-16</v>
      </c>
      <c r="V285" s="16">
        <v>260.02557019108701</v>
      </c>
      <c r="W285" s="16">
        <v>3.218639299447712</v>
      </c>
      <c r="X285" s="16">
        <v>1.4677767008446508E-4</v>
      </c>
    </row>
    <row r="286" spans="1:24" x14ac:dyDescent="0.3">
      <c r="P286" s="16" t="str">
        <f>IF('Data-Plot'!C286="","",$Q$11+('Data-Plot'!C286-'Data-Plot'!D286)*$P$9)</f>
        <v/>
      </c>
      <c r="Q286" s="16" t="str">
        <f>IF('Data-Plot'!C286="","",MAX('Data-Plot'!$C$11:$C$1010)*(1+$Q$9/100))</f>
        <v/>
      </c>
      <c r="R286" s="16" t="str">
        <f>IF('Data-Plot'!C286="","",('Data-Plot'!C286-'Data-Plot'!D286)*$P$9)</f>
        <v/>
      </c>
      <c r="S286" s="16">
        <v>325.71275152870533</v>
      </c>
      <c r="T286" s="16">
        <v>0.63996417164297636</v>
      </c>
      <c r="U286" s="16">
        <v>2.1493864867448555E-16</v>
      </c>
      <c r="V286" s="16">
        <v>257.66552766464883</v>
      </c>
      <c r="W286" s="16">
        <v>3.4071005603003766</v>
      </c>
      <c r="X286" s="16">
        <v>1.5913211316608998E-4</v>
      </c>
    </row>
    <row r="287" spans="1:24" x14ac:dyDescent="0.3">
      <c r="P287" s="16" t="str">
        <f>IF('Data-Plot'!C287="","",$Q$11+('Data-Plot'!C287-'Data-Plot'!D287)*$P$9)</f>
        <v/>
      </c>
      <c r="Q287" s="16" t="str">
        <f>IF('Data-Plot'!C287="","",MAX('Data-Plot'!$C$11:$C$1010)*(1+$Q$9/100))</f>
        <v/>
      </c>
      <c r="R287" s="16" t="str">
        <f>IF('Data-Plot'!C287="","",('Data-Plot'!C287-'Data-Plot'!D287)*$P$9)</f>
        <v/>
      </c>
      <c r="S287" s="16">
        <v>323.39300288491637</v>
      </c>
      <c r="T287" s="16">
        <v>0.62649942546728954</v>
      </c>
      <c r="U287" s="16">
        <v>7.4861998591180996E-17</v>
      </c>
      <c r="V287" s="16">
        <v>255.16040742247992</v>
      </c>
      <c r="W287" s="16">
        <v>3.6059235486046592</v>
      </c>
      <c r="X287" s="16">
        <v>1.724883644722422E-4</v>
      </c>
    </row>
    <row r="288" spans="1:24" x14ac:dyDescent="0.3">
      <c r="P288" s="16" t="str">
        <f>IF('Data-Plot'!C288="","",$Q$11+('Data-Plot'!C288-'Data-Plot'!D288)*$P$9)</f>
        <v/>
      </c>
      <c r="Q288" s="16" t="str">
        <f>IF('Data-Plot'!C288="","",MAX('Data-Plot'!$C$11:$C$1010)*(1+$Q$9/100))</f>
        <v/>
      </c>
      <c r="R288" s="16" t="str">
        <f>IF('Data-Plot'!C288="","",('Data-Plot'!C288-'Data-Plot'!D288)*$P$9)</f>
        <v/>
      </c>
      <c r="S288" s="16">
        <v>320.94656930159783</v>
      </c>
      <c r="T288" s="16">
        <v>0.61334971826221107</v>
      </c>
      <c r="U288" s="16">
        <v>2.5881377237287578E-17</v>
      </c>
      <c r="V288" s="16">
        <v>252.51740002574516</v>
      </c>
      <c r="W288" s="16">
        <v>3.8156326330574024</v>
      </c>
      <c r="X288" s="16">
        <v>1.8692453302740652E-4</v>
      </c>
    </row>
    <row r="289" spans="16:24" x14ac:dyDescent="0.3">
      <c r="P289" s="16" t="str">
        <f>IF('Data-Plot'!C289="","",$Q$11+('Data-Plot'!C289-'Data-Plot'!D289)*$P$9)</f>
        <v/>
      </c>
      <c r="Q289" s="16" t="str">
        <f>IF('Data-Plot'!C289="","",MAX('Data-Plot'!$C$11:$C$1010)*(1+$Q$9/100))</f>
        <v/>
      </c>
      <c r="R289" s="16" t="str">
        <f>IF('Data-Plot'!C289="","",('Data-Plot'!C289-'Data-Plot'!D289)*$P$9)</f>
        <v/>
      </c>
      <c r="S289" s="16">
        <v>318.38136741806272</v>
      </c>
      <c r="T289" s="16">
        <v>0.60050697616945181</v>
      </c>
      <c r="U289" s="16">
        <v>8.88391752740799E-18</v>
      </c>
      <c r="V289" s="16">
        <v>249.74388250424479</v>
      </c>
      <c r="W289" s="16">
        <v>4.0367754130777911</v>
      </c>
      <c r="X289" s="16">
        <v>2.0252457064806807E-4</v>
      </c>
    </row>
    <row r="290" spans="16:24" x14ac:dyDescent="0.3">
      <c r="P290" s="16" t="str">
        <f>IF('Data-Plot'!C290="","",$Q$11+('Data-Plot'!C290-'Data-Plot'!D290)*$P$9)</f>
        <v/>
      </c>
      <c r="Q290" s="16" t="str">
        <f>IF('Data-Plot'!C290="","",MAX('Data-Plot'!$C$11:$C$1010)*(1+$Q$9/100))</f>
        <v/>
      </c>
      <c r="R290" s="16" t="str">
        <f>IF('Data-Plot'!C290="","",('Data-Plot'!C290-'Data-Plot'!D290)*$P$9)</f>
        <v/>
      </c>
      <c r="S290" s="16">
        <v>315.70548718287944</v>
      </c>
      <c r="T290" s="16">
        <v>0.58796334939478145</v>
      </c>
      <c r="U290" s="16">
        <v>3.0284751529024075E-18</v>
      </c>
      <c r="V290" s="16">
        <v>246.84738098163874</v>
      </c>
      <c r="W290" s="16">
        <v>4.2699234731557318</v>
      </c>
      <c r="X290" s="16">
        <v>2.1937869021116638E-4</v>
      </c>
    </row>
    <row r="291" spans="16:24" x14ac:dyDescent="0.3">
      <c r="P291" s="16" t="str">
        <f>IF('Data-Plot'!C291="","",$Q$11+('Data-Plot'!C291-'Data-Plot'!D291)*$P$9)</f>
        <v/>
      </c>
      <c r="Q291" s="16" t="str">
        <f>IF('Data-Plot'!C291="","",MAX('Data-Plot'!$C$11:$C$1010)*(1+$Q$9/100))</f>
        <v/>
      </c>
      <c r="R291" s="16" t="str">
        <f>IF('Data-Plot'!C291="","",('Data-Plot'!C291-'Data-Plot'!D291)*$P$9)</f>
        <v/>
      </c>
      <c r="S291" s="16">
        <v>312.92715586137047</v>
      </c>
      <c r="T291" s="16">
        <v>0.57571120553679889</v>
      </c>
      <c r="U291" s="16">
        <v>1.0255480636654461E-18</v>
      </c>
      <c r="V291" s="16">
        <v>243.83553393752945</v>
      </c>
      <c r="W291" s="16">
        <v>4.515673134491772</v>
      </c>
      <c r="X291" s="16">
        <v>2.3758381249507711E-4</v>
      </c>
    </row>
    <row r="292" spans="16:24" x14ac:dyDescent="0.3">
      <c r="P292" s="16" t="str">
        <f>IF('Data-Plot'!C292="","",$Q$11+('Data-Plot'!C292-'Data-Plot'!D292)*$P$9)</f>
        <v/>
      </c>
      <c r="Q292" s="16" t="str">
        <f>IF('Data-Plot'!C292="","",MAX('Data-Plot'!$C$11:$C$1010)*(1+$Q$9/100))</f>
        <v/>
      </c>
      <c r="R292" s="16" t="str">
        <f>IF('Data-Plot'!C292="","",('Data-Plot'!C292-'Data-Plot'!D292)*$P$9)</f>
        <v/>
      </c>
      <c r="S292" s="16">
        <v>310.05470292969119</v>
      </c>
      <c r="T292" s="16">
        <v>0.56374312312708574</v>
      </c>
      <c r="U292" s="16">
        <v>3.4507183221195561E-19</v>
      </c>
      <c r="V292" s="16">
        <v>240.7160563622725</v>
      </c>
      <c r="W292" s="16">
        <v>4.7746462002481644</v>
      </c>
      <c r="X292" s="16">
        <v>2.5724404344935859E-4</v>
      </c>
    </row>
    <row r="293" spans="16:24" x14ac:dyDescent="0.3">
      <c r="P293" s="16" t="str">
        <f>IF('Data-Plot'!C293="","",$Q$11+('Data-Plot'!C293-'Data-Plot'!D293)*$P$9)</f>
        <v/>
      </c>
      <c r="Q293" s="16" t="str">
        <f>IF('Data-Plot'!C293="","",MAX('Data-Plot'!$C$11:$C$1010)*(1+$Q$9/100))</f>
        <v/>
      </c>
      <c r="R293" s="16" t="str">
        <f>IF('Data-Plot'!C293="","",('Data-Plot'!C293-'Data-Plot'!D293)*$P$9)</f>
        <v/>
      </c>
      <c r="S293" s="16">
        <v>307.09652608456452</v>
      </c>
      <c r="T293" s="16">
        <v>0.55205188537469296</v>
      </c>
      <c r="U293" s="16">
        <v>1.1539638073817905E-19</v>
      </c>
      <c r="V293" s="16">
        <v>237.49670503773885</v>
      </c>
      <c r="W293" s="16">
        <v>5.0474906902671357</v>
      </c>
      <c r="X293" s="16">
        <v>2.7847118386363701E-4</v>
      </c>
    </row>
    <row r="294" spans="16:24" x14ac:dyDescent="0.3">
      <c r="P294" s="16" t="str">
        <f>IF('Data-Plot'!C294="","",$Q$11+('Data-Plot'!C294-'Data-Plot'!D294)*$P$9)</f>
        <v/>
      </c>
      <c r="Q294" s="16" t="str">
        <f>IF('Data-Plot'!C294="","",MAX('Data-Plot'!$C$11:$C$1010)*(1+$Q$9/100))</f>
        <v/>
      </c>
      <c r="R294" s="16" t="str">
        <f>IF('Data-Plot'!C294="","",('Data-Plot'!C294-'Data-Plot'!D294)*$P$9)</f>
        <v/>
      </c>
      <c r="S294" s="16">
        <v>304.06105857310126</v>
      </c>
      <c r="T294" s="16">
        <v>0.54063047410813114</v>
      </c>
      <c r="U294" s="16">
        <v>3.8362806577665653E-20</v>
      </c>
      <c r="V294" s="16">
        <v>234.18524515311105</v>
      </c>
      <c r="W294" s="16">
        <v>5.3348815606085775</v>
      </c>
      <c r="X294" s="16">
        <v>3.0138527352686423E-4</v>
      </c>
    </row>
    <row r="295" spans="16:24" x14ac:dyDescent="0.3">
      <c r="P295" s="16" t="str">
        <f>IF('Data-Plot'!C295="","",$Q$11+('Data-Plot'!C295-'Data-Plot'!D295)*$P$9)</f>
        <v/>
      </c>
      <c r="Q295" s="16" t="str">
        <f>IF('Data-Plot'!C295="","",MAX('Data-Plot'!$C$11:$C$1010)*(1+$Q$9/100))</f>
        <v/>
      </c>
      <c r="R295" s="16" t="str">
        <f>IF('Data-Plot'!C295="","",('Data-Plot'!C295-'Data-Plot'!D295)*$P$9)</f>
        <v/>
      </c>
      <c r="S295" s="16">
        <v>300.95673802139561</v>
      </c>
      <c r="T295" s="16">
        <v>0.52947206390824364</v>
      </c>
      <c r="U295" s="16">
        <v>1.268144975406669E-20</v>
      </c>
      <c r="V295" s="16">
        <v>230.78941843960192</v>
      </c>
      <c r="W295" s="16">
        <v>5.6375214027133662</v>
      </c>
      <c r="X295" s="16">
        <v>3.2611517209604562E-4</v>
      </c>
    </row>
    <row r="296" spans="16:24" x14ac:dyDescent="0.3">
      <c r="P296" s="16" t="str">
        <f>IF('Data-Plot'!C296="","",$Q$11+('Data-Plot'!C296-'Data-Plot'!D296)*$P$9)</f>
        <v/>
      </c>
      <c r="Q296" s="16" t="str">
        <f>IF('Data-Plot'!C296="","",MAX('Data-Plot'!$C$11:$C$1010)*(1+$Q$9/100))</f>
        <v/>
      </c>
      <c r="R296" s="16" t="str">
        <f>IF('Data-Plot'!C296="","",('Data-Plot'!C296-'Data-Plot'!D296)*$P$9)</f>
        <v/>
      </c>
      <c r="S296" s="16">
        <v>297.79197691422848</v>
      </c>
      <c r="T296" s="16">
        <v>0.51857001642565759</v>
      </c>
      <c r="U296" s="16">
        <v>4.1693760638121804E-21</v>
      </c>
      <c r="V296" s="16">
        <v>227.31691298221943</v>
      </c>
      <c r="W296" s="16">
        <v>5.9561411164043534</v>
      </c>
      <c r="X296" s="16">
        <v>3.5279917902856638E-4</v>
      </c>
    </row>
    <row r="297" spans="16:24" x14ac:dyDescent="0.3">
      <c r="P297" s="16" t="str">
        <f>IF('Data-Plot'!C297="","",$Q$11+('Data-Plot'!C297-'Data-Plot'!D297)*$P$9)</f>
        <v/>
      </c>
      <c r="Q297" s="16" t="str">
        <f>IF('Data-Plot'!C297="","",MAX('Data-Plot'!$C$11:$C$1010)*(1+$Q$9/100))</f>
        <v/>
      </c>
      <c r="R297" s="16" t="str">
        <f>IF('Data-Plot'!C297="","",('Data-Plot'!C297-'Data-Plot'!D297)*$P$9)</f>
        <v/>
      </c>
      <c r="S297" s="16">
        <v>294.57513485162798</v>
      </c>
      <c r="T297" s="16">
        <v>0.50791787487662121</v>
      </c>
      <c r="U297" s="16">
        <v>1.3636989474951312E-21</v>
      </c>
      <c r="V297" s="16">
        <v>223.77533484075894</v>
      </c>
      <c r="W297" s="16">
        <v>6.2915005502973997</v>
      </c>
      <c r="X297" s="16">
        <v>3.8158569507532405E-4</v>
      </c>
    </row>
    <row r="298" spans="16:24" x14ac:dyDescent="0.3">
      <c r="P298" s="16" t="str">
        <f>IF('Data-Plot'!C298="","",$Q$11+('Data-Plot'!C298-'Data-Plot'!D298)*$P$9)</f>
        <v/>
      </c>
      <c r="Q298" s="16" t="str">
        <f>IF('Data-Plot'!C298="","",MAX('Data-Plot'!$C$11:$C$1010)*(1+$Q$9/100))</f>
        <v/>
      </c>
      <c r="R298" s="16" t="str">
        <f>IF('Data-Plot'!C298="","",('Data-Plot'!C298-'Data-Plot'!D298)*$P$9)</f>
        <v/>
      </c>
      <c r="S298" s="16">
        <v>291.31449268161805</v>
      </c>
      <c r="T298" s="16">
        <v>0.49750935871133678</v>
      </c>
      <c r="U298" s="16">
        <v>4.4382437443401956E-22</v>
      </c>
      <c r="V298" s="16">
        <v>220.17218158647617</v>
      </c>
      <c r="W298" s="16">
        <v>6.6443891025025668</v>
      </c>
      <c r="X298" s="16">
        <v>4.126339279828449E-4</v>
      </c>
    </row>
    <row r="299" spans="16:24" x14ac:dyDescent="0.3">
      <c r="P299" s="16" t="str">
        <f>IF('Data-Plot'!C299="","",$Q$11+('Data-Plot'!C299-'Data-Plot'!D299)*$P$9)</f>
        <v/>
      </c>
      <c r="Q299" s="16" t="str">
        <f>IF('Data-Plot'!C299="","",MAX('Data-Plot'!$C$11:$C$1010)*(1+$Q$9/100))</f>
        <v/>
      </c>
      <c r="R299" s="16" t="str">
        <f>IF('Data-Plot'!C299="","",('Data-Plot'!C299-'Data-Plot'!D299)*$P$9)</f>
        <v/>
      </c>
      <c r="S299" s="16">
        <v>288.01822858261767</v>
      </c>
      <c r="T299" s="16">
        <v>0.48733835844907331</v>
      </c>
      <c r="U299" s="16">
        <v>1.4376301339219401E-22</v>
      </c>
      <c r="V299" s="16">
        <v>216.51481783577236</v>
      </c>
      <c r="W299" s="16">
        <v>7.0156262737510042</v>
      </c>
      <c r="X299" s="16">
        <v>4.4611464521230904E-4</v>
      </c>
    </row>
    <row r="300" spans="16:24" x14ac:dyDescent="0.3">
      <c r="P300" s="16" t="str">
        <f>IF('Data-Plot'!C300="","",$Q$11+('Data-Plot'!C300-'Data-Plot'!D300)*$P$9)</f>
        <v/>
      </c>
      <c r="Q300" s="16" t="str">
        <f>IF('Data-Plot'!C300="","",MAX('Data-Plot'!$C$11:$C$1010)*(1+$Q$9/100))</f>
        <v/>
      </c>
      <c r="R300" s="16" t="str">
        <f>IF('Data-Plot'!C300="","",('Data-Plot'!C300-'Data-Plot'!D300)*$P$9)</f>
        <v/>
      </c>
      <c r="S300" s="16">
        <v>284.69439614389614</v>
      </c>
      <c r="T300" s="16">
        <v>0.47739893067451972</v>
      </c>
      <c r="U300" s="16">
        <v>4.6357808950975263E-23</v>
      </c>
      <c r="V300" s="16">
        <v>212.81045283795996</v>
      </c>
      <c r="W300" s="16">
        <v>7.4060621642849807</v>
      </c>
      <c r="X300" s="16">
        <v>4.8221097665215081E-4</v>
      </c>
    </row>
    <row r="301" spans="16:24" x14ac:dyDescent="0.3">
      <c r="P301" s="16" t="str">
        <f>IF('Data-Plot'!C301="","",$Q$11+('Data-Plot'!C301-'Data-Plot'!D301)*$P$9)</f>
        <v/>
      </c>
      <c r="Q301" s="16" t="str">
        <f>IF('Data-Plot'!C301="","",MAX('Data-Plot'!$C$11:$C$1010)*(1+$Q$9/100))</f>
        <v/>
      </c>
      <c r="R301" s="16" t="str">
        <f>IF('Data-Plot'!C301="","",('Data-Plot'!C301-'Data-Plot'!D301)*$P$9)</f>
        <v/>
      </c>
      <c r="S301" s="16">
        <v>281.35090446856469</v>
      </c>
      <c r="T301" s="16">
        <v>0.46768529319008484</v>
      </c>
      <c r="U301" s="16">
        <v>1.4884451141684149E-23</v>
      </c>
      <c r="V301" s="16">
        <v>209.0661201511133</v>
      </c>
      <c r="W301" s="16">
        <v>7.8165779049908615</v>
      </c>
      <c r="X301" s="16">
        <v>5.2111927047916338E-4</v>
      </c>
    </row>
    <row r="302" spans="16:24" x14ac:dyDescent="0.3">
      <c r="P302" s="16" t="str">
        <f>IF('Data-Plot'!C302="","",$Q$11+('Data-Plot'!C302-'Data-Plot'!D302)*$P$9)</f>
        <v/>
      </c>
      <c r="Q302" s="16" t="str">
        <f>IF('Data-Plot'!C302="","",MAX('Data-Plot'!$C$11:$C$1010)*(1+$Q$9/100))</f>
        <v/>
      </c>
      <c r="R302" s="16" t="str">
        <f>IF('Data-Plot'!C302="","",('Data-Plot'!C302-'Data-Plot'!D302)*$P$9)</f>
        <v/>
      </c>
      <c r="S302" s="16">
        <v>277.99550030097851</v>
      </c>
      <c r="T302" s="16">
        <v>0.45819182031897188</v>
      </c>
      <c r="U302" s="16">
        <v>4.7595895469888349E-24</v>
      </c>
      <c r="V302" s="16">
        <v>205.28865941831162</v>
      </c>
      <c r="W302" s="16">
        <v>8.2480860123424193</v>
      </c>
      <c r="X302" s="16">
        <v>5.6305000551149962E-4</v>
      </c>
    </row>
    <row r="303" spans="16:24" x14ac:dyDescent="0.3">
      <c r="P303" s="16" t="str">
        <f>IF('Data-Plot'!C303="","",$Q$11+('Data-Plot'!C303-'Data-Plot'!D303)*$P$9)</f>
        <v/>
      </c>
      <c r="Q303" s="16" t="str">
        <f>IF('Data-Plot'!C303="","",MAX('Data-Plot'!$C$11:$C$1010)*(1+$Q$9/100))</f>
        <v/>
      </c>
      <c r="R303" s="16" t="str">
        <f>IF('Data-Plot'!C303="","",('Data-Plot'!C303-'Data-Plot'!D303)*$P$9)</f>
        <v/>
      </c>
      <c r="S303" s="16">
        <v>274.63575215934486</v>
      </c>
      <c r="T303" s="16">
        <v>0.44891303835408503</v>
      </c>
      <c r="U303" s="16">
        <v>1.516085014270273E-24</v>
      </c>
      <c r="V303" s="16">
        <v>201.48470023648002</v>
      </c>
      <c r="W303" s="16">
        <v>8.7015306557471384</v>
      </c>
      <c r="X303" s="16">
        <v>6.0822876359570006E-4</v>
      </c>
    </row>
    <row r="304" spans="16:24" x14ac:dyDescent="0.3">
      <c r="P304" s="16" t="str">
        <f>IF('Data-Plot'!C304="","",$Q$11+('Data-Plot'!C304-'Data-Plot'!D304)*$P$9)</f>
        <v/>
      </c>
      <c r="Q304" s="16" t="str">
        <f>IF('Data-Plot'!C304="","",MAX('Data-Plot'!$C$11:$C$1010)*(1+$Q$9/100))</f>
        <v/>
      </c>
      <c r="R304" s="16" t="str">
        <f>IF('Data-Plot'!C304="","",('Data-Plot'!C304-'Data-Plot'!D304)*$P$9)</f>
        <v/>
      </c>
      <c r="S304" s="16">
        <v>271.27903643491817</v>
      </c>
      <c r="T304" s="16">
        <v>0.43984362114797471</v>
      </c>
      <c r="U304" s="16">
        <v>4.8115348588436579E-25</v>
      </c>
      <c r="V304" s="16">
        <v>197.66064809164979</v>
      </c>
      <c r="W304" s="16">
        <v>9.1778878248546345</v>
      </c>
      <c r="X304" s="16">
        <v>6.5689726578003213E-4</v>
      </c>
    </row>
    <row r="305" spans="16:24" x14ac:dyDescent="0.3">
      <c r="P305" s="16" t="str">
        <f>IF('Data-Plot'!C305="","",$Q$11+('Data-Plot'!C305-'Data-Plot'!D305)*$P$9)</f>
        <v/>
      </c>
      <c r="Q305" s="16" t="str">
        <f>IF('Data-Plot'!C305="","",MAX('Data-Plot'!$C$11:$C$1010)*(1+$Q$9/100))</f>
        <v/>
      </c>
      <c r="R305" s="16" t="str">
        <f>IF('Data-Plot'!C305="","",('Data-Plot'!C305-'Data-Plot'!D305)*$P$9)</f>
        <v/>
      </c>
      <c r="S305" s="16">
        <v>267.93252540147688</v>
      </c>
      <c r="T305" s="16">
        <v>0.43097838583918602</v>
      </c>
      <c r="U305" s="16">
        <v>1.5217258198423937E-25</v>
      </c>
      <c r="V305" s="16">
        <v>193.82267231786744</v>
      </c>
      <c r="W305" s="16">
        <v>9.6781653832939956</v>
      </c>
      <c r="X305" s="16">
        <v>7.0931447624823286E-4</v>
      </c>
    </row>
    <row r="306" spans="16:24" x14ac:dyDescent="0.3">
      <c r="P306" s="16" t="str">
        <f>IF('Data-Plot'!C306="","",$Q$11+('Data-Plot'!C306-'Data-Plot'!D306)*$P$9)</f>
        <v/>
      </c>
      <c r="Q306" s="16" t="str">
        <f>IF('Data-Plot'!C306="","",MAX('Data-Plot'!$C$11:$C$1010)*(1+$Q$9/100))</f>
        <v/>
      </c>
      <c r="R306" s="16" t="str">
        <f>IF('Data-Plot'!C306="","",('Data-Plot'!C306-'Data-Plot'!D306)*$P$9)</f>
        <v/>
      </c>
      <c r="S306" s="16">
        <v>264.60317706294808</v>
      </c>
      <c r="T306" s="16">
        <v>0.42231228871055793</v>
      </c>
      <c r="U306" s="16">
        <v>4.796964797090206E-26</v>
      </c>
      <c r="V306" s="16">
        <v>189.97669602230746</v>
      </c>
      <c r="W306" s="16">
        <v>10.203402994151869</v>
      </c>
      <c r="X306" s="16">
        <v>7.657577782216045E-4</v>
      </c>
    </row>
    <row r="307" spans="16:24" x14ac:dyDescent="0.3">
      <c r="P307" s="16" t="str">
        <f>IF('Data-Plot'!C307="","",$Q$11+('Data-Plot'!C307-'Data-Plot'!D307)*$P$9)</f>
        <v/>
      </c>
      <c r="Q307" s="16" t="str">
        <f>IF('Data-Plot'!C307="","",MAX('Data-Plot'!$C$11:$C$1010)*(1+$Q$9/100))</f>
        <v/>
      </c>
      <c r="R307" s="16" t="str">
        <f>IF('Data-Plot'!C307="","",('Data-Plot'!C307-'Data-Plot'!D307)*$P$9)</f>
        <v/>
      </c>
      <c r="S307" s="16">
        <v>261.29772675301678</v>
      </c>
      <c r="T307" s="16">
        <v>0.41384042117515013</v>
      </c>
      <c r="U307" s="16">
        <v>1.5074976491522099E-26</v>
      </c>
      <c r="V307" s="16">
        <v>186.12838790632068</v>
      </c>
      <c r="W307" s="16">
        <v>10.754671901294646</v>
      </c>
      <c r="X307" s="16">
        <v>8.2652422628469923E-4</v>
      </c>
    </row>
    <row r="308" spans="16:24" x14ac:dyDescent="0.3">
      <c r="P308" s="16" t="str">
        <f>IF('Data-Plot'!C308="","",$Q$11+('Data-Plot'!C308-'Data-Plot'!D308)*$P$9)</f>
        <v/>
      </c>
      <c r="Q308" s="16" t="str">
        <f>IF('Data-Plot'!C308="","",MAX('Data-Plot'!$C$11:$C$1010)*(1+$Q$9/100))</f>
        <v/>
      </c>
      <c r="R308" s="16" t="str">
        <f>IF('Data-Plot'!C308="","",('Data-Plot'!C308-'Data-Plot'!D308)*$P$9)</f>
        <v/>
      </c>
      <c r="S308" s="16">
        <v>258.02268038838361</v>
      </c>
      <c r="T308" s="16">
        <v>0.40555800588563395</v>
      </c>
      <c r="U308" s="16">
        <v>4.7237550213514881E-27</v>
      </c>
      <c r="V308" s="16">
        <v>182.2831559012472</v>
      </c>
      <c r="W308" s="16">
        <v>11.33307454937091</v>
      </c>
      <c r="X308" s="16">
        <v>8.9193187985018088E-4</v>
      </c>
    </row>
    <row r="309" spans="16:24" x14ac:dyDescent="0.3">
      <c r="P309" s="16" t="str">
        <f>IF('Data-Plot'!C309="","",$Q$11+('Data-Plot'!C309-'Data-Plot'!D309)*$P$9)</f>
        <v/>
      </c>
      <c r="Q309" s="16" t="str">
        <f>IF('Data-Plot'!C309="","",MAX('Data-Plot'!$C$11:$C$1010)*(1+$Q$9/100))</f>
        <v/>
      </c>
      <c r="R309" s="16" t="str">
        <f>IF('Data-Plot'!C309="","",('Data-Plot'!C309-'Data-Plot'!D309)*$P$9)</f>
        <v/>
      </c>
      <c r="S309" s="16">
        <v>254.78430926696302</v>
      </c>
      <c r="T309" s="16">
        <v>0.39746039296314184</v>
      </c>
      <c r="U309" s="16">
        <v>1.4761731407080437E-27</v>
      </c>
      <c r="V309" s="16">
        <v>178.44614252876409</v>
      </c>
      <c r="W309" s="16">
        <v>11.939744024013038</v>
      </c>
      <c r="X309" s="16">
        <v>9.6232122275365605E-4</v>
      </c>
    </row>
    <row r="310" spans="16:24" x14ac:dyDescent="0.3">
      <c r="P310" s="16" t="str">
        <f>IF('Data-Plot'!C310="","",$Q$11+('Data-Plot'!C310-'Data-Plot'!D310)*$P$9)</f>
        <v/>
      </c>
      <c r="Q310" s="16" t="str">
        <f>IF('Data-Plot'!C310="","",MAX('Data-Plot'!$C$11:$C$1010)*(1+$Q$9/100))</f>
        <v/>
      </c>
      <c r="R310" s="16" t="str">
        <f>IF('Data-Plot'!C310="","",('Data-Plot'!C310-'Data-Plot'!D310)*$P$9)</f>
        <v/>
      </c>
      <c r="S310" s="16">
        <v>251.58864629365402</v>
      </c>
      <c r="T310" s="16">
        <v>0.3895430563416627</v>
      </c>
      <c r="U310" s="16">
        <v>4.6013261804873409E-28</v>
      </c>
      <c r="V310" s="16">
        <v>174.62222188824245</v>
      </c>
      <c r="W310" s="16">
        <v>12.575843292395637</v>
      </c>
      <c r="X310" s="16">
        <v>1.0380566742590411E-3</v>
      </c>
    </row>
    <row r="311" spans="16:24" x14ac:dyDescent="0.3">
      <c r="P311" s="16" t="str">
        <f>IF('Data-Plot'!C311="","",$Q$11+('Data-Plot'!C311-'Data-Plot'!D311)*$P$9)</f>
        <v/>
      </c>
      <c r="Q311" s="16" t="str">
        <f>IF('Data-Plot'!C311="","",MAX('Data-Plot'!$C$11:$C$1010)*(1+$Q$9/100))</f>
        <v/>
      </c>
      <c r="R311" s="16" t="str">
        <f>IF('Data-Plot'!C311="","",('Data-Plot'!C311-'Data-Plot'!D311)*$P$9)</f>
        <v/>
      </c>
      <c r="S311" s="16">
        <v>248.44148350935637</v>
      </c>
      <c r="T311" s="16">
        <v>0.38180159022426396</v>
      </c>
      <c r="U311" s="16">
        <v>1.4308664502083357E-28</v>
      </c>
      <c r="V311" s="16">
        <v>170.81599816803174</v>
      </c>
      <c r="W311" s="16">
        <v>13.24256422290331</v>
      </c>
      <c r="X311" s="16">
        <v>1.1195281970609971E-3</v>
      </c>
    </row>
    <row r="312" spans="16:24" x14ac:dyDescent="0.3">
      <c r="P312" s="16" t="str">
        <f>IF('Data-Plot'!C312="","",$Q$11+('Data-Plot'!C312-'Data-Plot'!D312)*$P$9)</f>
        <v/>
      </c>
      <c r="Q312" s="16" t="str">
        <f>IF('Data-Plot'!C312="","",MAX('Data-Plot'!$C$11:$C$1010)*(1+$Q$9/100))</f>
        <v/>
      </c>
      <c r="R312" s="16" t="str">
        <f>IF('Data-Plot'!C312="","",('Data-Plot'!C312-'Data-Plot'!D312)*$P$9)</f>
        <v/>
      </c>
      <c r="S312" s="16">
        <v>245.34837079347952</v>
      </c>
      <c r="T312" s="16">
        <v>0.37423170564749808</v>
      </c>
      <c r="U312" s="16">
        <v>4.4397458264139396E-29</v>
      </c>
      <c r="V312" s="16">
        <v>167.0318055735934</v>
      </c>
      <c r="W312" s="16">
        <v>13.941126361230415</v>
      </c>
      <c r="X312" s="16">
        <v>1.2071530081932333E-3</v>
      </c>
    </row>
    <row r="313" spans="16:24" x14ac:dyDescent="0.3">
      <c r="P313" s="16" t="str">
        <f>IF('Data-Plot'!C313="","",$Q$11+('Data-Plot'!C313-'Data-Plot'!D313)*$P$9)</f>
        <v/>
      </c>
      <c r="Q313" s="16" t="str">
        <f>IF('Data-Plot'!C313="","",MAX('Data-Plot'!$C$11:$C$1010)*(1+$Q$9/100))</f>
        <v/>
      </c>
      <c r="R313" s="16" t="str">
        <f>IF('Data-Plot'!C313="","",('Data-Plot'!C313-'Data-Plot'!D313)*$P$9)</f>
        <v/>
      </c>
      <c r="S313" s="16">
        <v>242.31461560625613</v>
      </c>
      <c r="T313" s="16">
        <v>0.36682922715049204</v>
      </c>
      <c r="U313" s="16">
        <v>1.3747718276840818E-29</v>
      </c>
      <c r="V313" s="16">
        <v>163.27370956292464</v>
      </c>
      <c r="W313" s="16">
        <v>14.672775438781917</v>
      </c>
      <c r="X313" s="16">
        <v>1.3013773990914678E-3</v>
      </c>
    </row>
    <row r="314" spans="16:24" x14ac:dyDescent="0.3">
      <c r="P314" s="16" t="str">
        <f>IF('Data-Plot'!C314="","",$Q$11+('Data-Plot'!C314-'Data-Plot'!D314)*$P$9)</f>
        <v/>
      </c>
      <c r="Q314" s="16" t="str">
        <f>IF('Data-Plot'!C314="","",MAX('Data-Plot'!$C$11:$C$1010)*(1+$Q$9/100))</f>
        <v/>
      </c>
      <c r="R314" s="16" t="str">
        <f>IF('Data-Plot'!C314="","",('Data-Plot'!C314-'Data-Plot'!D314)*$P$9)</f>
        <v/>
      </c>
      <c r="S314" s="16">
        <v>239.34528363458566</v>
      </c>
      <c r="T314" s="16">
        <v>0.35959008954536542</v>
      </c>
      <c r="U314" s="16">
        <v>4.2489856386313523E-30</v>
      </c>
      <c r="V314" s="16">
        <v>159.54550927858327</v>
      </c>
      <c r="W314" s="16">
        <v>15.438781587785607</v>
      </c>
      <c r="X314" s="16">
        <v>1.402678671417793E-3</v>
      </c>
    </row>
    <row r="315" spans="16:24" x14ac:dyDescent="0.3">
      <c r="P315" s="16" t="str">
        <f>IF('Data-Plot'!C315="","",$Q$11+('Data-Plot'!C315-'Data-Plot'!D315)*$P$9)</f>
        <v/>
      </c>
      <c r="Q315" s="16" t="str">
        <f>IF('Data-Plot'!C315="","",MAX('Data-Plot'!$C$11:$C$1010)*(1+$Q$9/100))</f>
        <v/>
      </c>
      <c r="R315" s="16" t="str">
        <f>IF('Data-Plot'!C315="","",('Data-Plot'!C315-'Data-Plot'!D315)*$P$9)</f>
        <v/>
      </c>
      <c r="S315" s="16">
        <v>236.44520020377581</v>
      </c>
      <c r="T315" s="16">
        <v>0.35251033478567417</v>
      </c>
      <c r="U315" s="16">
        <v>1.3109577364654769E-30</v>
      </c>
      <c r="V315" s="16">
        <v>155.85074106571403</v>
      </c>
      <c r="W315" s="16">
        <v>16.240437236080457</v>
      </c>
      <c r="X315" s="16">
        <v>1.5115671956309447E-3</v>
      </c>
    </row>
    <row r="316" spans="16:24" x14ac:dyDescent="0.3">
      <c r="P316" s="16" t="str">
        <f>IF('Data-Plot'!C316="","",$Q$11+('Data-Plot'!C316-'Data-Plot'!D316)*$P$9)</f>
        <v/>
      </c>
      <c r="Q316" s="16" t="str">
        <f>IF('Data-Plot'!C316="","",MAX('Data-Plot'!$C$11:$C$1010)*(1+$Q$9/100))</f>
        <v/>
      </c>
      <c r="R316" s="16" t="str">
        <f>IF('Data-Plot'!C316="","",('Data-Plot'!C316-'Data-Plot'!D316)*$P$9)</f>
        <v/>
      </c>
      <c r="S316" s="16">
        <v>233.61895231734454</v>
      </c>
      <c r="T316" s="16">
        <v>0.34558610892976033</v>
      </c>
      <c r="U316" s="16">
        <v>4.0383657108113348E-31</v>
      </c>
      <c r="V316" s="16">
        <v>152.19268296669202</v>
      </c>
      <c r="W316" s="16">
        <v>17.079054653123052</v>
      </c>
      <c r="X316" s="16">
        <v>1.6285885996839976E-3</v>
      </c>
    </row>
    <row r="317" spans="16:24" x14ac:dyDescent="0.3">
      <c r="P317" s="16" t="str">
        <f>IF('Data-Plot'!C317="","",$Q$11+('Data-Plot'!C317-'Data-Plot'!D317)*$P$9)</f>
        <v/>
      </c>
      <c r="Q317" s="16" t="str">
        <f>IF('Data-Plot'!C317="","",MAX('Data-Plot'!$C$11:$C$1010)*(1+$Q$9/100))</f>
        <v/>
      </c>
      <c r="R317" s="16" t="str">
        <f>IF('Data-Plot'!C317="","",('Data-Plot'!C317-'Data-Plot'!D317)*$P$9)</f>
        <v/>
      </c>
      <c r="S317" s="16">
        <v>230.87089118783337</v>
      </c>
      <c r="T317" s="16">
        <v>0.33881365919594086</v>
      </c>
      <c r="U317" s="16">
        <v>1.242221281950372E-31</v>
      </c>
      <c r="V317" s="16">
        <v>148.57436008515134</v>
      </c>
      <c r="W317" s="16">
        <v>17.955963117390453</v>
      </c>
      <c r="X317" s="16">
        <v>1.754326095650356E-3</v>
      </c>
    </row>
    <row r="318" spans="16:24" x14ac:dyDescent="0.3">
      <c r="P318" s="16" t="str">
        <f>IF('Data-Plot'!C318="","",$Q$11+('Data-Plot'!C318-'Data-Plot'!D318)*$P$9)</f>
        <v/>
      </c>
      <c r="Q318" s="16" t="str">
        <f>IF('Data-Plot'!C318="","",MAX('Data-Plot'!$C$11:$C$1010)*(1+$Q$9/100))</f>
        <v/>
      </c>
      <c r="R318" s="16" t="str">
        <f>IF('Data-Plot'!C318="","",('Data-Plot'!C318-'Data-Plot'!D318)*$P$9)</f>
        <v/>
      </c>
      <c r="S318" s="16">
        <v>228.20513512329467</v>
      </c>
      <c r="T318" s="16">
        <v>0.33218933110659182</v>
      </c>
      <c r="U318" s="16">
        <v>3.8161866931559236E-32</v>
      </c>
      <c r="V318" s="16">
        <v>144.99855071516976</v>
      </c>
      <c r="W318" s="16">
        <v>18.872505674065806</v>
      </c>
      <c r="X318" s="16">
        <v>1.8894029525195323E-3</v>
      </c>
    </row>
    <row r="319" spans="16:24" x14ac:dyDescent="0.3">
      <c r="P319" s="16" t="str">
        <f>IF('Data-Plot'!C319="","",$Q$11+('Data-Plot'!C319-'Data-Plot'!D319)*$P$9)</f>
        <v/>
      </c>
      <c r="Q319" s="16" t="str">
        <f>IF('Data-Plot'!C319="","",MAX('Data-Plot'!$C$11:$C$1010)*(1+$Q$9/100))</f>
        <v/>
      </c>
      <c r="R319" s="16" t="str">
        <f>IF('Data-Plot'!C319="","",('Data-Plot'!C319-'Data-Plot'!D319)*$P$9)</f>
        <v/>
      </c>
      <c r="S319" s="16">
        <v>225.62557263664343</v>
      </c>
      <c r="T319" s="16">
        <v>0.32570956571829807</v>
      </c>
      <c r="U319" s="16">
        <v>1.1709994877593479E-32</v>
      </c>
      <c r="V319" s="16">
        <v>141.46779313508927</v>
      </c>
      <c r="W319" s="16">
        <v>19.83003545071201</v>
      </c>
      <c r="X319" s="16">
        <v>2.034485123868356E-3</v>
      </c>
    </row>
    <row r="320" spans="16:24" x14ac:dyDescent="0.3">
      <c r="P320" s="16" t="str">
        <f>IF('Data-Plot'!C320="","",$Q$11+('Data-Plot'!C320-'Data-Plot'!D320)*$P$9)</f>
        <v/>
      </c>
      <c r="Q320" s="16" t="str">
        <f>IF('Data-Plot'!C320="","",MAX('Data-Plot'!$C$11:$C$1010)*(1+$Q$9/100))</f>
        <v/>
      </c>
      <c r="R320" s="16" t="str">
        <f>IF('Data-Plot'!C320="","",('Data-Plot'!C320-'Data-Plot'!D320)*$P$9)</f>
        <v/>
      </c>
      <c r="S320" s="16">
        <v>223.13586564830374</v>
      </c>
      <c r="T320" s="16">
        <v>0.3193708969352958</v>
      </c>
      <c r="U320" s="16">
        <v>3.5895296360995901E-33</v>
      </c>
      <c r="V320" s="16">
        <v>137.98439296972563</v>
      </c>
      <c r="W320" s="16">
        <v>20.829911497603209</v>
      </c>
      <c r="X320" s="16">
        <v>2.1902840396024318E-3</v>
      </c>
    </row>
    <row r="321" spans="16:24" x14ac:dyDescent="0.3">
      <c r="P321" s="16" t="str">
        <f>IF('Data-Plot'!C321="","",$Q$11+('Data-Plot'!C321-'Data-Plot'!D321)*$P$9)</f>
        <v/>
      </c>
      <c r="Q321" s="16" t="str">
        <f>IF('Data-Plot'!C321="","",MAX('Data-Plot'!$C$11:$C$1010)*(1+$Q$9/100))</f>
        <v/>
      </c>
      <c r="R321" s="16" t="str">
        <f>IF('Data-Plot'!C321="","",('Data-Plot'!C321-'Data-Plot'!D321)*$P$9)</f>
        <v/>
      </c>
      <c r="S321" s="16">
        <v>220.73945265649519</v>
      </c>
      <c r="T321" s="16">
        <v>0.31316994890357558</v>
      </c>
      <c r="U321" s="16">
        <v>1.0993288982180592E-33</v>
      </c>
      <c r="V321" s="16">
        <v>134.55043102949588</v>
      </c>
      <c r="W321" s="16">
        <v>21.873494118524249</v>
      </c>
      <c r="X321" s="16">
        <v>2.3575595714764547E-3</v>
      </c>
    </row>
    <row r="322" spans="16:24" x14ac:dyDescent="0.3">
      <c r="P322" s="16" t="str">
        <f>IF('Data-Plot'!C322="","",$Q$11+('Data-Plot'!C322-'Data-Plot'!D322)*$P$9)</f>
        <v/>
      </c>
      <c r="Q322" s="16" t="str">
        <f>IF('Data-Plot'!C322="","",MAX('Data-Plot'!$C$11:$C$1010)*(1+$Q$9/100))</f>
        <v/>
      </c>
      <c r="R322" s="16" t="str">
        <f>IF('Data-Plot'!C322="","",('Data-Plot'!C322-'Data-Plot'!D322)*$P$9)</f>
        <v/>
      </c>
      <c r="S322" s="16">
        <v>218.43955175397753</v>
      </c>
      <c r="T322" s="16">
        <v>0.30710343348306335</v>
      </c>
      <c r="U322" s="16">
        <v>3.3641920015930358E-34</v>
      </c>
      <c r="V322" s="16">
        <v>131.16777154008699</v>
      </c>
      <c r="W322" s="16">
        <v>22.962139657224814</v>
      </c>
      <c r="X322" s="16">
        <v>2.5371231826433758E-3</v>
      </c>
    </row>
    <row r="323" spans="16:24" x14ac:dyDescent="0.3">
      <c r="P323" s="16" t="str">
        <f>IF('Data-Plot'!C323="","",$Q$11+('Data-Plot'!C323-'Data-Plot'!D323)*$P$9)</f>
        <v/>
      </c>
      <c r="Q323" s="16" t="str">
        <f>IF('Data-Plot'!C323="","",MAX('Data-Plot'!$C$11:$C$1010)*(1+$Q$9/100))</f>
        <v/>
      </c>
      <c r="R323" s="16" t="str">
        <f>IF('Data-Plot'!C323="","",('Data-Plot'!C323-'Data-Plot'!D323)*$P$9)</f>
        <v/>
      </c>
      <c r="S323" s="16">
        <v>216.23916337510872</v>
      </c>
      <c r="T323" s="16">
        <v>0.30116814779539658</v>
      </c>
      <c r="U323" s="16">
        <v>1.028842697397419E-34</v>
      </c>
      <c r="V323" s="16">
        <v>127.83807068167965</v>
      </c>
      <c r="W323" s="16">
        <v>24.097194704361623</v>
      </c>
      <c r="X323" s="16">
        <v>2.7298412720520248E-3</v>
      </c>
    </row>
    <row r="324" spans="16:24" x14ac:dyDescent="0.3">
      <c r="P324" s="16" t="str">
        <f>IF('Data-Plot'!C324="","",$Q$11+('Data-Plot'!C324-'Data-Plot'!D324)*$P$9)</f>
        <v/>
      </c>
      <c r="Q324" s="16" t="str">
        <f>IF('Data-Plot'!C324="","",MAX('Data-Plot'!$C$11:$C$1010)*(1+$Q$9/100))</f>
        <v/>
      </c>
      <c r="R324" s="16" t="str">
        <f>IF('Data-Plot'!C324="","",('Data-Plot'!C324-'Data-Plot'!D324)*$P$9)</f>
        <v/>
      </c>
      <c r="S324" s="16">
        <v>214.14107266260419</v>
      </c>
      <c r="T324" s="16">
        <v>0.29536097184491661</v>
      </c>
      <c r="U324" s="16">
        <v>3.1447246520706578E-35</v>
      </c>
      <c r="V324" s="16">
        <v>124.56278536228936</v>
      </c>
      <c r="W324" s="16">
        <v>25.279989689744827</v>
      </c>
      <c r="X324" s="16">
        <v>2.9366387251103625E-3</v>
      </c>
    </row>
    <row r="325" spans="16:24" x14ac:dyDescent="0.3">
      <c r="P325" s="16" t="str">
        <f>IF('Data-Plot'!C325="","",$Q$11+('Data-Plot'!C325-'Data-Plot'!D325)*$P$9)</f>
        <v/>
      </c>
      <c r="Q325" s="16" t="str">
        <f>IF('Data-Plot'!C325="","",MAX('Data-Plot'!$C$11:$C$1010)*(1+$Q$9/100))</f>
        <v/>
      </c>
      <c r="R325" s="16" t="str">
        <f>IF('Data-Plot'!C325="","",('Data-Plot'!C325-'Data-Plot'!D325)*$P$9)</f>
        <v/>
      </c>
      <c r="S325" s="16">
        <v>212.14785134938802</v>
      </c>
      <c r="T325" s="16">
        <v>0.28967886621053179</v>
      </c>
      <c r="U325" s="16">
        <v>9.6079432252336836E-36</v>
      </c>
      <c r="V325" s="16">
        <v>121.34318215540854</v>
      </c>
      <c r="W325" s="16">
        <v>26.511831825086283</v>
      </c>
      <c r="X325" s="16">
        <v>3.1585026826629948E-3</v>
      </c>
    </row>
    <row r="326" spans="16:24" x14ac:dyDescent="0.3">
      <c r="P326" s="16" t="str">
        <f>IF('Data-Plot'!C326="","",$Q$11+('Data-Plot'!C326-'Data-Plot'!D326)*$P$9)</f>
        <v/>
      </c>
      <c r="Q326" s="16" t="str">
        <f>IF('Data-Plot'!C326="","",MAX('Data-Plot'!$C$11:$C$1010)*(1+$Q$9/100))</f>
        <v/>
      </c>
      <c r="R326" s="16" t="str">
        <f>IF('Data-Plot'!C326="","",('Data-Plot'!C326-'Data-Plot'!D326)*$P$9)</f>
        <v/>
      </c>
      <c r="S326" s="16">
        <v>210.26185905743793</v>
      </c>
      <c r="T326" s="16">
        <v>0.28411886980623635</v>
      </c>
      <c r="U326" s="16">
        <v>2.9345363445985645E-36</v>
      </c>
      <c r="V326" s="16">
        <v>118.18034633780903</v>
      </c>
      <c r="W326" s="16">
        <v>27.793997363281658</v>
      </c>
      <c r="X326" s="16">
        <v>3.3964865409911332E-3</v>
      </c>
    </row>
    <row r="327" spans="16:24" x14ac:dyDescent="0.3">
      <c r="P327" s="16" t="str">
        <f>IF('Data-Plot'!C327="","",$Q$11+('Data-Plot'!C327-'Data-Plot'!D327)*$P$9)</f>
        <v/>
      </c>
      <c r="Q327" s="16" t="str">
        <f>IF('Data-Plot'!C327="","",MAX('Data-Plot'!$C$11:$C$1010)*(1+$Q$9/100))</f>
        <v/>
      </c>
      <c r="R327" s="16" t="str">
        <f>IF('Data-Plot'!C327="","",('Data-Plot'!C327-'Data-Plot'!D327)*$P$9)</f>
        <v/>
      </c>
      <c r="S327" s="16">
        <v>208.48524392249865</v>
      </c>
      <c r="T327" s="16">
        <v>0.27867809770810337</v>
      </c>
      <c r="U327" s="16">
        <v>8.9609766953264027E-37</v>
      </c>
      <c r="V327" s="16">
        <v>115.07519096895319</v>
      </c>
      <c r="W327" s="16">
        <v>29.127723141641109</v>
      </c>
      <c r="X327" s="16">
        <v>3.651714196241032E-3</v>
      </c>
    </row>
    <row r="328" spans="16:24" x14ac:dyDescent="0.3">
      <c r="P328" s="16" t="str">
        <f>IF('Data-Plot'!C328="","",$Q$11+('Data-Plot'!C328-'Data-Plot'!D328)*$P$9)</f>
        <v/>
      </c>
      <c r="Q328" s="16" t="str">
        <f>IF('Data-Plot'!C328="","",MAX('Data-Plot'!$C$11:$C$1010)*(1+$Q$9/100))</f>
        <v/>
      </c>
      <c r="R328" s="16" t="str">
        <f>IF('Data-Plot'!C328="","",('Data-Plot'!C328-'Data-Plot'!D328)*$P$9)</f>
        <v/>
      </c>
      <c r="S328" s="16">
        <v>206.81994246104375</v>
      </c>
      <c r="T328" s="16">
        <v>0.27335373904565985</v>
      </c>
      <c r="U328" s="16">
        <v>2.7360371089918898E-37</v>
      </c>
      <c r="V328" s="16">
        <v>112.02846595898092</v>
      </c>
      <c r="W328" s="16">
        <v>30.514197378469753</v>
      </c>
      <c r="X328" s="16">
        <v>3.9253845474162405E-3</v>
      </c>
    </row>
    <row r="329" spans="16:24" x14ac:dyDescent="0.3">
      <c r="P329" s="16" t="str">
        <f>IF('Data-Plot'!C329="","",$Q$11+('Data-Plot'!C329-'Data-Plot'!D329)*$P$9)</f>
        <v/>
      </c>
      <c r="Q329" s="16" t="str">
        <f>IF('Data-Plot'!C329="","",MAX('Data-Plot'!$C$11:$C$1010)*(1+$Q$9/100))</f>
        <v/>
      </c>
      <c r="R329" s="16" t="str">
        <f>IF('Data-Plot'!C329="","",('Data-Plot'!C329-'Data-Plot'!D329)*$P$9)</f>
        <v/>
      </c>
      <c r="S329" s="16">
        <v>205.26767860392073</v>
      </c>
      <c r="T329" s="16">
        <v>0.26814305495563262</v>
      </c>
      <c r="U329" s="16">
        <v>8.3537579385465355E-38</v>
      </c>
      <c r="V329" s="16">
        <v>109.04076707760215</v>
      </c>
      <c r="W329" s="16">
        <v>31.954549695090119</v>
      </c>
      <c r="X329" s="16">
        <v>4.2187762728374796E-3</v>
      </c>
    </row>
    <row r="330" spans="16:24" x14ac:dyDescent="0.3">
      <c r="P330" s="16" t="str">
        <f>IF('Data-Plot'!C330="","",$Q$11+('Data-Plot'!C330-'Data-Plot'!D330)*$P$9)</f>
        <v/>
      </c>
      <c r="Q330" s="16" t="str">
        <f>IF('Data-Plot'!C330="","",MAX('Data-Plot'!$C$11:$C$1010)*(1+$Q$9/100))</f>
        <v/>
      </c>
      <c r="R330" s="16" t="str">
        <f>IF('Data-Plot'!C330="","",('Data-Plot'!C330-'Data-Plot'!D330)*$P$9)</f>
        <v/>
      </c>
      <c r="S330" s="16">
        <v>203.8299618297635</v>
      </c>
      <c r="T330" s="16">
        <v>0.26304337659608479</v>
      </c>
      <c r="U330" s="16">
        <v>2.5507980714543863E-38</v>
      </c>
      <c r="V330" s="16">
        <v>106.11254486138908</v>
      </c>
      <c r="W330" s="16">
        <v>33.449840338882524</v>
      </c>
      <c r="X330" s="16">
        <v>4.5332528957812536E-3</v>
      </c>
    </row>
    <row r="331" spans="16:24" x14ac:dyDescent="0.3">
      <c r="P331" s="16" t="str">
        <f>IF('Data-Plot'!C331="","",$Q$11+('Data-Plot'!C331-'Data-Plot'!D331)*$P$9)</f>
        <v/>
      </c>
      <c r="Q331" s="16" t="str">
        <f>IF('Data-Plot'!C331="","",MAX('Data-Plot'!$C$11:$C$1010)*(1+$Q$9/100))</f>
        <v/>
      </c>
      <c r="R331" s="16" t="str">
        <f>IF('Data-Plot'!C331="","",('Data-Plot'!C331-'Data-Plot'!D331)*$P$9)</f>
        <v/>
      </c>
      <c r="S331" s="16">
        <v>202.50808434059036</v>
      </c>
      <c r="T331" s="16">
        <v>0.25805210321907701</v>
      </c>
      <c r="U331" s="16">
        <v>7.7901201506879868E-39</v>
      </c>
      <c r="V331" s="16">
        <v>103.24411338194217</v>
      </c>
      <c r="W331" s="16">
        <v>35.001048587273239</v>
      </c>
      <c r="X331" s="16">
        <v>4.8702681558533464E-3</v>
      </c>
    </row>
    <row r="332" spans="16:24" x14ac:dyDescent="0.3">
      <c r="P332" s="16" t="str">
        <f>IF('Data-Plot'!C332="","",$Q$11+('Data-Plot'!C332-'Data-Plot'!D332)*$P$9)</f>
        <v/>
      </c>
      <c r="Q332" s="16" t="str">
        <f>IF('Data-Plot'!C332="","",MAX('Data-Plot'!$C$11:$C$1010)*(1+$Q$9/100))</f>
        <v/>
      </c>
      <c r="R332" s="16" t="str">
        <f>IF('Data-Plot'!C332="","",('Data-Plot'!C332-'Data-Plot'!D332)*$P$9)</f>
        <v/>
      </c>
      <c r="S332" s="16">
        <v>201.3031172320585</v>
      </c>
      <c r="T332" s="16">
        <v>0.25316670030000032</v>
      </c>
      <c r="U332" s="16">
        <v>2.3797115387001611E-39</v>
      </c>
      <c r="V332" s="16">
        <v>100.43565884210754</v>
      </c>
      <c r="W332" s="16">
        <v>36.609060317947424</v>
      </c>
      <c r="X332" s="16">
        <v>5.2313717035449908E-3</v>
      </c>
    </row>
    <row r="333" spans="16:24" x14ac:dyDescent="0.3">
      <c r="P333" s="16" t="str">
        <f>IF('Data-Plot'!C333="","",$Q$11+('Data-Plot'!C333-'Data-Plot'!D333)*$P$9)</f>
        <v/>
      </c>
      <c r="Q333" s="16" t="str">
        <f>IF('Data-Plot'!C333="","",MAX('Data-Plot'!$C$11:$C$1010)*(1+$Q$9/100))</f>
        <v/>
      </c>
      <c r="R333" s="16" t="str">
        <f>IF('Data-Plot'!C333="","",('Data-Plot'!C333-'Data-Plot'!D333)*$P$9)</f>
        <v/>
      </c>
      <c r="S333" s="16">
        <v>200.21590562172932</v>
      </c>
      <c r="T333" s="16">
        <v>0.24838469772182642</v>
      </c>
      <c r="U333" s="16">
        <v>7.2719922432017032E-40</v>
      </c>
      <c r="V333" s="16">
        <v>97.687247971896213</v>
      </c>
      <c r="W333" s="16">
        <v>38.274654736974931</v>
      </c>
      <c r="X333" s="16">
        <v>5.6182151363501362E-3</v>
      </c>
    </row>
    <row r="334" spans="16:24" x14ac:dyDescent="0.3">
      <c r="P334" s="16" t="str">
        <f>IF('Data-Plot'!C334="","",$Q$11+('Data-Plot'!C334-'Data-Plot'!D334)*$P$9)</f>
        <v/>
      </c>
      <c r="Q334" s="16" t="str">
        <f>IF('Data-Plot'!C334="","",MAX('Data-Plot'!$C$11:$C$1010)*(1+$Q$9/100))</f>
        <v/>
      </c>
      <c r="R334" s="16" t="str">
        <f>IF('Data-Plot'!C334="","",('Data-Plot'!C334-'Data-Plot'!D334)*$P$9)</f>
        <v/>
      </c>
      <c r="S334" s="16">
        <v>199.24706271048296</v>
      </c>
      <c r="T334" s="16">
        <v>0.24370368801255929</v>
      </c>
      <c r="U334" s="16">
        <v>2.2231407258196631E-40</v>
      </c>
      <c r="V334" s="16">
        <v>94.998836199949835</v>
      </c>
      <c r="W334" s="16">
        <v>39.998490264124776</v>
      </c>
      <c r="X334" s="16">
        <v>6.0325583958028917E-3</v>
      </c>
    </row>
    <row r="335" spans="16:24" x14ac:dyDescent="0.3">
      <c r="P335" s="16" t="str">
        <f>IF('Data-Plot'!C335="","",$Q$11+('Data-Plot'!C335-'Data-Plot'!D335)*$P$9)</f>
        <v/>
      </c>
      <c r="Q335" s="16" t="str">
        <f>IF('Data-Plot'!C335="","",MAX('Data-Plot'!$C$11:$C$1010)*(1+$Q$9/100))</f>
        <v/>
      </c>
      <c r="R335" s="16" t="str">
        <f>IF('Data-Plot'!C335="","",('Data-Plot'!C335-'Data-Plot'!D335)*$P$9)</f>
        <v/>
      </c>
      <c r="S335" s="16">
        <v>198.39696276498708</v>
      </c>
      <c r="T335" s="16">
        <v>0.23912132463423028</v>
      </c>
      <c r="U335" s="16">
        <v>6.7998479736992721E-41</v>
      </c>
      <c r="V335" s="16">
        <v>92.370275580299506</v>
      </c>
      <c r="W335" s="16">
        <v>41.78108958350753</v>
      </c>
      <c r="X335" s="16">
        <v>6.4762765458208959E-3</v>
      </c>
    </row>
    <row r="336" spans="16:24" x14ac:dyDescent="0.3">
      <c r="P336" s="16" t="str">
        <f>IF('Data-Plot'!C336="","",$Q$11+('Data-Plot'!C336-'Data-Plot'!D336)*$P$9)</f>
        <v/>
      </c>
      <c r="Q336" s="16" t="str">
        <f>IF('Data-Plot'!C336="","",MAX('Data-Plot'!$C$11:$C$1010)*(1+$Q$9/100))</f>
        <v/>
      </c>
      <c r="R336" s="16" t="str">
        <f>IF('Data-Plot'!C336="","",('Data-Plot'!C336-'Data-Plot'!D336)*$P$9)</f>
        <v/>
      </c>
      <c r="S336" s="16">
        <v>197.66573302297547</v>
      </c>
      <c r="T336" s="16">
        <v>0.23463532032184262</v>
      </c>
      <c r="U336" s="16">
        <v>2.0810530388907263E-41</v>
      </c>
      <c r="V336" s="16">
        <v>89.801322457810031</v>
      </c>
      <c r="W336" s="16">
        <v>43.622823877889786</v>
      </c>
      <c r="X336" s="16">
        <v>6.9513669538171083E-3</v>
      </c>
    </row>
    <row r="337" spans="16:24" x14ac:dyDescent="0.3">
      <c r="P337" s="16" t="str">
        <f>IF('Data-Plot'!C337="","",$Q$11+('Data-Plot'!C337-'Data-Plot'!D337)*$P$9)</f>
        <v/>
      </c>
      <c r="Q337" s="16" t="str">
        <f>IF('Data-Plot'!C337="","",MAX('Data-Plot'!$C$11:$C$1010)*(1+$Q$9/100))</f>
        <v/>
      </c>
      <c r="R337" s="16" t="str">
        <f>IF('Data-Plot'!C337="","",('Data-Plot'!C337-'Data-Plot'!D337)*$P$9)</f>
        <v/>
      </c>
      <c r="S337" s="16">
        <v>197.05324453809561</v>
      </c>
      <c r="T337" s="16">
        <v>0.23024344547071143</v>
      </c>
      <c r="U337" s="16">
        <v>6.3730977016083219E-42</v>
      </c>
      <c r="V337" s="16">
        <v>87.291644859040446</v>
      </c>
      <c r="W337" s="16">
        <v>45.523896276687282</v>
      </c>
      <c r="X337" s="16">
        <v>7.459956897171798E-3</v>
      </c>
    </row>
    <row r="338" spans="16:24" x14ac:dyDescent="0.3">
      <c r="P338" s="16" t="str">
        <f>IF('Data-Plot'!C338="","",$Q$11+('Data-Plot'!C338-'Data-Plot'!D338)*$P$9)</f>
        <v/>
      </c>
      <c r="Q338" s="16" t="str">
        <f>IF('Data-Plot'!C338="","",MAX('Data-Plot'!$C$11:$C$1010)*(1+$Q$9/100))</f>
        <v/>
      </c>
      <c r="R338" s="16" t="str">
        <f>IF('Data-Plot'!C338="","",('Data-Plot'!C338-'Data-Plot'!D338)*$P$9)</f>
        <v/>
      </c>
      <c r="S338" s="16">
        <v>196.55910199731457</v>
      </c>
      <c r="T338" s="16">
        <v>0.22594352657070371</v>
      </c>
      <c r="U338" s="16">
        <v>1.9531342327713576E-42</v>
      </c>
      <c r="V338" s="16">
        <v>84.840829598326224</v>
      </c>
      <c r="W338" s="16">
        <v>47.484324560798782</v>
      </c>
      <c r="X338" s="16">
        <v>8.0043116188407062E-3</v>
      </c>
    </row>
    <row r="339" spans="16:24" x14ac:dyDescent="0.3">
      <c r="P339" s="16" t="str">
        <f>IF('Data-Plot'!C339="","",$Q$11+('Data-Plot'!C339-'Data-Plot'!D339)*$P$9)</f>
        <v/>
      </c>
      <c r="Q339" s="16" t="str">
        <f>IF('Data-Plot'!C339="","",MAX('Data-Plot'!$C$11:$C$1010)*(1+$Q$9/100))</f>
        <v/>
      </c>
      <c r="R339" s="16" t="str">
        <f>IF('Data-Plot'!C339="","",('Data-Plot'!C339-'Data-Plot'!D339)*$P$9)</f>
        <v/>
      </c>
      <c r="S339" s="16">
        <v>196.18263256139653</v>
      </c>
      <c r="T339" s="16">
        <v>0.22173344468593437</v>
      </c>
      <c r="U339" s="16">
        <v>5.9904184362083317E-43</v>
      </c>
      <c r="V339" s="16">
        <v>82.448389091689677</v>
      </c>
      <c r="W339" s="16">
        <v>49.503923182163788</v>
      </c>
      <c r="X339" s="16">
        <v>8.5868428571135857E-3</v>
      </c>
    </row>
    <row r="340" spans="16:24" x14ac:dyDescent="0.3">
      <c r="P340" s="16" t="str">
        <f>IF('Data-Plot'!C340="","",$Q$11+('Data-Plot'!C340-'Data-Plot'!D340)*$P$9)</f>
        <v/>
      </c>
      <c r="Q340" s="16" t="str">
        <f>IF('Data-Plot'!C340="","",MAX('Data-Plot'!$C$11:$C$1010)*(1+$Q$9/100))</f>
        <v/>
      </c>
      <c r="R340" s="16" t="str">
        <f>IF('Data-Plot'!C340="","",('Data-Plot'!C340-'Data-Plot'!D340)*$P$9)</f>
        <v/>
      </c>
      <c r="S340" s="16">
        <v>195.92287379781035</v>
      </c>
      <c r="T340" s="16">
        <v>0.21761113397850509</v>
      </c>
      <c r="U340" s="16">
        <v>1.838883145539082E-43</v>
      </c>
      <c r="V340" s="16">
        <v>80.113767873710685</v>
      </c>
      <c r="W340" s="16">
        <v>51.582284672245343</v>
      </c>
      <c r="X340" s="16">
        <v>9.2101178758385704E-3</v>
      </c>
    </row>
    <row r="341" spans="16:24" x14ac:dyDescent="0.3">
      <c r="P341" s="16" t="str">
        <f>IF('Data-Plot'!C341="","",$Q$11+('Data-Plot'!C341-'Data-Plot'!D341)*$P$9)</f>
        <v/>
      </c>
      <c r="Q341" s="16" t="str">
        <f>IF('Data-Plot'!C341="","",MAX('Data-Plot'!$C$11:$C$1010)*(1+$Q$9/100))</f>
        <v/>
      </c>
      <c r="R341" s="16" t="str">
        <f>IF('Data-Plot'!C341="","",('Data-Plot'!C341-'Data-Plot'!D341)*$P$9)</f>
        <v/>
      </c>
      <c r="S341" s="16">
        <v>195.77856079561732</v>
      </c>
      <c r="T341" s="16">
        <v>0.21357458027494797</v>
      </c>
      <c r="U341" s="16">
        <v>5.6500239438443243E-44</v>
      </c>
      <c r="V341" s="16">
        <v>77.836348814779541</v>
      </c>
      <c r="W341" s="16">
        <v>53.718760531540056</v>
      </c>
      <c r="X341" s="16">
        <v>9.8768690227853794E-3</v>
      </c>
    </row>
    <row r="342" spans="16:24" x14ac:dyDescent="0.3">
      <c r="P342" s="16" t="str">
        <f>IF('Data-Plot'!C342="","",$Q$11+('Data-Plot'!C342-'Data-Plot'!D342)*$P$9)</f>
        <v/>
      </c>
      <c r="Q342" s="16" t="str">
        <f>IF('Data-Plot'!C342="","",MAX('Data-Plot'!$C$11:$C$1010)*(1+$Q$9/100))</f>
        <v/>
      </c>
      <c r="R342" s="16" t="str">
        <f>IF('Data-Plot'!C342="","",('Data-Plot'!C342-'Data-Plot'!D342)*$P$9)</f>
        <v/>
      </c>
      <c r="S342" s="16">
        <v>195.7481125734023</v>
      </c>
      <c r="T342" s="16">
        <v>0.20962181967404428</v>
      </c>
      <c r="U342" s="16">
        <v>1.7376882359520681E-44</v>
      </c>
      <c r="V342" s="16">
        <v>75.615459038179637</v>
      </c>
      <c r="W342" s="16">
        <v>55.912441711703366</v>
      </c>
      <c r="X342" s="16">
        <v>1.0590003845246033E-2</v>
      </c>
    </row>
    <row r="343" spans="16:24" x14ac:dyDescent="0.3">
      <c r="P343" s="16" t="str">
        <f>IF('Data-Plot'!C343="","",$Q$11+('Data-Plot'!C343-'Data-Plot'!D343)*$P$9)</f>
        <v/>
      </c>
      <c r="Q343" s="16" t="str">
        <f>IF('Data-Plot'!C343="","",MAX('Data-Plot'!$C$11:$C$1010)*(1+$Q$9/100))</f>
        <v/>
      </c>
      <c r="R343" s="16" t="str">
        <f>IF('Data-Plot'!C343="","",('Data-Plot'!C343-'Data-Plot'!D343)*$P$9)</f>
        <v/>
      </c>
      <c r="S343" s="16">
        <v>195.82961791410042</v>
      </c>
      <c r="T343" s="16">
        <v>0.20575093719475973</v>
      </c>
      <c r="U343" s="16">
        <v>5.3498803829660996E-45</v>
      </c>
      <c r="V343" s="16">
        <v>73.450375538260133</v>
      </c>
      <c r="W343" s="16">
        <v>58.162138822852079</v>
      </c>
      <c r="X343" s="16">
        <v>1.1352615793460523E-2</v>
      </c>
    </row>
    <row r="344" spans="16:24" x14ac:dyDescent="0.3">
      <c r="P344" s="16" t="str">
        <f>IF('Data-Plot'!C344="","",$Q$11+('Data-Plot'!C344-'Data-Plot'!D344)*$P$9)</f>
        <v/>
      </c>
      <c r="Q344" s="16" t="str">
        <f>IF('Data-Plot'!C344="","",MAX('Data-Plot'!$C$11:$C$1010)*(1+$Q$9/100))</f>
        <v/>
      </c>
      <c r="R344" s="16" t="str">
        <f>IF('Data-Plot'!C344="","",('Data-Plot'!C344-'Data-Plot'!D344)*$P$9)</f>
        <v/>
      </c>
      <c r="S344" s="16">
        <v>196.0208207845314</v>
      </c>
      <c r="T344" s="16">
        <v>0.20196006546307083</v>
      </c>
      <c r="U344" s="16">
        <v>1.6488880156277432E-45</v>
      </c>
      <c r="V344" s="16">
        <v>71.340330502548014</v>
      </c>
      <c r="W344" s="16">
        <v>60.466362220976293</v>
      </c>
      <c r="X344" s="16">
        <v>1.2167995544012438E-2</v>
      </c>
    </row>
    <row r="345" spans="16:24" x14ac:dyDescent="0.3">
      <c r="P345" s="16" t="str">
        <f>IF('Data-Plot'!C345="","",$Q$11+('Data-Plot'!C345-'Data-Plot'!D345)*$P$9)</f>
        <v/>
      </c>
      <c r="Q345" s="16" t="str">
        <f>IF('Data-Plot'!C345="","",MAX('Data-Plot'!$C$11:$C$1010)*(1+$Q$9/100))</f>
        <v/>
      </c>
      <c r="R345" s="16" t="str">
        <f>IF('Data-Plot'!C345="","",('Data-Plot'!C345-'Data-Plot'!D345)*$P$9)</f>
        <v/>
      </c>
      <c r="S345" s="16">
        <v>196.31910552243338</v>
      </c>
      <c r="T345" s="16">
        <v>0.19824738343648068</v>
      </c>
      <c r="U345" s="16">
        <v>5.0878748544591103E-46</v>
      </c>
      <c r="V345" s="16">
        <v>69.284516342024844</v>
      </c>
      <c r="W345" s="16">
        <v>62.823302153995087</v>
      </c>
      <c r="X345" s="16">
        <v>1.3039642976971069E-2</v>
      </c>
    </row>
    <row r="346" spans="16:24" x14ac:dyDescent="0.3">
      <c r="P346" s="16" t="str">
        <f>IF('Data-Plot'!C346="","",$Q$11+('Data-Plot'!C346-'Data-Plot'!D346)*$P$9)</f>
        <v/>
      </c>
      <c r="Q346" s="16" t="str">
        <f>IF('Data-Plot'!C346="","",MAX('Data-Plot'!$C$11:$C$1010)*(1+$Q$9/100))</f>
        <v/>
      </c>
      <c r="R346" s="16" t="str">
        <f>IF('Data-Plot'!C346="","",('Data-Plot'!C346-'Data-Plot'!D346)*$P$9)</f>
        <v/>
      </c>
      <c r="S346" s="16">
        <v>196.72148199958824</v>
      </c>
      <c r="T346" s="16">
        <v>0.19461111516509155</v>
      </c>
      <c r="U346" s="16">
        <v>1.5718178593902393E-46</v>
      </c>
      <c r="V346" s="16">
        <v>67.282090435001393</v>
      </c>
      <c r="W346" s="16">
        <v>65.230809169579487</v>
      </c>
      <c r="X346" s="16">
        <v>1.397127984225542E-2</v>
      </c>
    </row>
    <row r="347" spans="16:24" x14ac:dyDescent="0.3">
      <c r="P347" s="16" t="str">
        <f>IF('Data-Plot'!C347="","",$Q$11+('Data-Plot'!C347-'Data-Plot'!D347)*$P$9)</f>
        <v/>
      </c>
      <c r="Q347" s="16" t="str">
        <f>IF('Data-Plot'!C347="","",MAX('Data-Plot'!$C$11:$C$1010)*(1+$Q$9/100))</f>
        <v/>
      </c>
      <c r="R347" s="16" t="str">
        <f>IF('Data-Plot'!C347="","",('Data-Plot'!C347-'Data-Plot'!D347)*$P$9)</f>
        <v/>
      </c>
      <c r="S347" s="16">
        <v>197.22457099596235</v>
      </c>
      <c r="T347" s="16">
        <v>0.19104952858810631</v>
      </c>
      <c r="U347" s="16">
        <v>4.8619449388206997E-47</v>
      </c>
      <c r="V347" s="16">
        <v>65.332179591029714</v>
      </c>
      <c r="W347" s="16">
        <v>67.686375013192048</v>
      </c>
      <c r="X347" s="16">
        <v>1.49668631524815E-2</v>
      </c>
    </row>
    <row r="348" spans="16:24" x14ac:dyDescent="0.3">
      <c r="P348" s="16" t="str">
        <f>IF('Data-Plot'!C348="","",$Q$11+('Data-Plot'!C348-'Data-Plot'!D348)*$P$9)</f>
        <v/>
      </c>
      <c r="Q348" s="16" t="str">
        <f>IF('Data-Plot'!C348="","",MAX('Data-Plot'!$C$11:$C$1010)*(1+$Q$9/100))</f>
        <v/>
      </c>
      <c r="R348" s="16" t="str">
        <f>IF('Data-Plot'!C348="","",('Data-Plot'!C348-'Data-Plot'!D348)*$P$9)</f>
        <v/>
      </c>
      <c r="S348" s="16">
        <v>197.82459004631809</v>
      </c>
      <c r="T348" s="16">
        <v>0.18756093436469115</v>
      </c>
      <c r="U348" s="16">
        <v>1.5058457535192253E-47</v>
      </c>
      <c r="V348" s="16">
        <v>63.433884242156793</v>
      </c>
      <c r="W348" s="16">
        <v>70.187114270455197</v>
      </c>
      <c r="X348" s="16">
        <v>1.6030599341404609E-2</v>
      </c>
    </row>
    <row r="349" spans="16:24" x14ac:dyDescent="0.3">
      <c r="P349" s="16" t="str">
        <f>IF('Data-Plot'!C349="","",$Q$11+('Data-Plot'!C349-'Data-Plot'!D349)*$P$9)</f>
        <v/>
      </c>
      <c r="Q349" s="16" t="str">
        <f>IF('Data-Plot'!C349="","",MAX('Data-Plot'!$C$11:$C$1010)*(1+$Q$9/100))</f>
        <v/>
      </c>
      <c r="R349" s="16" t="str">
        <f>IF('Data-Plot'!C349="","",('Data-Plot'!C349-'Data-Plot'!D349)*$P$9)</f>
        <v/>
      </c>
      <c r="S349" s="16">
        <v>198.51734004704605</v>
      </c>
      <c r="T349" s="16">
        <v>0.18414368473815526</v>
      </c>
      <c r="U349" s="16">
        <v>4.670177188496951E-48</v>
      </c>
      <c r="V349" s="16">
        <v>61.586282369531169</v>
      </c>
      <c r="W349" s="16">
        <v>72.72974703354771</v>
      </c>
      <c r="X349" s="16">
        <v>1.7166959229013103E-2</v>
      </c>
    </row>
    <row r="350" spans="16:24" x14ac:dyDescent="0.3">
      <c r="P350" s="16" t="str">
        <f>IF('Data-Plot'!C350="","",$Q$11+('Data-Plot'!C350-'Data-Plot'!D350)*$P$9)</f>
        <v/>
      </c>
      <c r="Q350" s="16" t="str">
        <f>IF('Data-Plot'!C350="","",MAX('Data-Plot'!$C$11:$C$1010)*(1+$Q$9/100))</f>
        <v/>
      </c>
      <c r="R350" s="16" t="str">
        <f>IF('Data-Plot'!C350="","",('Data-Plot'!C350-'Data-Plot'!D350)*$P$9)</f>
        <v/>
      </c>
      <c r="S350" s="16">
        <v>199.29819293653728</v>
      </c>
      <c r="T350" s="16">
        <v>0.18079617243243262</v>
      </c>
      <c r="U350" s="16">
        <v>1.4503994270191954E-48</v>
      </c>
      <c r="V350" s="16">
        <v>59.788433173940241</v>
      </c>
      <c r="W350" s="16">
        <v>75.310582896328228</v>
      </c>
      <c r="X350" s="16">
        <v>1.8380693836354503E-2</v>
      </c>
    </row>
    <row r="351" spans="16:24" x14ac:dyDescent="0.3">
      <c r="P351" s="16" t="str">
        <f>IF('Data-Plot'!C351="","",$Q$11+('Data-Plot'!C351-'Data-Plot'!D351)*$P$9)</f>
        <v/>
      </c>
      <c r="Q351" s="16" t="str">
        <f>IF('Data-Plot'!C351="","",MAX('Data-Plot'!$C$11:$C$1010)*(1+$Q$9/100))</f>
        <v/>
      </c>
      <c r="R351" s="16" t="str">
        <f>IF('Data-Plot'!C351="","",('Data-Plot'!C351-'Data-Plot'!D351)*$P$9)</f>
        <v/>
      </c>
      <c r="S351" s="16">
        <v>200.16208078665125</v>
      </c>
      <c r="T351" s="16">
        <v>0.17751682957989998</v>
      </c>
      <c r="U351" s="16">
        <v>4.5108819948124101E-49</v>
      </c>
      <c r="V351" s="16">
        <v>58.039380499314703</v>
      </c>
      <c r="W351" s="16">
        <v>77.925506606661372</v>
      </c>
      <c r="X351" s="16">
        <v>1.96768510952793E-2</v>
      </c>
    </row>
    <row r="352" spans="16:24" x14ac:dyDescent="0.3">
      <c r="P352" s="16" t="str">
        <f>IF('Data-Plot'!C352="","",$Q$11+('Data-Plot'!C352-'Data-Plot'!D352)*$P$9)</f>
        <v/>
      </c>
      <c r="Q352" s="16" t="str">
        <f>IF('Data-Plot'!C352="","",MAX('Data-Plot'!$C$11:$C$1010)*(1+$Q$9/100))</f>
        <v/>
      </c>
      <c r="R352" s="16" t="str">
        <f>IF('Data-Plot'!C352="","",('Data-Plot'!C352-'Data-Plot'!D352)*$P$9)</f>
        <v/>
      </c>
      <c r="S352" s="16">
        <v>201.10348666509361</v>
      </c>
      <c r="T352" s="16">
        <v>0.17430412667957496</v>
      </c>
      <c r="U352" s="16">
        <v>1.4049870978681573E-49</v>
      </c>
      <c r="V352" s="16">
        <v>56.338156018565776</v>
      </c>
      <c r="W352" s="16">
        <v>80.569965726347775</v>
      </c>
      <c r="X352" s="16">
        <v>2.1060793500495084E-2</v>
      </c>
    </row>
    <row r="353" spans="16:24" x14ac:dyDescent="0.3">
      <c r="P353" s="16" t="str">
        <f>IF('Data-Plot'!C353="","",$Q$11+('Data-Plot'!C353-'Data-Plot'!D353)*$P$9)</f>
        <v/>
      </c>
      <c r="Q353" s="16" t="str">
        <f>IF('Data-Plot'!C353="","",MAX('Data-Plot'!$C$11:$C$1010)*(1+$Q$9/100))</f>
        <v/>
      </c>
      <c r="R353" s="16" t="str">
        <f>IF('Data-Plot'!C353="","",('Data-Plot'!C353-'Data-Plot'!D353)*$P$9)</f>
        <v/>
      </c>
      <c r="S353" s="16">
        <v>202.11643764801991</v>
      </c>
      <c r="T353" s="16">
        <v>0.17115657158478326</v>
      </c>
      <c r="U353" s="16">
        <v>4.3826515006119869E-50</v>
      </c>
      <c r="V353" s="16">
        <v>54.683782191365026</v>
      </c>
      <c r="W353" s="16">
        <v>83.238960668316508</v>
      </c>
      <c r="X353" s="16">
        <v>2.2538216753610778E-2</v>
      </c>
    </row>
    <row r="354" spans="16:24" x14ac:dyDescent="0.3">
      <c r="P354" s="16" t="str">
        <f>IF('Data-Plot'!C354="","",$Q$11+('Data-Plot'!C354-'Data-Plot'!D354)*$P$9)</f>
        <v/>
      </c>
      <c r="Q354" s="16" t="str">
        <f>IF('Data-Plot'!C354="","",MAX('Data-Plot'!$C$11:$C$1010)*(1+$Q$9/100))</f>
        <v/>
      </c>
      <c r="R354" s="16" t="str">
        <f>IF('Data-Plot'!C354="","",('Data-Plot'!C354-'Data-Plot'!D354)*$P$9)</f>
        <v/>
      </c>
      <c r="S354" s="16">
        <v>203.19450037812476</v>
      </c>
      <c r="T354" s="16">
        <v>0.16807270851941308</v>
      </c>
      <c r="U354" s="16">
        <v>1.3692138193293384E-50</v>
      </c>
      <c r="V354" s="16">
        <v>53.075275003626295</v>
      </c>
      <c r="W354" s="16">
        <v>85.927037496527817</v>
      </c>
      <c r="X354" s="16">
        <v>2.4115169451235909E-2</v>
      </c>
    </row>
    <row r="355" spans="16:24" x14ac:dyDescent="0.3">
      <c r="P355" s="16" t="str">
        <f>IF('Data-Plot'!C355="","",$Q$11+('Data-Plot'!C355-'Data-Plot'!D355)*$P$9)</f>
        <v/>
      </c>
      <c r="Q355" s="16" t="str">
        <f>IF('Data-Plot'!C355="","",MAX('Data-Plot'!$C$11:$C$1010)*(1+$Q$9/100))</f>
        <v/>
      </c>
      <c r="R355" s="16" t="str">
        <f>IF('Data-Plot'!C355="","",('Data-Plot'!C355-'Data-Plot'!D355)*$P$9)</f>
        <v/>
      </c>
      <c r="S355" s="16">
        <v>204.33077957496033</v>
      </c>
      <c r="T355" s="16">
        <v>0.16505111712188866</v>
      </c>
      <c r="U355" s="16">
        <v>4.2844064506617724E-51</v>
      </c>
      <c r="V355" s="16">
        <v>51.511646498516107</v>
      </c>
      <c r="W355" s="16">
        <v>88.628283885450642</v>
      </c>
      <c r="X355" s="16">
        <v>2.5798073871683862E-2</v>
      </c>
    </row>
    <row r="356" spans="16:24" x14ac:dyDescent="0.3">
      <c r="P356" s="16" t="str">
        <f>IF('Data-Plot'!C356="","",$Q$11+('Data-Plot'!C356-'Data-Plot'!D356)*$P$9)</f>
        <v/>
      </c>
      <c r="Q356" s="16" t="str">
        <f>IF('Data-Plot'!C356="","",MAX('Data-Plot'!$C$11:$C$1010)*(1+$Q$9/100))</f>
        <v/>
      </c>
      <c r="R356" s="16" t="str">
        <f>IF('Data-Plot'!C356="","",('Data-Plot'!C356-'Data-Plot'!D356)*$P$9)</f>
        <v/>
      </c>
      <c r="S356" s="16">
        <v>205.51791991030532</v>
      </c>
      <c r="T356" s="16">
        <v>0.16209041151604336</v>
      </c>
      <c r="U356" s="16">
        <v>1.3427951741828117E-51</v>
      </c>
      <c r="V356" s="16">
        <v>49.991907108827192</v>
      </c>
      <c r="W356" s="16">
        <v>91.336328642044677</v>
      </c>
      <c r="X356" s="16">
        <v>2.7593747917408488E-2</v>
      </c>
    </row>
    <row r="357" spans="16:24" x14ac:dyDescent="0.3">
      <c r="P357" s="16" t="str">
        <f>IF('Data-Plot'!C357="","",$Q$11+('Data-Plot'!C357-'Data-Plot'!D357)*$P$9)</f>
        <v/>
      </c>
      <c r="Q357" s="16" t="str">
        <f>IF('Data-Plot'!C357="","",MAX('Data-Plot'!$C$11:$C$1010)*(1+$Q$9/100))</f>
        <v/>
      </c>
      <c r="R357" s="16" t="str">
        <f>IF('Data-Plot'!C357="","",('Data-Plot'!C357-'Data-Plot'!D357)*$P$9)</f>
        <v/>
      </c>
      <c r="S357" s="16">
        <v>206.74811166112636</v>
      </c>
      <c r="T357" s="16">
        <v>0.15918923940807805</v>
      </c>
      <c r="U357" s="16">
        <v>4.215437172251715E-52</v>
      </c>
      <c r="V357" s="16">
        <v>48.515067800485184</v>
      </c>
      <c r="W357" s="16">
        <v>94.044345192960122</v>
      </c>
      <c r="X357" s="16">
        <v>2.9509428272984493E-2</v>
      </c>
    </row>
    <row r="358" spans="16:24" x14ac:dyDescent="0.3">
      <c r="P358" s="16" t="str">
        <f>IF('Data-Plot'!C358="","",$Q$11+('Data-Plot'!C358-'Data-Plot'!D358)*$P$9)</f>
        <v/>
      </c>
      <c r="Q358" s="16" t="str">
        <f>IF('Data-Plot'!C358="","",MAX('Data-Plot'!$C$11:$C$1010)*(1+$Q$9/100))</f>
        <v/>
      </c>
      <c r="R358" s="16" t="str">
        <f>IF('Data-Plot'!C358="","",('Data-Plot'!C358-'Data-Plot'!D358)*$P$9)</f>
        <v/>
      </c>
      <c r="S358" s="16">
        <v>208.01310054503259</v>
      </c>
      <c r="T358" s="16">
        <v>0.15634628120883159</v>
      </c>
      <c r="U358" s="16">
        <v>1.3255698649016456E-52</v>
      </c>
      <c r="V358" s="16">
        <v>47.080142036851882</v>
      </c>
      <c r="W358" s="16">
        <v>96.745059432130631</v>
      </c>
      <c r="X358" s="16">
        <v>3.1552794841225792E-2</v>
      </c>
    </row>
    <row r="359" spans="16:24" x14ac:dyDescent="0.3">
      <c r="P359" s="16" t="str">
        <f>IF('Data-Plot'!C359="","",$Q$11+('Data-Plot'!C359-'Data-Plot'!D359)*$P$9)</f>
        <v/>
      </c>
      <c r="Q359" s="16" t="str">
        <f>IF('Data-Plot'!C359="","",MAX('Data-Plot'!$C$11:$C$1010)*(1+$Q$9/100))</f>
        <v/>
      </c>
      <c r="R359" s="16" t="str">
        <f>IF('Data-Plot'!C359="","",('Data-Plot'!C359-'Data-Plot'!D359)*$P$9)</f>
        <v/>
      </c>
      <c r="S359" s="16">
        <v>209.30420212717385</v>
      </c>
      <c r="T359" s="16">
        <v>0.15356024918060959</v>
      </c>
      <c r="U359" s="16">
        <v>4.1754433277166778E-53</v>
      </c>
      <c r="V359" s="16">
        <v>45.686147573331773</v>
      </c>
      <c r="W359" s="16">
        <v>99.430762308138554</v>
      </c>
      <c r="X359" s="16">
        <v>3.3731996522921824E-2</v>
      </c>
    </row>
    <row r="360" spans="16:24" x14ac:dyDescent="0.3">
      <c r="P360" s="16" t="str">
        <f>IF('Data-Plot'!C360="","",$Q$11+('Data-Plot'!C360-'Data-Plot'!D360)*$P$9)</f>
        <v/>
      </c>
      <c r="Q360" s="16" t="str">
        <f>IF('Data-Plot'!C360="","",MAX('Data-Plot'!$C$11:$C$1010)*(1+$Q$9/100))</f>
        <v/>
      </c>
      <c r="R360" s="16" t="str">
        <f>IF('Data-Plot'!C360="","",('Data-Plot'!C360-'Data-Plot'!D360)*$P$9)</f>
        <v/>
      </c>
      <c r="S360" s="16">
        <v>210.61232116238369</v>
      </c>
      <c r="T360" s="16">
        <v>0.15082988660783397</v>
      </c>
      <c r="U360" s="16">
        <v>1.3175126027375817E-53</v>
      </c>
      <c r="V360" s="16">
        <v>44.332108091591316</v>
      </c>
      <c r="W360" s="16">
        <v>102.09332750577586</v>
      </c>
      <c r="X360" s="16">
        <v>3.605567840867209E-2</v>
      </c>
    </row>
    <row r="361" spans="16:24" x14ac:dyDescent="0.3">
      <c r="P361" s="16" t="str">
        <f>IF('Data-Plot'!C361="","",$Q$11+('Data-Plot'!C361-'Data-Plot'!D361)*$P$9)</f>
        <v/>
      </c>
      <c r="Q361" s="16" t="str">
        <f>IF('Data-Plot'!C361="","",MAX('Data-Plot'!$C$11:$C$1010)*(1+$Q$9/100))</f>
        <v/>
      </c>
      <c r="R361" s="16" t="str">
        <f>IF('Data-Plot'!C361="","",('Data-Plot'!C361-'Data-Plot'!D361)*$P$9)</f>
        <v/>
      </c>
      <c r="S361" s="16">
        <v>211.9279762011725</v>
      </c>
      <c r="T361" s="16">
        <v>0.14815396699081546</v>
      </c>
      <c r="U361" s="16">
        <v>4.1645767226951526E-54</v>
      </c>
      <c r="V361" s="16">
        <v>43.017054682481124</v>
      </c>
      <c r="W361" s="16">
        <v>104.72423454124616</v>
      </c>
      <c r="X361" s="16">
        <v>3.8533010454387846E-2</v>
      </c>
    </row>
    <row r="362" spans="16:24" x14ac:dyDescent="0.3">
      <c r="P362" s="16" t="str">
        <f>IF('Data-Plot'!C362="","",$Q$11+('Data-Plot'!C362-'Data-Plot'!D362)*$P$9)</f>
        <v/>
      </c>
      <c r="Q362" s="16" t="str">
        <f>IF('Data-Plot'!C362="","",MAX('Data-Plot'!$C$11:$C$1010)*(1+$Q$9/100))</f>
        <v/>
      </c>
      <c r="R362" s="16" t="str">
        <f>IF('Data-Plot'!C362="","",('Data-Plot'!C362-'Data-Plot'!D362)*$P$9)</f>
        <v/>
      </c>
      <c r="S362" s="16">
        <v>213.24132974231117</v>
      </c>
      <c r="T362" s="16">
        <v>0.1455312932619546</v>
      </c>
      <c r="U362" s="16">
        <v>1.3187486197514314E-54</v>
      </c>
      <c r="V362" s="16">
        <v>41.740027186491609</v>
      </c>
      <c r="W362" s="16">
        <v>107.31459754484236</v>
      </c>
      <c r="X362" s="16">
        <v>4.1173717715247533E-2</v>
      </c>
    </row>
    <row r="363" spans="16:24" x14ac:dyDescent="0.3">
      <c r="P363" s="16" t="str">
        <f>IF('Data-Plot'!C363="","",$Q$11+('Data-Plot'!C363-'Data-Plot'!D363)*$P$9)</f>
        <v/>
      </c>
      <c r="Q363" s="16" t="str">
        <f>IF('Data-Plot'!C363="","",MAX('Data-Plot'!$C$11:$C$1010)*(1+$Q$9/100))</f>
        <v/>
      </c>
      <c r="R363" s="16" t="str">
        <f>IF('Data-Plot'!C363="","",('Data-Plot'!C363-'Data-Plot'!D363)*$P$9)</f>
        <v/>
      </c>
      <c r="S363" s="16">
        <v>214.54222415767359</v>
      </c>
      <c r="T363" s="16">
        <v>0.14296069702371178</v>
      </c>
      <c r="U363" s="16">
        <v>4.1834913194394544E-55</v>
      </c>
      <c r="V363" s="16">
        <v>40.500075400304283</v>
      </c>
      <c r="W363" s="16">
        <v>109.85519994812937</v>
      </c>
      <c r="X363" s="16">
        <v>4.3988112216197764E-2</v>
      </c>
    </row>
    <row r="364" spans="16:24" x14ac:dyDescent="0.3">
      <c r="P364" s="16" t="str">
        <f>IF('Data-Plot'!C364="","",$Q$11+('Data-Plot'!C364-'Data-Plot'!D364)*$P$9)</f>
        <v/>
      </c>
      <c r="Q364" s="16" t="str">
        <f>IF('Data-Plot'!C364="","",MAX('Data-Plot'!$C$11:$C$1010)*(1+$Q$9/100))</f>
        <v/>
      </c>
      <c r="R364" s="16" t="str">
        <f>IF('Data-Plot'!C364="","",('Data-Plot'!C364-'Data-Plot'!D364)*$P$9)</f>
        <v/>
      </c>
      <c r="S364" s="16">
        <v>215.82022354650314</v>
      </c>
      <c r="T364" s="16">
        <v>0.14044103780770553</v>
      </c>
      <c r="U364" s="16">
        <v>1.3295711238061362E-55</v>
      </c>
      <c r="V364" s="16">
        <v>39.296260157710989</v>
      </c>
      <c r="W364" s="16">
        <v>112.33653522444394</v>
      </c>
      <c r="X364" s="16">
        <v>4.6987126540515192E-2</v>
      </c>
    </row>
    <row r="365" spans="16:24" x14ac:dyDescent="0.3">
      <c r="P365" s="16" t="str">
        <f>IF('Data-Plot'!C365="","",$Q$11+('Data-Plot'!C365-'Data-Plot'!D365)*$P$9)</f>
        <v/>
      </c>
      <c r="Q365" s="16" t="str">
        <f>IF('Data-Plot'!C365="","",MAX('Data-Plot'!$C$11:$C$1010)*(1+$Q$9/100))</f>
        <v/>
      </c>
      <c r="R365" s="16" t="str">
        <f>IF('Data-Plot'!C365="","",('Data-Plot'!C365-'Data-Plot'!D365)*$P$9)</f>
        <v/>
      </c>
      <c r="S365" s="16">
        <v>217.06466159633788</v>
      </c>
      <c r="T365" s="16">
        <v>0.13797120235430799</v>
      </c>
      <c r="U365" s="16">
        <v>4.233404720710066E-56</v>
      </c>
      <c r="V365" s="16">
        <v>38.127654292865401</v>
      </c>
      <c r="W365" s="16">
        <v>114.74885375189668</v>
      </c>
      <c r="X365" s="16">
        <v>5.0182349221470204E-2</v>
      </c>
    </row>
    <row r="366" spans="16:24" x14ac:dyDescent="0.3">
      <c r="P366" s="16" t="str">
        <f>IF('Data-Plot'!C366="","",$Q$11+('Data-Plot'!C366-'Data-Plot'!D366)*$P$9)</f>
        <v/>
      </c>
      <c r="Q366" s="16" t="str">
        <f>IF('Data-Plot'!C366="","",MAX('Data-Plot'!$C$11:$C$1010)*(1+$Q$9/100))</f>
        <v/>
      </c>
      <c r="R366" s="16" t="str">
        <f>IF('Data-Plot'!C366="","",('Data-Plot'!C366-'Data-Plot'!D366)*$P$9)</f>
        <v/>
      </c>
      <c r="S366" s="16">
        <v>218.2646954368121</v>
      </c>
      <c r="T366" s="16">
        <v>0.13555010391214364</v>
      </c>
      <c r="U366" s="16">
        <v>1.3504630965848315E-56</v>
      </c>
      <c r="V366" s="16">
        <v>36.993343493527405</v>
      </c>
      <c r="W366" s="16">
        <v>117.0822157773468</v>
      </c>
      <c r="X366" s="16">
        <v>5.3586062025758503E-2</v>
      </c>
    </row>
    <row r="367" spans="16:24" x14ac:dyDescent="0.3">
      <c r="P367" s="16" t="str">
        <f>IF('Data-Plot'!C367="","",$Q$11+('Data-Plot'!C367-'Data-Plot'!D367)*$P$9)</f>
        <v/>
      </c>
      <c r="Q367" s="16" t="str">
        <f>IF('Data-Plot'!C367="","",MAX('Data-Plot'!$C$11:$C$1010)*(1+$Q$9/100))</f>
        <v/>
      </c>
      <c r="R367" s="16" t="str">
        <f>IF('Data-Plot'!C367="","",('Data-Plot'!C367-'Data-Plot'!D367)*$P$9)</f>
        <v/>
      </c>
      <c r="S367" s="16">
        <v>219.40936537117861</v>
      </c>
      <c r="T367" s="16">
        <v>0.13317668155689905</v>
      </c>
      <c r="U367" s="16">
        <v>4.3161757891091214E-57</v>
      </c>
      <c r="V367" s="16">
        <v>35.892427051636197</v>
      </c>
      <c r="W367" s="16">
        <v>119.32655035876441</v>
      </c>
      <c r="X367" s="16">
        <v>5.7211279221105256E-2</v>
      </c>
    </row>
    <row r="368" spans="16:24" x14ac:dyDescent="0.3">
      <c r="P368" s="16" t="str">
        <f>IF('Data-Plot'!C368="","",$Q$11+('Data-Plot'!C368-'Data-Plot'!D368)*$P$9)</f>
        <v/>
      </c>
      <c r="Q368" s="16" t="str">
        <f>IF('Data-Plot'!C368="","",MAX('Data-Plot'!$C$11:$C$1010)*(1+$Q$9/100))</f>
        <v/>
      </c>
      <c r="R368" s="16" t="str">
        <f>IF('Data-Plot'!C368="","",('Data-Plot'!C368-'Data-Plot'!D368)*$P$9)</f>
        <v/>
      </c>
      <c r="S368" s="16">
        <v>220.48766025975291</v>
      </c>
      <c r="T368" s="16">
        <v>0.13084989952888001</v>
      </c>
      <c r="U368" s="16">
        <v>1.3821250107090296E-57</v>
      </c>
      <c r="V368" s="16">
        <v>34.824018518231725</v>
      </c>
      <c r="W368" s="16">
        <v>121.47172005306804</v>
      </c>
      <c r="X368" s="16">
        <v>6.1071788924267546E-2</v>
      </c>
    </row>
    <row r="369" spans="16:24" x14ac:dyDescent="0.3">
      <c r="P369" s="16" t="str">
        <f>IF('Data-Plot'!C369="","",$Q$11+('Data-Plot'!C369-'Data-Plot'!D369)*$P$9)</f>
        <v/>
      </c>
      <c r="Q369" s="16" t="str">
        <f>IF('Data-Plot'!C369="","",MAX('Data-Plot'!$C$11:$C$1010)*(1+$Q$9/100))</f>
        <v/>
      </c>
      <c r="R369" s="16" t="str">
        <f>IF('Data-Plot'!C369="","",('Data-Plot'!C369-'Data-Plot'!D369)*$P$9)</f>
        <v/>
      </c>
      <c r="S369" s="16">
        <v>221.48858821112674</v>
      </c>
      <c r="T369" s="16">
        <v>0.12856874658876816</v>
      </c>
      <c r="U369" s="16">
        <v>4.4344037939702549E-58</v>
      </c>
      <c r="V369" s="16">
        <v>33.787246269423498</v>
      </c>
      <c r="W369" s="16">
        <v>123.5075909984849</v>
      </c>
      <c r="X369" s="16">
        <v>6.5182196629579484E-2</v>
      </c>
    </row>
    <row r="370" spans="16:24" x14ac:dyDescent="0.3">
      <c r="P370" s="16" t="str">
        <f>IF('Data-Plot'!C370="","",$Q$11+('Data-Plot'!C370-'Data-Plot'!D370)*$P$9)</f>
        <v/>
      </c>
      <c r="Q370" s="16" t="str">
        <f>IF('Data-Plot'!C370="","",MAX('Data-Plot'!$C$11:$C$1010)*(1+$Q$9/100))</f>
        <v/>
      </c>
      <c r="R370" s="16" t="str">
        <f>IF('Data-Plot'!C370="","",('Data-Plot'!C370-'Data-Plot'!D370)*$P$9)</f>
        <v/>
      </c>
      <c r="S370" s="16">
        <v>222.40125211290018</v>
      </c>
      <c r="T370" s="16">
        <v>0.12633223539104174</v>
      </c>
      <c r="U370" s="16">
        <v>1.4255103310928282E-58</v>
      </c>
      <c r="V370" s="16">
        <v>32.781253989782137</v>
      </c>
      <c r="W370" s="16">
        <v>125.4241079167048</v>
      </c>
      <c r="X370" s="16">
        <v>6.9557971022211132E-2</v>
      </c>
    </row>
    <row r="371" spans="16:24" x14ac:dyDescent="0.3">
      <c r="P371" s="16" t="str">
        <f>IF('Data-Plot'!C371="","",$Q$11+('Data-Plot'!C371-'Data-Plot'!D371)*$P$9)</f>
        <v/>
      </c>
      <c r="Q371" s="16" t="str">
        <f>IF('Data-Plot'!C371="","",MAX('Data-Plot'!$C$11:$C$1010)*(1+$Q$9/100))</f>
        <v/>
      </c>
      <c r="R371" s="16" t="str">
        <f>IF('Data-Plot'!C371="","",('Data-Plot'!C371-'Data-Plot'!D371)*$P$9)</f>
        <v/>
      </c>
      <c r="S371" s="16">
        <v>223.21492940624336</v>
      </c>
      <c r="T371" s="16">
        <v>0.12413940187454932</v>
      </c>
      <c r="U371" s="16">
        <v>4.5915555982766228E-59</v>
      </c>
      <c r="V371" s="16">
        <v>31.805201079219504</v>
      </c>
      <c r="W371" s="16">
        <v>127.21137343296495</v>
      </c>
      <c r="X371" s="16">
        <v>7.4215492184370527E-2</v>
      </c>
    </row>
    <row r="372" spans="16:24" x14ac:dyDescent="0.3">
      <c r="P372" s="16" t="str">
        <f>IF('Data-Plot'!C372="","",$Q$11+('Data-Plot'!C372-'Data-Plot'!D372)*$P$9)</f>
        <v/>
      </c>
      <c r="Q372" s="16" t="str">
        <f>IF('Data-Plot'!C372="","",MAX('Data-Plot'!$C$11:$C$1010)*(1+$Q$9/100))</f>
        <v/>
      </c>
      <c r="R372" s="16" t="str">
        <f>IF('Data-Plot'!C372="","",('Data-Plot'!C372-'Data-Plot'!D372)*$P$9)</f>
        <v/>
      </c>
      <c r="S372" s="16">
        <v>223.9191553806524</v>
      </c>
      <c r="T372" s="16">
        <v>0.12198930466973186</v>
      </c>
      <c r="U372" s="16">
        <v>1.4818710925585645E-59</v>
      </c>
      <c r="V372" s="16">
        <v>30.858262989105576</v>
      </c>
      <c r="W372" s="16">
        <v>128.85973098457021</v>
      </c>
      <c r="X372" s="16">
        <v>7.9172102306882888E-2</v>
      </c>
    </row>
    <row r="373" spans="16:24" x14ac:dyDescent="0.3">
      <c r="P373" s="16" t="str">
        <f>IF('Data-Plot'!C373="","",$Q$11+('Data-Plot'!C373-'Data-Plot'!D373)*$P$9)</f>
        <v/>
      </c>
      <c r="Q373" s="16" t="str">
        <f>IF('Data-Plot'!C373="","",MAX('Data-Plot'!$C$11:$C$1010)*(1+$Q$9/100))</f>
        <v/>
      </c>
      <c r="R373" s="16" t="str">
        <f>IF('Data-Plot'!C373="","",('Data-Plot'!C373-'Data-Plot'!D373)*$P$9)</f>
        <v/>
      </c>
      <c r="S373" s="16">
        <v>224.50380913998671</v>
      </c>
      <c r="T373" s="16">
        <v>0.11988102452201255</v>
      </c>
      <c r="U373" s="16">
        <v>4.7921290055208717E-60</v>
      </c>
      <c r="V373" s="16">
        <v>29.93963149307034</v>
      </c>
      <c r="W373" s="16">
        <v>130.3598504633716</v>
      </c>
      <c r="X373" s="16">
        <v>8.4446159022760717E-2</v>
      </c>
    </row>
    <row r="374" spans="16:24" x14ac:dyDescent="0.3">
      <c r="P374" s="16" t="str">
        <f>IF('Data-Plot'!C374="","",$Q$11+('Data-Plot'!C374-'Data-Plot'!D374)*$P$9)</f>
        <v/>
      </c>
      <c r="Q374" s="16" t="str">
        <f>IF('Data-Plot'!C374="","",MAX('Data-Plot'!$C$11:$C$1010)*(1+$Q$9/100))</f>
        <v/>
      </c>
      <c r="R374" s="16" t="str">
        <f>IF('Data-Plot'!C374="","",('Data-Plot'!C374-'Data-Plot'!D374)*$P$9)</f>
        <v/>
      </c>
      <c r="S374" s="16">
        <v>224.95920127176726</v>
      </c>
      <c r="T374" s="16">
        <v>0.1178136637308851</v>
      </c>
      <c r="U374" s="16">
        <v>1.5528164460079818E-60</v>
      </c>
      <c r="V374" s="16">
        <v>29.048514897640402</v>
      </c>
      <c r="W374" s="16">
        <v>131.70281561891227</v>
      </c>
      <c r="X374" s="16">
        <v>9.0057091483684251E-2</v>
      </c>
    </row>
    <row r="375" spans="16:24" x14ac:dyDescent="0.3">
      <c r="P375" s="16" t="str">
        <f>IF('Data-Plot'!C375="","",$Q$11+('Data-Plot'!C375-'Data-Plot'!D375)*$P$9)</f>
        <v/>
      </c>
      <c r="Q375" s="16" t="str">
        <f>IF('Data-Plot'!C375="","",MAX('Data-Plot'!$C$11:$C$1010)*(1+$Q$9/100))</f>
        <v/>
      </c>
      <c r="R375" s="16" t="str">
        <f>IF('Data-Plot'!C375="","",('Data-Plot'!C375-'Data-Plot'!D375)*$P$9)</f>
        <v/>
      </c>
      <c r="S375" s="16">
        <v>225.27616214249119</v>
      </c>
      <c r="T375" s="16">
        <v>0.11578634560424185</v>
      </c>
      <c r="U375" s="16">
        <v>5.04186261497686E-61</v>
      </c>
      <c r="V375" s="16">
        <v>28.184138197568164</v>
      </c>
      <c r="W375" s="16">
        <v>132.88021214001418</v>
      </c>
      <c r="X375" s="16">
        <v>9.6025459304608179E-2</v>
      </c>
    </row>
    <row r="376" spans="16:24" x14ac:dyDescent="0.3">
      <c r="P376" s="16" t="str">
        <f>IF('Data-Plot'!C376="","",$Q$11+('Data-Plot'!C376-'Data-Plot'!D376)*$P$9)</f>
        <v/>
      </c>
      <c r="Q376" s="16" t="str">
        <f>IF('Data-Plot'!C376="","",MAX('Data-Plot'!$C$11:$C$1010)*(1+$Q$9/100))</f>
        <v/>
      </c>
      <c r="R376" s="16" t="str">
        <f>IF('Data-Plot'!C376="","",('Data-Plot'!C376-'Data-Plot'!D376)*$P$9)</f>
        <v/>
      </c>
      <c r="S376" s="16">
        <v>225.44612964619947</v>
      </c>
      <c r="T376" s="16">
        <v>0.11379821392750655</v>
      </c>
      <c r="U376" s="16">
        <v>1.6403878894691117E-61</v>
      </c>
      <c r="V376" s="16">
        <v>27.345743180435832</v>
      </c>
      <c r="W376" s="16">
        <v>133.88421523733007</v>
      </c>
      <c r="X376" s="16">
        <v>0.10237301450604339</v>
      </c>
    </row>
    <row r="377" spans="16:24" x14ac:dyDescent="0.3">
      <c r="P377" s="16" t="str">
        <f>IF('Data-Plot'!C377="","",$Q$11+('Data-Plot'!C377-'Data-Plot'!D377)*$P$9)</f>
        <v/>
      </c>
      <c r="Q377" s="16" t="str">
        <f>IF('Data-Plot'!C377="","",MAX('Data-Plot'!$C$11:$C$1010)*(1+$Q$9/100))</f>
        <v/>
      </c>
      <c r="R377" s="16" t="str">
        <f>IF('Data-Plot'!C377="","",('Data-Plot'!C377-'Data-Plot'!D377)*$P$9)</f>
        <v/>
      </c>
      <c r="S377" s="16">
        <v>225.46123515554214</v>
      </c>
      <c r="T377" s="16">
        <v>0.11184843244713859</v>
      </c>
      <c r="U377" s="16">
        <v>5.3480055723422795E-62</v>
      </c>
      <c r="V377" s="16">
        <v>26.532588484841177</v>
      </c>
      <c r="W377" s="16">
        <v>134.70767547166597</v>
      </c>
      <c r="X377" s="16">
        <v>0.10912276658788417</v>
      </c>
    </row>
    <row r="378" spans="16:24" x14ac:dyDescent="0.3">
      <c r="P378" s="16" t="str">
        <f>IF('Data-Plot'!C378="","",$Q$11+('Data-Plot'!C378-'Data-Plot'!D378)*$P$9)</f>
        <v/>
      </c>
      <c r="Q378" s="16" t="str">
        <f>IF('Data-Plot'!C378="","",MAX('Data-Plot'!$C$11:$C$1010)*(1+$Q$9/100))</f>
        <v/>
      </c>
      <c r="R378" s="16" t="str">
        <f>IF('Data-Plot'!C378="","",('Data-Plot'!C378-'Data-Plot'!D378)*$P$9)</f>
        <v/>
      </c>
      <c r="S378" s="16">
        <v>225.31438636777696</v>
      </c>
      <c r="T378" s="16">
        <v>0.10993618436809735</v>
      </c>
      <c r="U378" s="16">
        <v>1.7471560187322385E-62</v>
      </c>
      <c r="V378" s="16">
        <v>25.743949616214067</v>
      </c>
      <c r="W378" s="16">
        <v>135.34420151632182</v>
      </c>
      <c r="X378" s="16">
        <v>0.11629905087297659</v>
      </c>
    </row>
    <row r="379" spans="16:24" x14ac:dyDescent="0.3">
      <c r="P379" s="16" t="str">
        <f>IF('Data-Plot'!C379="","",$Q$11+('Data-Plot'!C379-'Data-Plot'!D379)*$P$9)</f>
        <v/>
      </c>
      <c r="Q379" s="16" t="str">
        <f>IF('Data-Plot'!C379="","",MAX('Data-Plot'!$C$11:$C$1010)*(1+$Q$9/100))</f>
        <v/>
      </c>
      <c r="R379" s="16" t="str">
        <f>IF('Data-Plot'!C379="","",('Data-Plot'!C379-'Data-Plot'!D379)*$P$9)</f>
        <v/>
      </c>
      <c r="S379" s="16">
        <v>224.99934570586487</v>
      </c>
      <c r="T379" s="16">
        <v>0.10806067186486697</v>
      </c>
      <c r="U379" s="16">
        <v>5.7196647149220892E-63</v>
      </c>
      <c r="V379" s="16">
        <v>24.979118924061584</v>
      </c>
      <c r="W379" s="16">
        <v>135.78823850967555</v>
      </c>
      <c r="X379" s="16">
        <v>0.12392760026284919</v>
      </c>
    </row>
    <row r="380" spans="16:24" x14ac:dyDescent="0.3">
      <c r="P380" s="16" t="str">
        <f>IF('Data-Plot'!C380="","",$Q$11+('Data-Plot'!C380-'Data-Plot'!D380)*$P$9)</f>
        <v/>
      </c>
      <c r="Q380" s="16" t="str">
        <f>IF('Data-Plot'!C380="","",MAX('Data-Plot'!$C$11:$C$1010)*(1+$Q$9/100))</f>
        <v/>
      </c>
      <c r="R380" s="16" t="str">
        <f>IF('Data-Plot'!C380="","",('Data-Plot'!C380-'Data-Plot'!D380)*$P$9)</f>
        <v/>
      </c>
      <c r="S380" s="16">
        <v>224.51080292999663</v>
      </c>
      <c r="T380" s="16">
        <v>0.10622111560564503</v>
      </c>
      <c r="U380" s="16">
        <v>1.8763451435488441E-63</v>
      </c>
      <c r="V380" s="16">
        <v>24.237405544197031</v>
      </c>
      <c r="W380" s="16">
        <v>136.0351406496417</v>
      </c>
      <c r="X380" s="16">
        <v>0.13203562055225776</v>
      </c>
    </row>
    <row r="381" spans="16:24" x14ac:dyDescent="0.3">
      <c r="P381" s="16" t="str">
        <f>IF('Data-Plot'!C381="","",$Q$11+('Data-Plot'!C381-'Data-Plot'!D381)*$P$9)</f>
        <v/>
      </c>
      <c r="Q381" s="16" t="str">
        <f>IF('Data-Plot'!C381="","",MAX('Data-Plot'!$C$11:$C$1010)*(1+$Q$9/100))</f>
        <v/>
      </c>
      <c r="R381" s="16" t="str">
        <f>IF('Data-Plot'!C381="","",('Data-Plot'!C381-'Data-Plot'!D381)*$P$9)</f>
        <v/>
      </c>
      <c r="S381" s="16">
        <v>223.84444063976034</v>
      </c>
      <c r="T381" s="16">
        <v>0.10441675428932731</v>
      </c>
      <c r="U381" s="16">
        <v>6.168252163962639E-64</v>
      </c>
      <c r="V381" s="16">
        <v>23.518135309282091</v>
      </c>
      <c r="W381" s="16">
        <v>136.08123670673572</v>
      </c>
      <c r="X381" s="16">
        <v>0.14065186945320918</v>
      </c>
    </row>
    <row r="382" spans="16:24" x14ac:dyDescent="0.3">
      <c r="P382" s="16" t="str">
        <f>IF('Data-Plot'!C382="","",$Q$11+('Data-Plot'!C382-'Data-Plot'!D382)*$P$9)</f>
        <v/>
      </c>
      <c r="Q382" s="16" t="str">
        <f>IF('Data-Plot'!C382="","",MAX('Data-Plot'!$C$11:$C$1010)*(1+$Q$9/100))</f>
        <v/>
      </c>
      <c r="R382" s="16" t="str">
        <f>IF('Data-Plot'!C382="","",('Data-Plot'!C382-'Data-Plot'!D382)*$P$9)</f>
        <v/>
      </c>
      <c r="S382" s="16">
        <v>222.99699140327709</v>
      </c>
      <c r="T382" s="16">
        <v>0.10264684419491292</v>
      </c>
      <c r="U382" s="16">
        <v>2.0319941565461579E-64</v>
      </c>
      <c r="V382" s="16">
        <v>22.820650630788062</v>
      </c>
      <c r="W382" s="16">
        <v>135.92388718881102</v>
      </c>
      <c r="X382" s="16">
        <v>0.14980673948310819</v>
      </c>
    </row>
    <row r="383" spans="16:24" x14ac:dyDescent="0.3">
      <c r="P383" s="16" t="str">
        <f>IF('Data-Plot'!C383="","",$Q$11+('Data-Plot'!C383-'Data-Plot'!D383)*$P$9)</f>
        <v/>
      </c>
      <c r="Q383" s="16" t="str">
        <f>IF('Data-Plot'!C383="","",MAX('Data-Plot'!$C$11:$C$1010)*(1+$Q$9/100))</f>
        <v/>
      </c>
      <c r="R383" s="16" t="str">
        <f>IF('Data-Plot'!C383="","",('Data-Plot'!C383-'Data-Plot'!D383)*$P$9)</f>
        <v/>
      </c>
      <c r="S383" s="16">
        <v>221.96628533761694</v>
      </c>
      <c r="T383" s="16">
        <v>0.10091065874298133</v>
      </c>
      <c r="U383" s="16">
        <v>6.7080639226279376E-65</v>
      </c>
      <c r="V383" s="16">
        <v>22.144310355274982</v>
      </c>
      <c r="W383" s="16">
        <v>135.56153197872362</v>
      </c>
      <c r="X383" s="16">
        <v>0.15953234487535775</v>
      </c>
    </row>
    <row r="384" spans="16:24" x14ac:dyDescent="0.3">
      <c r="P384" s="16" t="str">
        <f>IF('Data-Plot'!C384="","",$Q$11+('Data-Plot'!C384-'Data-Plot'!D384)*$P$9)</f>
        <v/>
      </c>
      <c r="Q384" s="16" t="str">
        <f>IF('Data-Plot'!C384="","",MAX('Data-Plot'!$C$11:$C$1010)*(1+$Q$9/100))</f>
        <v/>
      </c>
      <c r="R384" s="16" t="str">
        <f>IF('Data-Plot'!C384="","",('Data-Plot'!C384-'Data-Plot'!D384)*$P$9)</f>
        <v/>
      </c>
      <c r="S384" s="16">
        <v>220.75128708432641</v>
      </c>
      <c r="T384" s="16">
        <v>9.920748806889422E-2</v>
      </c>
      <c r="U384" s="16">
        <v>2.2191648038773651E-65</v>
      </c>
      <c r="V384" s="16">
        <v>21.488489597689679</v>
      </c>
      <c r="W384" s="16">
        <v>134.99372738589358</v>
      </c>
      <c r="X384" s="16">
        <v>0.16986261267427008</v>
      </c>
    </row>
    <row r="385" spans="16:24" x14ac:dyDescent="0.3">
      <c r="P385" s="16" t="str">
        <f>IF('Data-Plot'!C385="","",$Q$11+('Data-Plot'!C385-'Data-Plot'!D385)*$P$9)</f>
        <v/>
      </c>
      <c r="Q385" s="16" t="str">
        <f>IF('Data-Plot'!C385="","",MAX('Data-Plot'!$C$11:$C$1010)*(1+$Q$9/100))</f>
        <v/>
      </c>
      <c r="R385" s="16" t="str">
        <f>IF('Data-Plot'!C385="","",('Data-Plot'!C385-'Data-Plot'!D385)*$P$9)</f>
        <v/>
      </c>
      <c r="S385" s="16">
        <v>219.35212127354933</v>
      </c>
      <c r="T385" s="16">
        <v>9.7536638607388385E-2</v>
      </c>
      <c r="U385" s="16">
        <v>7.3570302086629273E-66</v>
      </c>
      <c r="V385" s="16">
        <v>20.852579554191447</v>
      </c>
      <c r="W385" s="16">
        <v>134.22117170257118</v>
      </c>
      <c r="X385" s="16">
        <v>0.18083337817932185</v>
      </c>
    </row>
    <row r="386" spans="16:24" x14ac:dyDescent="0.3">
      <c r="P386" s="16" t="str">
        <f>IF('Data-Plot'!C386="","",$Q$11+('Data-Plot'!C386-'Data-Plot'!D386)*$P$9)</f>
        <v/>
      </c>
      <c r="Q386" s="16" t="str">
        <f>IF('Data-Plot'!C386="","",MAX('Data-Plot'!$C$11:$C$1010)*(1+$Q$9/100))</f>
        <v/>
      </c>
      <c r="R386" s="16" t="str">
        <f>IF('Data-Plot'!C386="","",('Data-Plot'!C386-'Data-Plot'!D386)*$P$9)</f>
        <v/>
      </c>
      <c r="S386" s="16">
        <v>217.77008574756402</v>
      </c>
      <c r="T386" s="16">
        <v>9.5897432688236292E-2</v>
      </c>
      <c r="U386" s="16">
        <v>2.4442122552623674E-66</v>
      </c>
      <c r="V386" s="16">
        <v>20.235987296839742</v>
      </c>
      <c r="W386" s="16">
        <v>133.24571853312943</v>
      </c>
      <c r="X386" s="16">
        <v>0.19248248490661626</v>
      </c>
    </row>
    <row r="387" spans="16:24" x14ac:dyDescent="0.3">
      <c r="P387" s="16" t="str">
        <f>IF('Data-Plot'!C387="","",$Q$11+('Data-Plot'!C387-'Data-Plot'!D387)*$P$9)</f>
        <v/>
      </c>
      <c r="Q387" s="16" t="str">
        <f>IF('Data-Plot'!C387="","",MAX('Data-Plot'!$C$11:$C$1010)*(1+$Q$9/100))</f>
        <v/>
      </c>
      <c r="R387" s="16" t="str">
        <f>IF('Data-Plot'!C387="","",('Data-Plot'!C387-'Data-Plot'!D387)*$P$9)</f>
        <v/>
      </c>
      <c r="S387" s="16">
        <v>216.00765201607496</v>
      </c>
      <c r="T387" s="16">
        <v>9.428920814266134E-2</v>
      </c>
      <c r="U387" s="16">
        <v>8.1376920808168272E-67</v>
      </c>
      <c r="V387" s="16">
        <v>19.63813555230503</v>
      </c>
      <c r="W387" s="16">
        <v>132.07037736638938</v>
      </c>
      <c r="X387" s="16">
        <v>0.20484988923787617</v>
      </c>
    </row>
    <row r="388" spans="16:24" x14ac:dyDescent="0.3">
      <c r="P388" s="16" t="str">
        <f>IF('Data-Plot'!C388="","",$Q$11+('Data-Plot'!C388-'Data-Plot'!D388)*$P$9)</f>
        <v/>
      </c>
      <c r="Q388" s="16" t="str">
        <f>IF('Data-Plot'!C388="","",MAX('Data-Plot'!$C$11:$C$1010)*(1+$Q$9/100))</f>
        <v/>
      </c>
      <c r="R388" s="16" t="str">
        <f>IF('Data-Plot'!C388="","",('Data-Plot'!C388-'Data-Plot'!D388)*$P$9)</f>
        <v/>
      </c>
      <c r="S388" s="16">
        <v>214.06845263682337</v>
      </c>
      <c r="T388" s="16">
        <v>9.2711317920198835E-2</v>
      </c>
      <c r="U388" s="16">
        <v>2.715137978710721E-67</v>
      </c>
      <c r="V388" s="16">
        <v>19.058462466606439</v>
      </c>
      <c r="W388" s="16">
        <v>130.69930108236755</v>
      </c>
      <c r="X388" s="16">
        <v>0.21797776992914936</v>
      </c>
    </row>
    <row r="389" spans="16:24" x14ac:dyDescent="0.3">
      <c r="P389" s="16" t="str">
        <f>IF('Data-Plot'!C389="","",$Q$11+('Data-Plot'!C389-'Data-Plot'!D389)*$P$9)</f>
        <v/>
      </c>
      <c r="Q389" s="16" t="str">
        <f>IF('Data-Plot'!C389="","",MAX('Data-Plot'!$C$11:$C$1010)*(1+$Q$9/100))</f>
        <v/>
      </c>
      <c r="R389" s="16" t="str">
        <f>IF('Data-Plot'!C389="","",('Data-Plot'!C389-'Data-Plot'!D389)*$P$9)</f>
        <v/>
      </c>
      <c r="S389" s="16">
        <v>211.9572554506745</v>
      </c>
      <c r="T389" s="16">
        <v>9.1163129715714122E-2</v>
      </c>
      <c r="U389" s="16">
        <v>9.0784778016751081E-68</v>
      </c>
      <c r="V389" s="16">
        <v>18.496421357728885</v>
      </c>
      <c r="W389" s="16">
        <v>129.13776032057714</v>
      </c>
      <c r="X389" s="16">
        <v>0.23191064265274072</v>
      </c>
    </row>
    <row r="390" spans="16:24" x14ac:dyDescent="0.3">
      <c r="P390" s="16" t="str">
        <f>IF('Data-Plot'!C390="","",$Q$11+('Data-Plot'!C390-'Data-Plot'!D390)*$P$9)</f>
        <v/>
      </c>
      <c r="Q390" s="16" t="str">
        <f>IF('Data-Plot'!C390="","",MAX('Data-Plot'!$C$11:$C$1010)*(1+$Q$9/100))</f>
        <v/>
      </c>
      <c r="R390" s="16" t="str">
        <f>IF('Data-Plot'!C390="","",('Data-Plot'!C390-'Data-Plot'!D390)*$P$9)</f>
        <v/>
      </c>
      <c r="S390" s="16">
        <v>209.67992484426713</v>
      </c>
      <c r="T390" s="16">
        <v>8.9644025606284136E-2</v>
      </c>
      <c r="U390" s="16">
        <v>3.0420519145014114E-68</v>
      </c>
      <c r="V390" s="16">
        <v>17.951480457828218</v>
      </c>
      <c r="W390" s="16">
        <v>127.3921048810861</v>
      </c>
      <c r="X390" s="16">
        <v>0.24669547974655207</v>
      </c>
    </row>
    <row r="391" spans="16:24" x14ac:dyDescent="0.3">
      <c r="P391" s="16" t="str">
        <f>IF('Data-Plot'!C391="","",$Q$11+('Data-Plot'!C391-'Data-Plot'!D391)*$P$9)</f>
        <v/>
      </c>
      <c r="Q391" s="16" t="str">
        <f>IF('Data-Plot'!C391="","",MAX('Data-Plot'!$C$11:$C$1010)*(1+$Q$9/100))</f>
        <v/>
      </c>
      <c r="R391" s="16" t="str">
        <f>IF('Data-Plot'!C391="","",('Data-Plot'!C391-'Data-Plot'!D391)*$P$9)</f>
        <v/>
      </c>
      <c r="S391" s="16">
        <v>207.2433704590766</v>
      </c>
      <c r="T391" s="16">
        <v>8.8153401697670317E-2</v>
      </c>
      <c r="U391" s="16">
        <v>1.0215378278254775E-68</v>
      </c>
      <c r="V391" s="16">
        <v>17.423122646602433</v>
      </c>
      <c r="W391" s="16">
        <v>125.46971257543173</v>
      </c>
      <c r="X391" s="16">
        <v>0.26238183534477671</v>
      </c>
    </row>
    <row r="392" spans="16:24" x14ac:dyDescent="0.3">
      <c r="P392" s="16" t="str">
        <f>IF('Data-Plot'!C392="","",$Q$11+('Data-Plot'!C392-'Data-Plot'!D392)*$P$9)</f>
        <v/>
      </c>
      <c r="Q392" s="16" t="str">
        <f>IF('Data-Plot'!C392="","",MAX('Data-Plot'!$C$11:$C$1010)*(1+$Q$9/100))</f>
        <v/>
      </c>
      <c r="R392" s="16" t="str">
        <f>IF('Data-Plot'!C392="","",('Data-Plot'!C392-'Data-Plot'!D392)*$P$9)</f>
        <v/>
      </c>
      <c r="S392" s="16">
        <v>204.65548400652037</v>
      </c>
      <c r="T392" s="16">
        <v>8.66906677801072E-2</v>
      </c>
      <c r="U392" s="16">
        <v>3.4377805509094547E-69</v>
      </c>
      <c r="V392" s="16">
        <v>16.910845177278123</v>
      </c>
      <c r="W392" s="16">
        <v>123.37892618539927</v>
      </c>
      <c r="X392" s="16">
        <v>0.27902197606287821</v>
      </c>
    </row>
    <row r="393" spans="16:24" x14ac:dyDescent="0.3">
      <c r="P393" s="16" t="str">
        <f>IF('Data-Plot'!C393="","",$Q$11+('Data-Plot'!C393-'Data-Plot'!D393)*$P$9)</f>
        <v/>
      </c>
      <c r="Q393" s="16" t="str">
        <f>IF('Data-Plot'!C393="","",MAX('Data-Plot'!$C$11:$C$1010)*(1+$Q$9/100))</f>
        <v/>
      </c>
      <c r="R393" s="16" t="str">
        <f>IF('Data-Plot'!C393="","",('Data-Plot'!C393-'Data-Plot'!D393)*$P$9)</f>
        <v/>
      </c>
      <c r="S393" s="16">
        <v>201.9250650777812</v>
      </c>
      <c r="T393" s="16">
        <v>8.5255246993151318E-2</v>
      </c>
      <c r="U393" s="16">
        <v>1.1594156607320609E-69</v>
      </c>
      <c r="V393" s="16">
        <v>16.414159396545742</v>
      </c>
      <c r="W393" s="16">
        <v>121.1289794168347</v>
      </c>
      <c r="X393" s="16">
        <v>0.29667101740760743</v>
      </c>
    </row>
    <row r="394" spans="16:24" x14ac:dyDescent="0.3">
      <c r="P394" s="16" t="str">
        <f>IF('Data-Plot'!C394="","",$Q$11+('Data-Plot'!C394-'Data-Plot'!D394)*$P$9)</f>
        <v/>
      </c>
      <c r="Q394" s="16" t="str">
        <f>IF('Data-Plot'!C394="","",MAX('Data-Plot'!$C$11:$C$1010)*(1+$Q$9/100))</f>
        <v/>
      </c>
      <c r="R394" s="16" t="str">
        <f>IF('Data-Plot'!C394="","",('Data-Plot'!C394-'Data-Plot'!D394)*$P$9)</f>
        <v/>
      </c>
      <c r="S394" s="16">
        <v>199.06173704776577</v>
      </c>
      <c r="T394" s="16">
        <v>8.3846575499331125E-2</v>
      </c>
      <c r="U394" s="16">
        <v>3.9186707743529736E-70</v>
      </c>
      <c r="V394" s="16">
        <v>15.932590459666091</v>
      </c>
      <c r="W394" s="16">
        <v>118.72991294652091</v>
      </c>
      <c r="X394" s="16">
        <v>0.31538706607944983</v>
      </c>
    </row>
    <row r="395" spans="16:24" x14ac:dyDescent="0.3">
      <c r="P395" s="16" t="str">
        <f>IF('Data-Plot'!C395="","",$Q$11+('Data-Plot'!C395-'Data-Plot'!D395)*$P$9)</f>
        <v/>
      </c>
      <c r="Q395" s="16" t="str">
        <f>IF('Data-Plot'!C395="","",MAX('Data-Plot'!$C$11:$C$1010)*(1+$Q$9/100))</f>
        <v/>
      </c>
      <c r="R395" s="16" t="str">
        <f>IF('Data-Plot'!C395="","",('Data-Plot'!C395-'Data-Plot'!D395)*$P$9)</f>
        <v/>
      </c>
      <c r="S395" s="16">
        <v>196.07585435903476</v>
      </c>
      <c r="T395" s="16">
        <v>8.2464102166353817E-2</v>
      </c>
      <c r="U395" s="16">
        <v>1.3273276159178208E-70</v>
      </c>
      <c r="V395" s="16">
        <v>15.465677041866121</v>
      </c>
      <c r="W395" s="16">
        <v>116.19248184667201</v>
      </c>
      <c r="X395" s="16">
        <v>0.33523136833026435</v>
      </c>
    </row>
    <row r="396" spans="16:24" x14ac:dyDescent="0.3">
      <c r="P396" s="16" t="str">
        <f>IF('Data-Plot'!C396="","",$Q$11+('Data-Plot'!C396-'Data-Plot'!D396)*$P$9)</f>
        <v/>
      </c>
      <c r="Q396" s="16" t="str">
        <f>IF('Data-Plot'!C396="","",MAX('Data-Plot'!$C$11:$C$1010)*(1+$Q$9/100))</f>
        <v/>
      </c>
      <c r="R396" s="16" t="str">
        <f>IF('Data-Plot'!C396="","",('Data-Plot'!C396-'Data-Plot'!D396)*$P$9)</f>
        <v/>
      </c>
      <c r="S396" s="16">
        <v>192.97840262837531</v>
      </c>
      <c r="T396" s="16">
        <v>8.1107288257630986E-2</v>
      </c>
      <c r="U396" s="16">
        <v>4.5056577839686671E-71</v>
      </c>
      <c r="V396" s="16">
        <v>15.012971047047133</v>
      </c>
      <c r="W396" s="16">
        <v>113.52805582853803</v>
      </c>
      <c r="X396" s="16">
        <v>0.35626846453250582</v>
      </c>
    </row>
    <row r="397" spans="16:24" x14ac:dyDescent="0.3">
      <c r="P397" s="16" t="str">
        <f>IF('Data-Plot'!C397="","",$Q$11+('Data-Plot'!C397-'Data-Plot'!D397)*$P$9)</f>
        <v/>
      </c>
      <c r="Q397" s="16" t="str">
        <f>IF('Data-Plot'!C397="","",MAX('Data-Plot'!$C$11:$C$1010)*(1+$Q$9/100))</f>
        <v/>
      </c>
      <c r="R397" s="16" t="str">
        <f>IF('Data-Plot'!C397="","",('Data-Plot'!C397-'Data-Plot'!D397)*$P$9)</f>
        <v/>
      </c>
      <c r="S397" s="16">
        <v>189.7808931415733</v>
      </c>
      <c r="T397" s="16">
        <v>7.9775607130889284E-2</v>
      </c>
      <c r="U397" s="16">
        <v>1.532780037230994E-71</v>
      </c>
      <c r="V397" s="16">
        <v>14.574037314736321</v>
      </c>
      <c r="W397" s="16">
        <v>110.74851386959759</v>
      </c>
      <c r="X397" s="16">
        <v>0.37856635010850381</v>
      </c>
    </row>
    <row r="398" spans="16:24" x14ac:dyDescent="0.3">
      <c r="P398" s="16" t="str">
        <f>IF('Data-Plot'!C398="","",$Q$11+('Data-Plot'!C398-'Data-Plot'!D398)*$P$9)</f>
        <v/>
      </c>
      <c r="Q398" s="16" t="str">
        <f>IF('Data-Plot'!C398="","",MAX('Data-Plot'!$C$11:$C$1010)*(1+$Q$9/100))</f>
        <v/>
      </c>
      <c r="R398" s="16" t="str">
        <f>IF('Data-Plot'!C398="","",('Data-Plot'!C398-'Data-Plot'!D398)*$P$9)</f>
        <v/>
      </c>
      <c r="S398" s="16">
        <v>186.4952533877194</v>
      </c>
      <c r="T398" s="16">
        <v>7.8468543944641131E-2</v>
      </c>
      <c r="U398" s="16">
        <v>5.2256910475413351E-72</v>
      </c>
      <c r="V398" s="16">
        <v>14.148453326129676</v>
      </c>
      <c r="W398" s="16">
        <v>107.86613487468685</v>
      </c>
      <c r="X398" s="16">
        <v>0.40219664295822127</v>
      </c>
    </row>
    <row r="399" spans="16:24" x14ac:dyDescent="0.3">
      <c r="P399" s="16" t="str">
        <f>IF('Data-Plot'!C399="","",$Q$11+('Data-Plot'!C399-'Data-Plot'!D399)*$P$9)</f>
        <v/>
      </c>
      <c r="Q399" s="16" t="str">
        <f>IF('Data-Plot'!C399="","",MAX('Data-Plot'!$C$11:$C$1010)*(1+$Q$9/100))</f>
        <v/>
      </c>
      <c r="R399" s="16" t="str">
        <f>IF('Data-Plot'!C399="","",('Data-Plot'!C399-'Data-Plot'!D399)*$P$9)</f>
        <v/>
      </c>
      <c r="S399" s="16">
        <v>183.13371533107039</v>
      </c>
      <c r="T399" s="16">
        <v>7.7185595372298105E-2</v>
      </c>
      <c r="U399" s="16">
        <v>1.7854613540293783E-72</v>
      </c>
      <c r="V399" s="16">
        <v>13.735808909995397</v>
      </c>
      <c r="W399" s="16">
        <v>104.89348606819104</v>
      </c>
      <c r="X399" s="16">
        <v>0.4272347575116725</v>
      </c>
    </row>
    <row r="400" spans="16:24" x14ac:dyDescent="0.3">
      <c r="P400" s="16" t="str">
        <f>IF('Data-Plot'!C400="","",$Q$11+('Data-Plot'!C400-'Data-Plot'!D400)*$P$9)</f>
        <v/>
      </c>
      <c r="Q400" s="16" t="str">
        <f>IF('Data-Plot'!C400="","",MAX('Data-Plot'!$C$11:$C$1010)*(1+$Q$9/100))</f>
        <v/>
      </c>
      <c r="R400" s="16" t="str">
        <f>IF('Data-Plot'!C400="","",('Data-Plot'!C400-'Data-Plot'!D400)*$P$9)</f>
        <v/>
      </c>
      <c r="S400" s="16">
        <v>179.70870312541399</v>
      </c>
      <c r="T400" s="16">
        <v>7.5926269323713672E-2</v>
      </c>
      <c r="U400" s="16">
        <v>6.1136482806031254E-73</v>
      </c>
      <c r="V400" s="16">
        <v>13.335705949132999</v>
      </c>
      <c r="W400" s="16">
        <v>101.84331082143974</v>
      </c>
      <c r="X400" s="16">
        <v>0.45376008551752733</v>
      </c>
    </row>
    <row r="401" spans="16:24" x14ac:dyDescent="0.3">
      <c r="P401" s="16" t="str">
        <f>IF('Data-Plot'!C401="","",$Q$11+('Data-Plot'!C401-'Data-Plot'!D401)*$P$9)</f>
        <v/>
      </c>
      <c r="Q401" s="16" t="str">
        <f>IF('Data-Plot'!C401="","",MAX('Data-Plot'!$C$11:$C$1010)*(1+$Q$9/100))</f>
        <v/>
      </c>
      <c r="R401" s="16" t="str">
        <f>IF('Data-Plot'!C401="","",('Data-Plot'!C401-'Data-Plot'!D401)*$P$9)</f>
        <v/>
      </c>
      <c r="S401" s="16">
        <v>176.23272194374093</v>
      </c>
      <c r="T401" s="16">
        <v>7.4690084673951163E-2</v>
      </c>
      <c r="U401" s="16">
        <v>2.0979446925934611E-73</v>
      </c>
      <c r="V401" s="16">
        <v>12.947758088017224</v>
      </c>
      <c r="W401" s="16">
        <v>98.728417587387938</v>
      </c>
      <c r="X401" s="16">
        <v>0.4818561836618136</v>
      </c>
    </row>
    <row r="402" spans="16:24" x14ac:dyDescent="0.3">
      <c r="P402" s="16" t="str">
        <f>IF('Data-Plot'!C402="","",$Q$11+('Data-Plot'!C402-'Data-Plot'!D402)*$P$9)</f>
        <v/>
      </c>
      <c r="Q402" s="16" t="str">
        <f>IF('Data-Plot'!C402="","",MAX('Data-Plot'!$C$11:$C$1010)*(1+$Q$9/100))</f>
        <v/>
      </c>
      <c r="R402" s="16" t="str">
        <f>IF('Data-Plot'!C402="","",('Data-Plot'!C402-'Data-Plot'!D402)*$P$9)</f>
        <v/>
      </c>
      <c r="S402" s="16">
        <v>172.71824952666276</v>
      </c>
      <c r="T402" s="16">
        <v>7.3476570999075036E-2</v>
      </c>
      <c r="U402" s="16">
        <v>7.2149181529337914E-74</v>
      </c>
      <c r="V402" s="16">
        <v>12.571590442190598</v>
      </c>
      <c r="W402" s="16">
        <v>95.56157154538306</v>
      </c>
      <c r="X402" s="16">
        <v>0.51161096809002959</v>
      </c>
    </row>
    <row r="403" spans="16:24" x14ac:dyDescent="0.3">
      <c r="P403" s="16" t="str">
        <f>IF('Data-Plot'!C403="","",$Q$11+('Data-Plot'!C403-'Data-Plot'!D403)*$P$9)</f>
        <v/>
      </c>
      <c r="Q403" s="16" t="str">
        <f>IF('Data-Plot'!C403="","",MAX('Data-Plot'!$C$11:$C$1010)*(1+$Q$9/100))</f>
        <v/>
      </c>
      <c r="R403" s="16" t="str">
        <f>IF('Data-Plot'!C403="","",('Data-Plot'!C403-'Data-Plot'!D403)*$P$9)</f>
        <v/>
      </c>
      <c r="S403" s="16">
        <v>169.17763194952349</v>
      </c>
      <c r="T403" s="16">
        <v>7.2285268318772106E-2</v>
      </c>
      <c r="U403" s="16">
        <v>2.4866385279797393E-74</v>
      </c>
      <c r="V403" s="16">
        <v>12.206839309911492</v>
      </c>
      <c r="W403" s="16">
        <v>92.355390455411424</v>
      </c>
      <c r="X403" s="16">
        <v>0.54311691588179623</v>
      </c>
    </row>
    <row r="404" spans="16:24" x14ac:dyDescent="0.3">
      <c r="P404" s="16" t="str">
        <f>IF('Data-Plot'!C404="","",$Q$11+('Data-Plot'!C404-'Data-Plot'!D404)*$P$9)</f>
        <v/>
      </c>
      <c r="Q404" s="16" t="str">
        <f>IF('Data-Plot'!C404="","",MAX('Data-Plot'!$C$11:$C$1010)*(1+$Q$9/100))</f>
        <v/>
      </c>
      <c r="R404" s="16" t="str">
        <f>IF('Data-Plot'!C404="","",('Data-Plot'!C404-'Data-Plot'!D404)*$P$9)</f>
        <v/>
      </c>
      <c r="S404" s="16">
        <v>165.62298497455109</v>
      </c>
      <c r="T404" s="16">
        <v>7.1115726845617289E-2</v>
      </c>
      <c r="U404" s="16">
        <v>8.5889042473913455E-75</v>
      </c>
      <c r="V404" s="16">
        <v>11.853151886510201</v>
      </c>
      <c r="W404" s="16">
        <v>89.122246087696155</v>
      </c>
      <c r="X404" s="16">
        <v>0.5764712734990971</v>
      </c>
    </row>
    <row r="405" spans="16:24" x14ac:dyDescent="0.3">
      <c r="P405" s="16" t="str">
        <f>IF('Data-Plot'!C405="","",$Q$11+('Data-Plot'!C405-'Data-Plot'!D405)*$P$9)</f>
        <v/>
      </c>
      <c r="Q405" s="16" t="str">
        <f>IF('Data-Plot'!C405="","",MAX('Data-Plot'!$C$11:$C$1010)*(1+$Q$9/100))</f>
        <v/>
      </c>
      <c r="R405" s="16" t="str">
        <f>IF('Data-Plot'!C405="","",('Data-Plot'!C405-'Data-Plot'!D405)*$P$9)</f>
        <v/>
      </c>
      <c r="S405" s="16">
        <v>162.06610219552647</v>
      </c>
      <c r="T405" s="16">
        <v>6.996750674079559E-2</v>
      </c>
      <c r="U405" s="16">
        <v>2.9730799616552806E-75</v>
      </c>
      <c r="V405" s="16">
        <v>11.510185981853988</v>
      </c>
      <c r="W405" s="16">
        <v>85.874172434734774</v>
      </c>
      <c r="X405" s="16">
        <v>0.61177627219690778</v>
      </c>
    </row>
    <row r="406" spans="16:24" x14ac:dyDescent="0.3">
      <c r="P406" s="16" t="str">
        <f>IF('Data-Plot'!C406="","",$Q$11+('Data-Plot'!C406-'Data-Plot'!D406)*$P$9)</f>
        <v/>
      </c>
      <c r="Q406" s="16" t="str">
        <f>IF('Data-Plot'!C406="","",MAX('Data-Plot'!$C$11:$C$1010)*(1+$Q$9/100))</f>
        <v/>
      </c>
      <c r="R406" s="16" t="str">
        <f>IF('Data-Plot'!C406="","",('Data-Plot'!C406-'Data-Plot'!D406)*$P$9)</f>
        <v/>
      </c>
      <c r="S406" s="16">
        <v>158.51837100378032</v>
      </c>
      <c r="T406" s="16">
        <v>6.8840177876109257E-2</v>
      </c>
      <c r="U406" s="16">
        <v>1.0313805015161694E-75</v>
      </c>
      <c r="V406" s="16">
        <v>11.177609741278003</v>
      </c>
      <c r="W406" s="16">
        <v>82.622781734278604</v>
      </c>
      <c r="X406" s="16">
        <v>0.64913935034760206</v>
      </c>
    </row>
    <row r="407" spans="16:24" x14ac:dyDescent="0.3">
      <c r="P407" s="16" t="str">
        <f>IF('Data-Plot'!C407="","",$Q$11+('Data-Plot'!C407-'Data-Plot'!D407)*$P$9)</f>
        <v/>
      </c>
      <c r="Q407" s="16" t="str">
        <f>IF('Data-Plot'!C407="","",MAX('Data-Plot'!$C$11:$C$1010)*(1+$Q$9/100))</f>
        <v/>
      </c>
      <c r="R407" s="16" t="str">
        <f>IF('Data-Plot'!C407="","",('Data-Plot'!C407-'Data-Plot'!D407)*$P$9)</f>
        <v/>
      </c>
      <c r="S407" s="16">
        <v>154.99069721159222</v>
      </c>
      <c r="T407" s="16">
        <v>6.7733319602091988E-2</v>
      </c>
      <c r="U407" s="16">
        <v>3.5857038485082127E-76</v>
      </c>
      <c r="V407" s="16">
        <v>10.855101370293722</v>
      </c>
      <c r="W407" s="16">
        <v>79.379189139108107</v>
      </c>
      <c r="X407" s="16">
        <v>0.68867338258829391</v>
      </c>
    </row>
    <row r="408" spans="16:24" x14ac:dyDescent="0.3">
      <c r="P408" s="16" t="str">
        <f>IF('Data-Plot'!C408="","",$Q$11+('Data-Plot'!C408-'Data-Plot'!D408)*$P$9)</f>
        <v/>
      </c>
      <c r="Q408" s="16" t="str">
        <f>IF('Data-Plot'!C408="","",MAX('Data-Plot'!$C$11:$C$1010)*(1+$Q$9/100))</f>
        <v/>
      </c>
      <c r="R408" s="16" t="str">
        <f>IF('Data-Plot'!C408="","",('Data-Plot'!C408-'Data-Plot'!D408)*$P$9)</f>
        <v/>
      </c>
      <c r="S408" s="16">
        <v>151.49343896822955</v>
      </c>
      <c r="T408" s="16">
        <v>6.6646520522067196E-2</v>
      </c>
      <c r="U408" s="16">
        <v>1.2493170712273732E-76</v>
      </c>
      <c r="V408" s="16">
        <v>10.542348863348831</v>
      </c>
      <c r="W408" s="16">
        <v>76.153946668706993</v>
      </c>
      <c r="X408" s="16">
        <v>0.73049691565166897</v>
      </c>
    </row>
    <row r="409" spans="16:24" x14ac:dyDescent="0.3">
      <c r="P409" s="16" t="str">
        <f>IF('Data-Plot'!C409="","",$Q$11+('Data-Plot'!C409-'Data-Plot'!D409)*$P$9)</f>
        <v/>
      </c>
      <c r="Q409" s="16" t="str">
        <f>IF('Data-Plot'!C409="","",MAX('Data-Plot'!$C$11:$C$1010)*(1+$Q$9/100))</f>
        <v/>
      </c>
      <c r="R409" s="16" t="str">
        <f>IF('Data-Plot'!C409="","",('Data-Plot'!C409-'Data-Plot'!D409)*$P$9)</f>
        <v/>
      </c>
      <c r="S409" s="16">
        <v>148.03635040070878</v>
      </c>
      <c r="T409" s="16">
        <v>6.5579378271986927E-2</v>
      </c>
      <c r="U409" s="16">
        <v>4.3622764195328612E-77</v>
      </c>
      <c r="V409" s="16">
        <v>10.239049736875666</v>
      </c>
      <c r="W409" s="16">
        <v>72.956986874875071</v>
      </c>
      <c r="X409" s="16">
        <v>0.77473441068604831</v>
      </c>
    </row>
    <row r="410" spans="16:24" x14ac:dyDescent="0.3">
      <c r="P410" s="16" t="str">
        <f>IF('Data-Plot'!C410="","",$Q$11+('Data-Plot'!C410-'Data-Plot'!D410)*$P$9)</f>
        <v/>
      </c>
      <c r="Q410" s="16" t="str">
        <f>IF('Data-Plot'!C410="","",MAX('Data-Plot'!$C$11:$C$1010)*(1+$Q$9/100))</f>
        <v/>
      </c>
      <c r="R410" s="16" t="str">
        <f>IF('Data-Plot'!C410="","",('Data-Plot'!C410-'Data-Plot'!D410)*$P$9)</f>
        <v/>
      </c>
      <c r="S410" s="16">
        <v>144.6285352113739</v>
      </c>
      <c r="T410" s="16">
        <v>6.4531499305890944E-2</v>
      </c>
      <c r="U410" s="16">
        <v>1.5264948620919941E-77</v>
      </c>
      <c r="V410" s="16">
        <v>9.9449107668310823</v>
      </c>
      <c r="W410" s="16">
        <v>69.797576453428547</v>
      </c>
      <c r="X410" s="16">
        <v>0.8215164918083947</v>
      </c>
    </row>
    <row r="411" spans="16:24" x14ac:dyDescent="0.3">
      <c r="P411" s="16" t="str">
        <f>IF('Data-Plot'!C411="","",$Q$11+('Data-Plot'!C411-'Data-Plot'!D411)*$P$9)</f>
        <v/>
      </c>
      <c r="Q411" s="16" t="str">
        <f>IF('Data-Plot'!C411="","",MAX('Data-Plot'!$C$11:$C$1010)*(1+$Q$9/100))</f>
        <v/>
      </c>
      <c r="R411" s="16" t="str">
        <f>IF('Data-Plot'!C411="","",('Data-Plot'!C411-'Data-Plot'!D411)*$P$9)</f>
        <v/>
      </c>
      <c r="S411" s="16">
        <v>141.27841027264188</v>
      </c>
      <c r="T411" s="16">
        <v>6.3502498686837688E-2</v>
      </c>
      <c r="U411" s="16">
        <v>5.3532619638765475E-78</v>
      </c>
      <c r="V411" s="16">
        <v>9.6596477309015789</v>
      </c>
      <c r="W411" s="16">
        <v>66.684279842489559</v>
      </c>
      <c r="X411" s="16">
        <v>0.87098020056390568</v>
      </c>
    </row>
    <row r="412" spans="16:24" x14ac:dyDescent="0.3">
      <c r="P412" s="16" t="str">
        <f>IF('Data-Plot'!C412="","",$Q$11+('Data-Plot'!C412-'Data-Plot'!D412)*$P$9)</f>
        <v/>
      </c>
      <c r="Q412" s="16" t="str">
        <f>IF('Data-Plot'!C412="","",MAX('Data-Plot'!$C$11:$C$1010)*(1+$Q$9/100))</f>
        <v/>
      </c>
      <c r="R412" s="16" t="str">
        <f>IF('Data-Plot'!C412="","",('Data-Plot'!C412-'Data-Plot'!D412)*$P$9)</f>
        <v/>
      </c>
      <c r="S412" s="16">
        <v>137.99367908007753</v>
      </c>
      <c r="T412" s="16">
        <v>6.2491999883154827E-2</v>
      </c>
      <c r="U412" s="16">
        <v>1.8814031933773701E-78</v>
      </c>
      <c r="V412" s="16">
        <v>9.3829851555176376</v>
      </c>
      <c r="W412" s="16">
        <v>63.624932668789427</v>
      </c>
      <c r="X412" s="16">
        <v>0.92326925588729192</v>
      </c>
    </row>
    <row r="413" spans="16:24" x14ac:dyDescent="0.3">
      <c r="P413" s="16" t="str">
        <f>IF('Data-Plot'!C413="","",$Q$11+('Data-Plot'!C413-'Data-Plot'!D413)*$P$9)</f>
        <v/>
      </c>
      <c r="Q413" s="16" t="str">
        <f>IF('Data-Plot'!C413="","",MAX('Data-Plot'!$C$11:$C$1010)*(1+$Q$9/100))</f>
        <v/>
      </c>
      <c r="R413" s="16" t="str">
        <f>IF('Data-Plot'!C413="","",('Data-Plot'!C413-'Data-Plot'!D413)*$P$9)</f>
        <v/>
      </c>
      <c r="S413" s="16">
        <v>134.78131476206255</v>
      </c>
      <c r="T413" s="16">
        <v>6.1499634569864535E-2</v>
      </c>
      <c r="U413" s="16">
        <v>6.6265069841741869E-79</v>
      </c>
      <c r="V413" s="16">
        <v>9.1146560677964192</v>
      </c>
      <c r="W413" s="16">
        <v>60.626624740623534</v>
      </c>
      <c r="X413" s="16">
        <v>0.97853431907273258</v>
      </c>
    </row>
    <row r="414" spans="16:24" x14ac:dyDescent="0.3">
      <c r="P414" s="16" t="str">
        <f>IF('Data-Plot'!C414="","",$Q$11+('Data-Plot'!C414-'Data-Plot'!D414)*$P$9)</f>
        <v/>
      </c>
      <c r="Q414" s="16" t="str">
        <f>IF('Data-Plot'!C414="","",MAX('Data-Plot'!$C$11:$C$1010)*(1+$Q$9/100))</f>
        <v/>
      </c>
      <c r="R414" s="16" t="str">
        <f>IF('Data-Plot'!C414="","",('Data-Plot'!C414-'Data-Plot'!D414)*$P$9)</f>
        <v/>
      </c>
      <c r="S414" s="16">
        <v>131.64755220053522</v>
      </c>
      <c r="T414" s="16">
        <v>6.0525042435149369E-2</v>
      </c>
      <c r="U414" s="16">
        <v>2.3389769650526234E-79</v>
      </c>
      <c r="V414" s="16">
        <v>8.854401752509288</v>
      </c>
      <c r="W414" s="16">
        <v>57.695692142430389</v>
      </c>
      <c r="X414" s="16">
        <v>1.0369332631603896</v>
      </c>
    </row>
    <row r="415" spans="16:24" x14ac:dyDescent="0.3">
      <c r="P415" s="16" t="str">
        <f>IF('Data-Plot'!C415="","",$Q$11+('Data-Plot'!C415-'Data-Plot'!D415)*$P$9)</f>
        <v/>
      </c>
      <c r="Q415" s="16" t="str">
        <f>IF('Data-Plot'!C415="","",MAX('Data-Plot'!$C$11:$C$1010)*(1+$Q$9/100))</f>
        <v/>
      </c>
      <c r="R415" s="16" t="str">
        <f>IF('Data-Plot'!C415="","",('Data-Plot'!C415-'Data-Plot'!D415)*$P$9)</f>
        <v/>
      </c>
      <c r="S415" s="16">
        <v>128.59788869459459</v>
      </c>
      <c r="T415" s="16">
        <v>5.9567870991710889E-2</v>
      </c>
      <c r="U415" s="16">
        <v>8.2737950782582001E-80</v>
      </c>
      <c r="V415" s="16">
        <v>8.6019715141460615</v>
      </c>
      <c r="W415" s="16">
        <v>54.837717863418455</v>
      </c>
      <c r="X415" s="16">
        <v>1.0986314460383548</v>
      </c>
    </row>
    <row r="416" spans="16:24" x14ac:dyDescent="0.3">
      <c r="P416" s="16" t="str">
        <f>IF('Data-Plot'!C416="","",$Q$11+('Data-Plot'!C416-'Data-Plot'!D416)*$P$9)</f>
        <v/>
      </c>
      <c r="Q416" s="16" t="str">
        <f>IF('Data-Plot'!C416="","",MAX('Data-Plot'!$C$11:$C$1010)*(1+$Q$9/100))</f>
        <v/>
      </c>
      <c r="R416" s="16" t="str">
        <f>IF('Data-Plot'!C416="","",('Data-Plot'!C416-'Data-Plot'!D416)*$P$9)</f>
        <v/>
      </c>
      <c r="S416" s="16">
        <v>125.63709249852946</v>
      </c>
      <c r="T416" s="16">
        <v>5.862777539290262E-2</v>
      </c>
      <c r="U416" s="16">
        <v>2.9330540694057785E-80</v>
      </c>
      <c r="V416" s="16">
        <v>8.3571224441329797</v>
      </c>
      <c r="W416" s="16">
        <v>52.057540292568497</v>
      </c>
      <c r="X416" s="16">
        <v>1.1638019864350739</v>
      </c>
    </row>
    <row r="417" spans="16:24" x14ac:dyDescent="0.3">
      <c r="P417" s="16" t="str">
        <f>IF('Data-Plot'!C417="","",$Q$11+('Data-Plot'!C417-'Data-Plot'!D417)*$P$9)</f>
        <v/>
      </c>
      <c r="Q417" s="16" t="str">
        <f>IF('Data-Plot'!C417="","",MAX('Data-Plot'!$C$11:$C$1010)*(1+$Q$9/100))</f>
        <v/>
      </c>
      <c r="R417" s="16" t="str">
        <f>IF('Data-Plot'!C417="","",('Data-Plot'!C417-'Data-Plot'!D417)*$P$9)</f>
        <v/>
      </c>
      <c r="S417" s="16">
        <v>122.76921848827513</v>
      </c>
      <c r="T417" s="16">
        <v>5.7704418253498035E-2</v>
      </c>
      <c r="U417" s="16">
        <v>1.0420073193553448E-80</v>
      </c>
      <c r="V417" s="16">
        <v>8.1196191932391368</v>
      </c>
      <c r="W417" s="16">
        <v>49.359268834940167</v>
      </c>
      <c r="X417" s="16">
        <v>1.2326260418423181</v>
      </c>
    </row>
    <row r="418" spans="16:24" x14ac:dyDescent="0.3">
      <c r="P418" s="16" t="str">
        <f>IF('Data-Plot'!C418="","",$Q$11+('Data-Plot'!C418-'Data-Plot'!D418)*$P$9)</f>
        <v/>
      </c>
      <c r="Q418" s="16" t="str">
        <f>IF('Data-Plot'!C418="","",MAX('Data-Plot'!$C$11:$C$1010)*(1+$Q$9/100))</f>
        <v/>
      </c>
      <c r="R418" s="16" t="str">
        <f>IF('Data-Plot'!C418="","",('Data-Plot'!C418-'Data-Plot'!D418)*$P$9)</f>
        <v/>
      </c>
      <c r="S418" s="16">
        <v>119.99763015534892</v>
      </c>
      <c r="T418" s="16">
        <v>5.6797469474972807E-2</v>
      </c>
      <c r="U418" s="16">
        <v>3.7098444368724639E-81</v>
      </c>
      <c r="V418" s="16">
        <v>7.889233749192571</v>
      </c>
      <c r="W418" s="16">
        <v>46.746305849424154</v>
      </c>
      <c r="X418" s="16">
        <v>1.305293087257215</v>
      </c>
    </row>
    <row r="419" spans="16:24" x14ac:dyDescent="0.3">
      <c r="P419" s="16" t="str">
        <f>IF('Data-Plot'!C419="","",$Q$11+('Data-Plot'!C419-'Data-Plot'!D419)*$P$9)</f>
        <v/>
      </c>
      <c r="Q419" s="16" t="str">
        <f>IF('Data-Plot'!C419="","",MAX('Data-Plot'!$C$11:$C$1010)*(1+$Q$9/100))</f>
        <v/>
      </c>
      <c r="R419" s="16" t="str">
        <f>IF('Data-Plot'!C419="","",('Data-Plot'!C419-'Data-Plot'!D419)*$P$9)</f>
        <v/>
      </c>
      <c r="S419" s="16">
        <v>117.32502709392489</v>
      </c>
      <c r="T419" s="16">
        <v>5.5906606075182275E-2</v>
      </c>
      <c r="U419" s="16">
        <v>1.3236514367263999E-81</v>
      </c>
      <c r="V419" s="16">
        <v>7.6657452195129059</v>
      </c>
      <c r="W419" s="16">
        <v>44.221374074871882</v>
      </c>
      <c r="X419" s="16">
        <v>1.382001193464913</v>
      </c>
    </row>
    <row r="420" spans="16:24" x14ac:dyDescent="0.3">
      <c r="P420" s="16" t="str">
        <f>IF('Data-Plot'!C420="","",$Q$11+('Data-Plot'!C420-'Data-Plot'!D420)*$P$9)</f>
        <v/>
      </c>
      <c r="Q420" s="16" t="str">
        <f>IF('Data-Plot'!C420="","",MAX('Data-Plot'!$C$11:$C$1010)*(1+$Q$9/100))</f>
        <v/>
      </c>
      <c r="R420" s="16" t="str">
        <f>IF('Data-Plot'!C420="","",('Data-Plot'!C420-'Data-Plot'!D420)*$P$9)</f>
        <v/>
      </c>
      <c r="S420" s="16">
        <v>114.75347713346586</v>
      </c>
      <c r="T420" s="16">
        <v>5.503151202231063E-2</v>
      </c>
      <c r="U420" s="16">
        <v>4.7328561068677806E-82</v>
      </c>
      <c r="V420" s="16">
        <v>7.4489396195514539</v>
      </c>
      <c r="W420" s="16">
        <v>41.786548698492567</v>
      </c>
      <c r="X420" s="16">
        <v>1.4629573033995296</v>
      </c>
    </row>
    <row r="421" spans="16:24" x14ac:dyDescent="0.3">
      <c r="P421" s="16" t="str">
        <f>IF('Data-Plot'!C421="","",$Q$11+('Data-Plot'!C421-'Data-Plot'!D421)*$P$9)</f>
        <v/>
      </c>
      <c r="Q421" s="16" t="str">
        <f>IF('Data-Plot'!C421="","",MAX('Data-Plot'!$C$11:$C$1010)*(1+$Q$9/100))</f>
        <v/>
      </c>
      <c r="R421" s="16" t="str">
        <f>IF('Data-Plot'!C421="","",('Data-Plot'!C421-'Data-Plot'!D421)*$P$9)</f>
        <v/>
      </c>
      <c r="S421" s="16">
        <v>112.28445227448607</v>
      </c>
      <c r="T421" s="16">
        <v>5.4171878072983015E-2</v>
      </c>
      <c r="U421" s="16">
        <v>1.6959121948969803E-82</v>
      </c>
      <c r="V421" s="16">
        <v>7.2386096657220662</v>
      </c>
      <c r="W421" s="16">
        <v>39.443293225774156</v>
      </c>
      <c r="X421" s="16">
        <v>1.5483775049168722</v>
      </c>
    </row>
    <row r="422" spans="16:24" x14ac:dyDescent="0.3">
      <c r="P422" s="16" t="str">
        <f>IF('Data-Plot'!C422="","",$Q$11+('Data-Plot'!C422-'Data-Plot'!D422)*$P$9)</f>
        <v/>
      </c>
      <c r="Q422" s="16" t="str">
        <f>IF('Data-Plot'!C422="","",MAX('Data-Plot'!$C$11:$C$1010)*(1+$Q$9/100))</f>
        <v/>
      </c>
      <c r="R422" s="16" t="str">
        <f>IF('Data-Plot'!C422="","",('Data-Plot'!C422-'Data-Plot'!D422)*$P$9)</f>
        <v/>
      </c>
      <c r="S422" s="16">
        <v>109.91886760624962</v>
      </c>
      <c r="T422" s="16">
        <v>5.3327401614426582E-2</v>
      </c>
      <c r="U422" s="16">
        <v>6.0899319311275118E-83</v>
      </c>
      <c r="V422" s="16">
        <v>7.0345545738913762</v>
      </c>
      <c r="W422" s="16">
        <v>37.192498332654196</v>
      </c>
      <c r="X422" s="16">
        <v>1.6384872980896195</v>
      </c>
    </row>
    <row r="423" spans="16:24" x14ac:dyDescent="0.3">
      <c r="P423" s="16" t="str">
        <f>IF('Data-Plot'!C423="","",$Q$11+('Data-Plot'!C423-'Data-Plot'!D423)*$P$9)</f>
        <v/>
      </c>
      <c r="Q423" s="16" t="str">
        <f>IF('Data-Plot'!C423="","",MAX('Data-Plot'!$C$11:$C$1010)*(1+$Q$9/100))</f>
        <v/>
      </c>
      <c r="R423" s="16" t="str">
        <f>IF('Data-Plot'!C423="","",('Data-Plot'!C423-'Data-Plot'!D423)*$P$9)</f>
        <v/>
      </c>
      <c r="S423" s="16">
        <v>107.65712242033703</v>
      </c>
      <c r="T423" s="16">
        <v>5.2497786510570937E-2</v>
      </c>
      <c r="U423" s="16">
        <v>2.1915384439178992E-83</v>
      </c>
      <c r="V423" s="16">
        <v>6.8365798628900567</v>
      </c>
      <c r="W423" s="16">
        <v>35.034522916046583</v>
      </c>
      <c r="X423" s="16">
        <v>1.7335218548898239</v>
      </c>
    </row>
    <row r="424" spans="16:24" x14ac:dyDescent="0.3">
      <c r="P424" s="16" t="str">
        <f>IF('Data-Plot'!C424="","",$Q$11+('Data-Plot'!C424-'Data-Plot'!D424)*$P$9)</f>
        <v/>
      </c>
      <c r="Q424" s="16" t="str">
        <f>IF('Data-Plot'!C424="","",MAX('Data-Plot'!$C$11:$C$1010)*(1+$Q$9/100))</f>
        <v/>
      </c>
      <c r="R424" s="16" t="str">
        <f>IF('Data-Plot'!C424="","",('Data-Plot'!C424-'Data-Plot'!D424)*$P$9)</f>
        <v/>
      </c>
      <c r="S424" s="16">
        <v>105.49914278048448</v>
      </c>
      <c r="T424" s="16">
        <v>5.1682742951988506E-2</v>
      </c>
      <c r="U424" s="16">
        <v>7.903361506159088E-84</v>
      </c>
      <c r="V424" s="16">
        <v>6.6444971630982046</v>
      </c>
      <c r="W424" s="16">
        <v>32.969236605580427</v>
      </c>
      <c r="X424" s="16">
        <v>1.8337262688538576</v>
      </c>
    </row>
    <row r="425" spans="16:24" x14ac:dyDescent="0.3">
      <c r="P425" s="16" t="str">
        <f>IF('Data-Plot'!C425="","",$Q$11+('Data-Plot'!C425-'Data-Plot'!D425)*$P$9)</f>
        <v/>
      </c>
      <c r="Q425" s="16" t="str">
        <f>IF('Data-Plot'!C425="","",MAX('Data-Plot'!$C$11:$C$1010)*(1+$Q$9/100))</f>
        <v/>
      </c>
      <c r="R425" s="16" t="str">
        <f>IF('Data-Plot'!C425="","",('Data-Plot'!C425-'Data-Plot'!D425)*$P$9)</f>
        <v/>
      </c>
      <c r="S425" s="16">
        <v>103.44442486447208</v>
      </c>
      <c r="T425" s="16">
        <v>5.0881987309563961E-2</v>
      </c>
      <c r="U425" s="16">
        <v>2.8562694455522315E-84</v>
      </c>
      <c r="V425" s="16">
        <v>6.4581240300480287</v>
      </c>
      <c r="W425" s="16">
        <v>30.996063055082363</v>
      </c>
      <c r="X425" s="16">
        <v>1.9393557920321274</v>
      </c>
    </row>
    <row r="426" spans="16:24" x14ac:dyDescent="0.3">
      <c r="P426" s="16" t="str">
        <f>IF('Data-Plot'!C426="","",$Q$11+('Data-Plot'!C426-'Data-Plot'!D426)*$P$9)</f>
        <v/>
      </c>
      <c r="Q426" s="16" t="str">
        <f>IF('Data-Plot'!C426="","",MAX('Data-Plot'!$C$11:$C$1010)*(1+$Q$9/100))</f>
        <v/>
      </c>
      <c r="R426" s="16" t="str">
        <f>IF('Data-Plot'!C426="","",('Data-Plot'!C426-'Data-Plot'!D426)*$P$9)</f>
        <v/>
      </c>
      <c r="S426" s="16">
        <v>101.4920784558219</v>
      </c>
      <c r="T426" s="16">
        <v>5.0095241991804089E-2</v>
      </c>
      <c r="U426" s="16">
        <v>1.0344500004553316E-84</v>
      </c>
      <c r="V426" s="16">
        <v>6.2772837629844931</v>
      </c>
      <c r="W426" s="16">
        <v>29.114023394642906</v>
      </c>
      <c r="X426" s="16">
        <v>2.0506760562026858</v>
      </c>
    </row>
    <row r="427" spans="16:24" x14ac:dyDescent="0.3">
      <c r="P427" s="16" t="str">
        <f>IF('Data-Plot'!C427="","",$Q$11+('Data-Plot'!C427-'Data-Plot'!D427)*$P$9)</f>
        <v/>
      </c>
      <c r="Q427" s="16" t="str">
        <f>IF('Data-Plot'!C427="","",MAX('Data-Plot'!$C$11:$C$1010)*(1+$Q$9/100))</f>
        <v/>
      </c>
      <c r="R427" s="16" t="str">
        <f>IF('Data-Plot'!C427="","",('Data-Plot'!C427-'Data-Plot'!D427)*$P$9)</f>
        <v/>
      </c>
      <c r="S427" s="16">
        <v>99.640870029273799</v>
      </c>
      <c r="T427" s="16">
        <v>4.9322235305682444E-2</v>
      </c>
      <c r="U427" s="16">
        <v>3.7544059236965524E-85</v>
      </c>
      <c r="V427" s="16">
        <v>6.1018052283146087</v>
      </c>
      <c r="W427" s="16">
        <v>27.321779290674122</v>
      </c>
      <c r="X427" s="16">
        <v>2.1679632749793889</v>
      </c>
    </row>
    <row r="428" spans="16:24" x14ac:dyDescent="0.3">
      <c r="P428" s="16" t="str">
        <f>IF('Data-Plot'!C428="","",$Q$11+('Data-Plot'!C428-'Data-Plot'!D428)*$P$9)</f>
        <v/>
      </c>
      <c r="Q428" s="16" t="str">
        <f>IF('Data-Plot'!C428="","",MAX('Data-Plot'!$C$11:$C$1010)*(1+$Q$9/100))</f>
        <v/>
      </c>
      <c r="R428" s="16" t="str">
        <f>IF('Data-Plot'!C428="","",('Data-Plot'!C428-'Data-Plot'!D428)*$P$9)</f>
        <v/>
      </c>
      <c r="S428" s="16">
        <v>97.889264942535902</v>
      </c>
      <c r="T428" s="16">
        <v>4.856270132093015E-2</v>
      </c>
      <c r="U428" s="16">
        <v>1.3655030996825557E-85</v>
      </c>
      <c r="V428" s="16">
        <v>5.9315226878737608</v>
      </c>
      <c r="W428" s="16">
        <v>25.617675130276826</v>
      </c>
      <c r="X428" s="16">
        <v>2.2915044230643979</v>
      </c>
    </row>
    <row r="429" spans="16:24" x14ac:dyDescent="0.3">
      <c r="P429" s="16" t="str">
        <f>IF('Data-Plot'!C429="","",$Q$11+('Data-Plot'!C429-'Data-Plot'!D429)*$P$9)</f>
        <v/>
      </c>
      <c r="Q429" s="16" t="str">
        <f>IF('Data-Plot'!C429="","",MAX('Data-Plot'!$C$11:$C$1010)*(1+$Q$9/100))</f>
        <v/>
      </c>
      <c r="R429" s="16" t="str">
        <f>IF('Data-Plot'!C429="","",('Data-Plot'!C429-'Data-Plot'!D429)*$P$9)</f>
        <v/>
      </c>
      <c r="S429" s="16">
        <v>96.235468315724049</v>
      </c>
      <c r="T429" s="16">
        <v>4.7816379737682747E-2</v>
      </c>
      <c r="U429" s="16">
        <v>4.9769377321973257E-86</v>
      </c>
      <c r="V429" s="16">
        <v>5.7662756319324666</v>
      </c>
      <c r="W429" s="16">
        <v>23.999778915572509</v>
      </c>
      <c r="X429" s="16">
        <v>2.4215973884813851</v>
      </c>
    </row>
    <row r="430" spans="16:24" x14ac:dyDescent="0.3">
      <c r="P430" s="16" t="str">
        <f>IF('Data-Plot'!C430="","",$Q$11+('Data-Plot'!C430-'Data-Plot'!D430)*$P$9)</f>
        <v/>
      </c>
      <c r="Q430" s="16" t="str">
        <f>IF('Data-Plot'!C430="","",MAX('Data-Plot'!$C$11:$C$1010)*(1+$Q$9/100))</f>
        <v/>
      </c>
      <c r="R430" s="16" t="str">
        <f>IF('Data-Plot'!C430="","",('Data-Plot'!C430-'Data-Plot'!D430)*$P$9)</f>
        <v/>
      </c>
      <c r="S430" s="16">
        <v>94.677464247650789</v>
      </c>
      <c r="T430" s="16">
        <v>4.7083015757388061E-2</v>
      </c>
      <c r="U430" s="16">
        <v>1.8178081753138309E-86</v>
      </c>
      <c r="V430" s="16">
        <v>5.6059086168618242</v>
      </c>
      <c r="W430" s="16">
        <v>22.465921521850255</v>
      </c>
      <c r="X430" s="16">
        <v>2.5585510931813156</v>
      </c>
    </row>
    <row r="431" spans="16:24" x14ac:dyDescent="0.3">
      <c r="P431" s="16" t="str">
        <f>IF('Data-Plot'!C431="","",$Q$11+('Data-Plot'!C431-'Data-Plot'!D431)*$P$9)</f>
        <v/>
      </c>
      <c r="Q431" s="16" t="str">
        <f>IF('Data-Plot'!C431="","",MAX('Data-Plot'!$C$11:$C$1010)*(1+$Q$9/100))</f>
        <v/>
      </c>
      <c r="R431" s="16" t="str">
        <f>IF('Data-Plot'!C431="","",('Data-Plot'!C431-'Data-Plot'!D431)*$P$9)</f>
        <v/>
      </c>
      <c r="S431" s="16">
        <v>93.213053083420888</v>
      </c>
      <c r="T431" s="16">
        <v>4.6362359956898615E-2</v>
      </c>
      <c r="U431" s="16">
        <v>6.653474030629103E-87</v>
      </c>
      <c r="V431" s="16">
        <v>5.4502711073753529</v>
      </c>
      <c r="W431" s="16">
        <v>21.013734039160532</v>
      </c>
      <c r="X431" s="16">
        <v>2.7026855769281046</v>
      </c>
    </row>
    <row r="432" spans="16:24" x14ac:dyDescent="0.3">
      <c r="P432" s="16" t="str">
        <f>IF('Data-Plot'!C432="","",$Q$11+('Data-Plot'!C432-'Data-Plot'!D432)*$P$9)</f>
        <v/>
      </c>
      <c r="Q432" s="16" t="str">
        <f>IF('Data-Plot'!C432="","",MAX('Data-Plot'!$C$11:$C$1010)*(1+$Q$9/100))</f>
        <v/>
      </c>
      <c r="R432" s="16" t="str">
        <f>IF('Data-Plot'!C432="","",('Data-Plot'!C432-'Data-Plot'!D432)*$P$9)</f>
        <v/>
      </c>
      <c r="S432" s="16">
        <v>91.839886509461863</v>
      </c>
      <c r="T432" s="16">
        <v>4.5654168165656629E-2</v>
      </c>
      <c r="U432" s="16">
        <v>2.4404035964396107E-87</v>
      </c>
      <c r="V432" s="16">
        <v>5.2992173232596897</v>
      </c>
      <c r="W432" s="16">
        <v>19.640682979181889</v>
      </c>
      <c r="X432" s="16">
        <v>2.8543320388546287</v>
      </c>
    </row>
    <row r="433" spans="16:24" x14ac:dyDescent="0.3">
      <c r="P433" s="16" t="str">
        <f>IF('Data-Plot'!C433="","",$Q$11+('Data-Plot'!C433-'Data-Plot'!D433)*$P$9)</f>
        <v/>
      </c>
      <c r="Q433" s="16" t="str">
        <f>IF('Data-Plot'!C433="","",MAX('Data-Plot'!$C$11:$C$1010)*(1+$Q$9/100))</f>
        <v/>
      </c>
      <c r="R433" s="16" t="str">
        <f>IF('Data-Plot'!C433="","",('Data-Plot'!C433-'Data-Plot'!D433)*$P$9)</f>
        <v/>
      </c>
      <c r="S433" s="16">
        <v>90.555500309448689</v>
      </c>
      <c r="T433" s="16">
        <v>4.4958201345894684E-2</v>
      </c>
      <c r="U433" s="16">
        <v>8.9698627751567641E-88</v>
      </c>
      <c r="V433" s="16">
        <v>5.1526060905059055</v>
      </c>
      <c r="W433" s="16">
        <v>18.344103187075124</v>
      </c>
      <c r="X433" s="16">
        <v>3.0138328305217792</v>
      </c>
    </row>
    <row r="434" spans="16:24" x14ac:dyDescent="0.3">
      <c r="P434" s="16" t="str">
        <f>IF('Data-Plot'!C434="","",$Q$11+('Data-Plot'!C434-'Data-Plot'!D434)*$P$9)</f>
        <v/>
      </c>
      <c r="Q434" s="16" t="str">
        <f>IF('Data-Plot'!C434="","",MAX('Data-Plot'!$C$11:$C$1010)*(1+$Q$9/100))</f>
        <v/>
      </c>
      <c r="R434" s="16" t="str">
        <f>IF('Data-Plot'!C434="","",('Data-Plot'!C434-'Data-Plot'!D434)*$P$9)</f>
        <v/>
      </c>
      <c r="S434" s="16">
        <v>89.357344666899493</v>
      </c>
      <c r="T434" s="16">
        <v>4.427422547577349E-2</v>
      </c>
      <c r="U434" s="16">
        <v>3.3038402544133942E-88</v>
      </c>
      <c r="V434" s="16">
        <v>5.0103006967516182</v>
      </c>
      <c r="W434" s="16">
        <v>17.12122835095694</v>
      </c>
      <c r="X434" s="16">
        <v>3.1815413937151584</v>
      </c>
    </row>
    <row r="435" spans="16:24" x14ac:dyDescent="0.3">
      <c r="P435" s="16" t="str">
        <f>IF('Data-Plot'!C435="","",$Q$11+('Data-Plot'!C435-'Data-Plot'!D435)*$P$9)</f>
        <v/>
      </c>
      <c r="Q435" s="16" t="str">
        <f>IF('Data-Plot'!C435="","",MAX('Data-Plot'!$C$11:$C$1010)*(1+$Q$9/100))</f>
        <v/>
      </c>
      <c r="R435" s="16" t="str">
        <f>IF('Data-Plot'!C435="","",('Data-Plot'!C435-'Data-Plot'!D435)*$P$9)</f>
        <v/>
      </c>
      <c r="S435" s="16">
        <v>88.242811947161499</v>
      </c>
      <c r="T435" s="16">
        <v>4.3602011435375315E-2</v>
      </c>
      <c r="U435" s="16">
        <v>1.2194373636737745E-88</v>
      </c>
      <c r="V435" s="16">
        <v>4.8721687509411273</v>
      </c>
      <c r="W435" s="16">
        <v>15.96921904920459</v>
      </c>
      <c r="X435" s="16">
        <v>3.3578221355804079</v>
      </c>
    </row>
    <row r="436" spans="16:24" x14ac:dyDescent="0.3">
      <c r="P436" s="16" t="str">
        <f>IF('Data-Plot'!C436="","",$Q$11+('Data-Plot'!C436-'Data-Plot'!D436)*$P$9)</f>
        <v/>
      </c>
      <c r="Q436" s="16" t="str">
        <f>IF('Data-Plot'!C436="","",MAX('Data-Plot'!$C$11:$C$1010)*(1+$Q$9/100))</f>
        <v/>
      </c>
      <c r="R436" s="16" t="str">
        <f>IF('Data-Plot'!C436="","",('Data-Plot'!C436-'Data-Plot'!D436)*$P$9)</f>
        <v/>
      </c>
      <c r="S436" s="16">
        <v>87.20926193291541</v>
      </c>
      <c r="T436" s="16">
        <v>4.2941334895485864E-2</v>
      </c>
      <c r="U436" s="16">
        <v>4.5102982511786883E-89</v>
      </c>
      <c r="V436" s="16">
        <v>4.7380820471123757</v>
      </c>
      <c r="W436" s="16">
        <v>14.885188317890787</v>
      </c>
      <c r="X436" s="16">
        <v>3.5430502330167517</v>
      </c>
    </row>
    <row r="437" spans="16:24" x14ac:dyDescent="0.3">
      <c r="P437" s="16" t="str">
        <f>IF('Data-Plot'!C437="","",$Q$11+('Data-Plot'!C437-'Data-Plot'!D437)*$P$9)</f>
        <v/>
      </c>
      <c r="Q437" s="16" t="str">
        <f>IF('Data-Plot'!C437="","",MAX('Data-Plot'!$C$11:$C$1010)*(1+$Q$9/100))</f>
        <v/>
      </c>
      <c r="R437" s="16" t="str">
        <f>IF('Data-Plot'!C437="","",('Data-Plot'!C437-'Data-Plot'!D437)*$P$9)</f>
        <v/>
      </c>
      <c r="S437" s="16">
        <v>86.254044523098258</v>
      </c>
      <c r="T437" s="16">
        <v>4.2291976209083815E-2</v>
      </c>
      <c r="U437" s="16">
        <v>1.671684806752553E-89</v>
      </c>
      <c r="V437" s="16">
        <v>4.6079164322162836</v>
      </c>
      <c r="W437" s="16">
        <v>13.866224757138438</v>
      </c>
      <c r="X437" s="16">
        <v>3.7376113575344436</v>
      </c>
    </row>
    <row r="438" spans="16:24" x14ac:dyDescent="0.3">
      <c r="P438" s="16" t="str">
        <f>IF('Data-Plot'!C438="","",$Q$11+('Data-Plot'!C438-'Data-Plot'!D438)*$P$9)</f>
        <v/>
      </c>
      <c r="Q438" s="16" t="str">
        <f>IF('Data-Plot'!C438="","",MAX('Data-Plot'!$C$11:$C$1010)*(1+$Q$9/100))</f>
        <v/>
      </c>
      <c r="R438" s="16" t="str">
        <f>IF('Data-Plot'!C438="","",('Data-Plot'!C438-'Data-Plot'!D438)*$P$9)</f>
        <v/>
      </c>
      <c r="S438" s="16">
        <v>85.374519935458736</v>
      </c>
      <c r="T438" s="16">
        <v>4.1653720305474297E-2</v>
      </c>
      <c r="U438" s="16">
        <v>6.2087609573689595E-90</v>
      </c>
      <c r="V438" s="16">
        <v>4.481551677875391</v>
      </c>
      <c r="W438" s="16">
        <v>12.909413226256197</v>
      </c>
      <c r="X438" s="16">
        <v>3.9419013110216712</v>
      </c>
    </row>
    <row r="439" spans="16:24" x14ac:dyDescent="0.3">
      <c r="P439" s="16" t="str">
        <f>IF('Data-Plot'!C439="","",$Q$11+('Data-Plot'!C439-'Data-Plot'!D439)*$P$9)</f>
        <v/>
      </c>
      <c r="Q439" s="16" t="str">
        <f>IF('Data-Plot'!C439="","",MAX('Data-Plot'!$C$11:$C$1010)*(1+$Q$9/100))</f>
        <v/>
      </c>
      <c r="R439" s="16" t="str">
        <f>IF('Data-Plot'!C439="","",('Data-Plot'!C439-'Data-Plot'!D439)*$P$9)</f>
        <v/>
      </c>
      <c r="S439" s="16">
        <v>84.568076477981307</v>
      </c>
      <c r="T439" s="16">
        <v>4.1026356586993981E-2</v>
      </c>
      <c r="U439" s="16">
        <v>2.3107603645171288E-90</v>
      </c>
      <c r="V439" s="16">
        <v>4.3588713559884251</v>
      </c>
      <c r="W439" s="16">
        <v>12.011853203334933</v>
      </c>
      <c r="X439" s="16">
        <v>4.1563255620709532</v>
      </c>
    </row>
    <row r="440" spans="16:24" x14ac:dyDescent="0.3">
      <c r="P440" s="16" t="str">
        <f>IF('Data-Plot'!C440="","",$Q$11+('Data-Plot'!C440-'Data-Plot'!D440)*$P$9)</f>
        <v/>
      </c>
      <c r="Q440" s="16" t="str">
        <f>IF('Data-Plot'!C440="","",MAX('Data-Plot'!$C$11:$C$1010)*(1+$Q$9/100))</f>
        <v/>
      </c>
      <c r="R440" s="16" t="str">
        <f>IF('Data-Plot'!C440="","",('Data-Plot'!C440-'Data-Plot'!D440)*$P$9)</f>
        <v/>
      </c>
      <c r="S440" s="16">
        <v>83.832145974454789</v>
      </c>
      <c r="T440" s="16">
        <v>4.040967882822085E-2</v>
      </c>
      <c r="U440" s="16">
        <v>8.6179168552071672E-91</v>
      </c>
      <c r="V440" s="16">
        <v>4.2397627180862445</v>
      </c>
      <c r="W440" s="16">
        <v>11.170674905855813</v>
      </c>
      <c r="X440" s="16">
        <v>4.381298671684517</v>
      </c>
    </row>
    <row r="441" spans="16:24" x14ac:dyDescent="0.3">
      <c r="P441" s="16" t="str">
        <f>IF('Data-Plot'!C441="","",$Q$11+('Data-Plot'!C441-'Data-Plot'!D441)*$P$9)</f>
        <v/>
      </c>
      <c r="Q441" s="16" t="str">
        <f>IF('Data-Plot'!C441="","",MAX('Data-Plot'!$C$11:$C$1010)*(1+$Q$9/100))</f>
        <v/>
      </c>
      <c r="R441" s="16" t="str">
        <f>IF('Data-Plot'!C441="","",('Data-Plot'!C441-'Data-Plot'!D441)*$P$9)</f>
        <v/>
      </c>
      <c r="S441" s="16">
        <v>83.16421694491676</v>
      </c>
      <c r="T441" s="16">
        <v>3.980348507762646E-2</v>
      </c>
      <c r="U441" s="16">
        <v>3.2206615040041248E-91</v>
      </c>
      <c r="V441" s="16">
        <v>4.1241165783472926</v>
      </c>
      <c r="W441" s="16">
        <v>10.383053285181562</v>
      </c>
      <c r="X441" s="16">
        <v>4.6172435963102885</v>
      </c>
    </row>
    <row r="442" spans="16:24" x14ac:dyDescent="0.3">
      <c r="P442" s="16" t="str">
        <f>IF('Data-Plot'!C442="","",$Q$11+('Data-Plot'!C442-'Data-Plot'!D442)*$P$9)</f>
        <v/>
      </c>
      <c r="Q442" s="16" t="str">
        <f>IF('Data-Plot'!C442="","",MAX('Data-Plot'!$C$11:$C$1010)*(1+$Q$9/100))</f>
        <v/>
      </c>
      <c r="R442" s="16" t="str">
        <f>IF('Data-Plot'!C442="","",('Data-Plot'!C442-'Data-Plot'!D442)*$P$9)</f>
        <v/>
      </c>
      <c r="S442" s="16">
        <v>82.56184565292682</v>
      </c>
      <c r="T442" s="16">
        <v>3.9207577561604819E-2</v>
      </c>
      <c r="U442" s="16">
        <v>1.2060941464743233E-91</v>
      </c>
      <c r="V442" s="16">
        <v>4.011827200178927</v>
      </c>
      <c r="W442" s="16">
        <v>9.6462200199164503</v>
      </c>
      <c r="X442" s="16">
        <v>4.8645908552698334</v>
      </c>
    </row>
    <row r="443" spans="16:24" x14ac:dyDescent="0.3">
      <c r="P443" s="16" t="str">
        <f>IF('Data-Plot'!C443="","",$Q$11+('Data-Plot'!C443-'Data-Plot'!D443)*$P$9)</f>
        <v/>
      </c>
      <c r="Q443" s="16" t="str">
        <f>IF('Data-Plot'!C443="","",MAX('Data-Plot'!$C$11:$C$1010)*(1+$Q$9/100))</f>
        <v/>
      </c>
      <c r="R443" s="16" t="str">
        <f>IF('Data-Plot'!C443="","",('Data-Plot'!C443-'Data-Plot'!D443)*$P$9)</f>
        <v/>
      </c>
      <c r="S443" s="16">
        <v>82.022665139106039</v>
      </c>
      <c r="T443" s="16">
        <v>3.8621762590817711E-2</v>
      </c>
      <c r="U443" s="16">
        <v>4.5259381580335328E-92</v>
      </c>
      <c r="V443" s="16">
        <v>3.9027921862732367</v>
      </c>
      <c r="W443" s="16">
        <v>8.9574736415202629</v>
      </c>
      <c r="X443" s="16">
        <v>5.1237775487217263</v>
      </c>
    </row>
    <row r="444" spans="16:24" x14ac:dyDescent="0.3">
      <c r="P444" s="16" t="str">
        <f>IF('Data-Plot'!C444="","",$Q$11+('Data-Plot'!C444-'Data-Plot'!D444)*$P$9)</f>
        <v/>
      </c>
      <c r="Q444" s="16" t="str">
        <f>IF('Data-Plot'!C444="","",MAX('Data-Plot'!$C$11:$C$1010)*(1+$Q$9/100))</f>
        <v/>
      </c>
      <c r="R444" s="16" t="str">
        <f>IF('Data-Plot'!C444="","",('Data-Plot'!C444-'Data-Plot'!D444)*$P$9)</f>
        <v/>
      </c>
      <c r="S444" s="16">
        <v>81.544392364530339</v>
      </c>
      <c r="T444" s="16">
        <v>3.8045850468797743E-2</v>
      </c>
      <c r="U444" s="16">
        <v>1.7018654240304138E-92</v>
      </c>
      <c r="V444" s="16">
        <v>3.7969123720465765</v>
      </c>
      <c r="W444" s="16">
        <v>8.3141879306417508</v>
      </c>
      <c r="X444" s="16">
        <v>5.3952462113732098</v>
      </c>
    </row>
    <row r="445" spans="16:24" x14ac:dyDescent="0.3">
      <c r="P445" s="16" t="str">
        <f>IF('Data-Plot'!C445="","",$Q$11+('Data-Plot'!C445-'Data-Plot'!D445)*$P$9)</f>
        <v/>
      </c>
      <c r="Q445" s="16" t="str">
        <f>IF('Data-Plot'!C445="","",MAX('Data-Plot'!$C$11:$C$1010)*(1+$Q$9/100))</f>
        <v/>
      </c>
      <c r="R445" s="16" t="str">
        <f>IF('Data-Plot'!C445="","",('Data-Plot'!C445-'Data-Plot'!D445)*$P$9)</f>
        <v/>
      </c>
      <c r="S445" s="16">
        <v>81.124833588839422</v>
      </c>
      <c r="T445" s="16">
        <v>3.747965540274751E-2</v>
      </c>
      <c r="U445" s="16">
        <v>6.4125225682857629E-93</v>
      </c>
      <c r="V445" s="16">
        <v>3.694091722372097</v>
      </c>
      <c r="W445" s="16">
        <v>7.7138187248454466</v>
      </c>
      <c r="X445" s="16">
        <v>5.6794434862191263</v>
      </c>
    </row>
    <row r="446" spans="16:24" x14ac:dyDescent="0.3">
      <c r="P446" s="16" t="str">
        <f>IF('Data-Plot'!C446="","",$Q$11+('Data-Plot'!C446-'Data-Plot'!D446)*$P$9)</f>
        <v/>
      </c>
      <c r="Q446" s="16" t="str">
        <f>IF('Data-Plot'!C446="","",MAX('Data-Plot'!$C$11:$C$1010)*(1+$Q$9/100))</f>
        <v/>
      </c>
      <c r="R446" s="16" t="str">
        <f>IF('Data-Plot'!C446="","",('Data-Plot'!C446-'Data-Plot'!D446)*$P$9)</f>
        <v/>
      </c>
      <c r="S446" s="16">
        <v>80.761888106769405</v>
      </c>
      <c r="T446" s="16">
        <v>3.6922995416484056E-2</v>
      </c>
      <c r="U446" s="16">
        <v>2.4211270079452085E-93</v>
      </c>
      <c r="V446" s="16">
        <v>3.5942372315175581</v>
      </c>
      <c r="W446" s="16">
        <v>7.1539092781819633</v>
      </c>
      <c r="X446" s="16">
        <v>5.9768186016534006</v>
      </c>
    </row>
    <row r="447" spans="16:24" x14ac:dyDescent="0.3">
      <c r="P447" s="16" t="str">
        <f>IF('Data-Plot'!C447="","",$Q$11+('Data-Plot'!C447-'Data-Plot'!D447)*$P$9)</f>
        <v/>
      </c>
      <c r="Q447" s="16" t="str">
        <f>IF('Data-Plot'!C447="","",MAX('Data-Plot'!$C$11:$C$1010)*(1+$Q$9/100))</f>
        <v/>
      </c>
      <c r="R447" s="16" t="str">
        <f>IF('Data-Plot'!C447="","",('Data-Plot'!C447-'Data-Plot'!D447)*$P$9)</f>
        <v/>
      </c>
      <c r="S447" s="16">
        <v>80.453550463617418</v>
      </c>
      <c r="T447" s="16">
        <v>3.6375692265467746E-2</v>
      </c>
      <c r="U447" s="16">
        <v>9.1598651316808153E-94</v>
      </c>
      <c r="V447" s="16">
        <v>3.4972588261999182</v>
      </c>
      <c r="W447" s="16">
        <v>6.6320943107596211</v>
      </c>
      <c r="X447" s="16">
        <v>6.2878216343924125</v>
      </c>
    </row>
    <row r="448" spans="16:24" x14ac:dyDescent="0.3">
      <c r="P448" s="16" t="str">
        <f>IF('Data-Plot'!C448="","",$Q$11+('Data-Plot'!C448-'Data-Plot'!D448)*$P$9)</f>
        <v/>
      </c>
      <c r="Q448" s="16" t="str">
        <f>IF('Data-Plot'!C448="","",MAX('Data-Plot'!$C$11:$C$1010)*(1+$Q$9/100))</f>
        <v/>
      </c>
      <c r="R448" s="16" t="str">
        <f>IF('Data-Plot'!C448="","",('Data-Plot'!C448-'Data-Plot'!D448)*$P$9)</f>
        <v/>
      </c>
      <c r="S448" s="16">
        <v>80.197911265327818</v>
      </c>
      <c r="T448" s="16">
        <v>3.5837571353866025E-2</v>
      </c>
      <c r="U448" s="16">
        <v>3.4724922074637612E-94</v>
      </c>
      <c r="V448" s="16">
        <v>3.4030692716709456</v>
      </c>
      <c r="W448" s="16">
        <v>6.1461028825262334</v>
      </c>
      <c r="X448" s="16">
        <v>6.6129015397767823</v>
      </c>
    </row>
    <row r="449" spans="16:24" x14ac:dyDescent="0.3">
      <c r="P449" s="16" t="str">
        <f>IF('Data-Plot'!C449="","",$Q$11+('Data-Plot'!C449-'Data-Plot'!D449)*$P$9)</f>
        <v/>
      </c>
      <c r="Q449" s="16" t="str">
        <f>IF('Data-Plot'!C449="","",MAX('Data-Plot'!$C$11:$C$1010)*(1+$Q$9/100))</f>
        <v/>
      </c>
      <c r="R449" s="16" t="str">
        <f>IF('Data-Plot'!C449="","",('Data-Plot'!C449-'Data-Plot'!D449)*$P$9)</f>
        <v/>
      </c>
      <c r="S449" s="16">
        <v>79.993156692786471</v>
      </c>
      <c r="T449" s="16">
        <v>3.5308461653599806E-2</v>
      </c>
      <c r="U449" s="16">
        <v>1.3190826653601708E-94</v>
      </c>
      <c r="V449" s="16">
        <v>3.3115840807492027</v>
      </c>
      <c r="W449" s="16">
        <v>5.693760220182666</v>
      </c>
      <c r="X449" s="16">
        <v>6.9525039302010017</v>
      </c>
    </row>
    <row r="450" spans="16:24" x14ac:dyDescent="0.3">
      <c r="P450" s="16" t="str">
        <f>IF('Data-Plot'!C450="","",$Q$11+('Data-Plot'!C450-'Data-Plot'!D450)*$P$9)</f>
        <v/>
      </c>
      <c r="Q450" s="16" t="str">
        <f>IF('Data-Plot'!C450="","",MAX('Data-Plot'!$C$11:$C$1010)*(1+$Q$9/100))</f>
        <v/>
      </c>
      <c r="R450" s="16" t="str">
        <f>IF('Data-Plot'!C450="","",('Data-Plot'!C450-'Data-Plot'!D450)*$P$9)</f>
        <v/>
      </c>
      <c r="S450" s="16">
        <v>79.83756682286888</v>
      </c>
      <c r="T450" s="16">
        <v>3.478819562531843E-2</v>
      </c>
      <c r="U450" s="16">
        <v>5.0208714872298859E-95</v>
      </c>
      <c r="V450" s="16">
        <v>3.2227214257144317</v>
      </c>
      <c r="W450" s="16">
        <v>5.2729886198355684</v>
      </c>
      <c r="X450" s="16">
        <v>7.3070685816935672</v>
      </c>
    </row>
    <row r="451" spans="16:24" x14ac:dyDescent="0.3">
      <c r="P451" s="16" t="str">
        <f>IF('Data-Plot'!C451="","",$Q$11+('Data-Plot'!C451-'Data-Plot'!D451)*$P$9)</f>
        <v/>
      </c>
      <c r="Q451" s="16" t="str">
        <f>IF('Data-Plot'!C451="","",MAX('Data-Plot'!$C$11:$C$1010)*(1+$Q$9/100))</f>
        <v/>
      </c>
      <c r="R451" s="16" t="str">
        <f>IF('Data-Plot'!C451="","",('Data-Plot'!C451-'Data-Plot'!D451)*$P$9)</f>
        <v/>
      </c>
      <c r="S451" s="16">
        <v>79.729512851113995</v>
      </c>
      <c r="T451" s="16">
        <v>3.4276609141259656E-2</v>
      </c>
      <c r="U451" s="16">
        <v>1.9149629292763802E-95</v>
      </c>
      <c r="V451" s="16">
        <v>3.1364020529833607</v>
      </c>
      <c r="W451" s="16">
        <v>4.8818075409495982</v>
      </c>
      <c r="X451" s="16">
        <v>7.6770266480397691</v>
      </c>
    </row>
    <row r="452" spans="16:24" x14ac:dyDescent="0.3">
      <c r="P452" s="16" t="str">
        <f>IF('Data-Plot'!C452="","",$Q$11+('Data-Plot'!C452-'Data-Plot'!D452)*$P$9)</f>
        <v/>
      </c>
      <c r="Q452" s="16" t="str">
        <f>IF('Data-Plot'!C452="","",MAX('Data-Plot'!$C$11:$C$1010)*(1+$Q$9/100))</f>
        <v/>
      </c>
      <c r="R452" s="16" t="str">
        <f>IF('Data-Plot'!C452="","",('Data-Plot'!C452-'Data-Plot'!D452)*$P$9)</f>
        <v/>
      </c>
      <c r="S452" s="16">
        <v>79.667453302850319</v>
      </c>
      <c r="T452" s="16">
        <v>3.3773541409941321E-2</v>
      </c>
      <c r="U452" s="16">
        <v>7.3183573725469167E-96</v>
      </c>
      <c r="V452" s="16">
        <v>3.0525492004861587</v>
      </c>
      <c r="W452" s="16">
        <v>4.5183329995903527</v>
      </c>
      <c r="X452" s="16">
        <v>8.0627975613638689</v>
      </c>
    </row>
    <row r="453" spans="16:24" x14ac:dyDescent="0.3">
      <c r="P453" s="16" t="str">
        <f>IF('Data-Plot'!C453="","",$Q$11+('Data-Plot'!C453-'Data-Plot'!D453)*$P$9)</f>
        <v/>
      </c>
      <c r="Q453" s="16" t="str">
        <f>IF('Data-Plot'!C453="","",MAX('Data-Plot'!$C$11:$C$1010)*(1+$Q$9/100))</f>
        <v/>
      </c>
      <c r="R453" s="16" t="str">
        <f>IF('Data-Plot'!C453="","",('Data-Plot'!C453-'Data-Plot'!D453)*$P$9)</f>
        <v/>
      </c>
      <c r="S453" s="16">
        <v>79.649929311445305</v>
      </c>
      <c r="T453" s="16">
        <v>3.3278834902641455E-2</v>
      </c>
      <c r="U453" s="16">
        <v>2.8024419451751517E-96</v>
      </c>
      <c r="V453" s="16">
        <v>2.9710885176650472</v>
      </c>
      <c r="W453" s="16">
        <v>4.1807763610954733</v>
      </c>
      <c r="X453" s="16">
        <v>8.4647855977821411</v>
      </c>
    </row>
    <row r="454" spans="16:24" x14ac:dyDescent="0.3">
      <c r="P454" s="16" t="str">
        <f>IF('Data-Plot'!C454="","",$Q$11+('Data-Plot'!C454-'Data-Plot'!D454)*$P$9)</f>
        <v/>
      </c>
      <c r="Q454" s="16" t="str">
        <f>IF('Data-Plot'!C454="","",MAX('Data-Plot'!$C$11:$C$1010)*(1+$Q$9/100))</f>
        <v/>
      </c>
      <c r="R454" s="16" t="str">
        <f>IF('Data-Plot'!C454="","",('Data-Plot'!C454-'Data-Plot'!D454)*$P$9)</f>
        <v/>
      </c>
      <c r="S454" s="16">
        <v>79.675559034287147</v>
      </c>
      <c r="T454" s="16">
        <v>3.2792335281621274E-2</v>
      </c>
      <c r="U454" s="16">
        <v>1.0752939143840902E-96</v>
      </c>
      <c r="V454" s="16">
        <v>2.8919479880184906</v>
      </c>
      <c r="W454" s="16">
        <v>3.8674426243328806</v>
      </c>
      <c r="X454" s="16">
        <v>8.8833760866541542</v>
      </c>
    </row>
    <row r="455" spans="16:24" x14ac:dyDescent="0.3">
      <c r="P455" s="16" t="str">
        <f>IF('Data-Plot'!C455="","",$Q$11+('Data-Plot'!C455-'Data-Plot'!D455)*$P$9)</f>
        <v/>
      </c>
      <c r="Q455" s="16" t="str">
        <f>IF('Data-Plot'!C455="","",MAX('Data-Plot'!$C$11:$C$1010)*(1+$Q$9/100))</f>
        <v/>
      </c>
      <c r="R455" s="16" t="str">
        <f>IF('Data-Plot'!C455="","",('Data-Plot'!C455-'Data-Plot'!D455)*$P$9)</f>
        <v/>
      </c>
      <c r="S455" s="16">
        <v>79.743031269349032</v>
      </c>
      <c r="T455" s="16">
        <v>3.2313891330044246E-2</v>
      </c>
      <c r="U455" s="16">
        <v>4.1341199843873216E-97</v>
      </c>
      <c r="V455" s="16">
        <v>2.815057854114996</v>
      </c>
      <c r="W455" s="16">
        <v>3.5767282817488404</v>
      </c>
      <c r="X455" s="16">
        <v>9.318931242155152</v>
      </c>
    </row>
    <row r="456" spans="16:24" x14ac:dyDescent="0.3">
      <c r="P456" s="16" t="str">
        <f>IF('Data-Plot'!C456="","",$Q$11+('Data-Plot'!C456-'Data-Plot'!D456)*$P$9)</f>
        <v/>
      </c>
      <c r="Q456" s="16" t="str">
        <f>IF('Data-Plot'!C456="","",MAX('Data-Plot'!$C$11:$C$1010)*(1+$Q$9/100))</f>
        <v/>
      </c>
      <c r="R456" s="16" t="str">
        <f>IF('Data-Plot'!C456="","",('Data-Plot'!C456-'Data-Plot'!D456)*$P$9)</f>
        <v/>
      </c>
      <c r="S456" s="16">
        <v>79.851098327893681</v>
      </c>
      <c r="T456" s="16">
        <v>3.1843354883552694E-2</v>
      </c>
      <c r="U456" s="16">
        <v>1.5925829321071587E-97</v>
      </c>
      <c r="V456" s="16">
        <v>2.7403505450037433</v>
      </c>
      <c r="W456" s="16">
        <v>3.3071188316108659</v>
      </c>
      <c r="X456" s="16">
        <v>9.7717855963955138</v>
      </c>
    </row>
    <row r="457" spans="16:24" x14ac:dyDescent="0.3">
      <c r="P457" s="16" t="str">
        <f>IF('Data-Plot'!C457="","",$Q$11+('Data-Plot'!C457-'Data-Plot'!D457)*$P$9)</f>
        <v/>
      </c>
      <c r="Q457" s="16" t="str">
        <f>IF('Data-Plot'!C457="","",MAX('Data-Plot'!$C$11:$C$1010)*(1+$Q$9/100))</f>
        <v/>
      </c>
      <c r="R457" s="16" t="str">
        <f>IF('Data-Plot'!C457="","",('Data-Plot'!C457-'Data-Plot'!D457)*$P$9)</f>
        <v/>
      </c>
      <c r="S457" s="16">
        <v>79.998568212213428</v>
      </c>
      <c r="T457" s="16">
        <v>3.1380580763456137E-2</v>
      </c>
      <c r="U457" s="16">
        <v>6.1472642937040503E-98</v>
      </c>
      <c r="V457" s="16">
        <v>2.6677606059495389</v>
      </c>
      <c r="W457" s="16">
        <v>3.0571860112835707</v>
      </c>
      <c r="X457" s="16">
        <v>10.242241014216861</v>
      </c>
    </row>
    <row r="458" spans="16:24" x14ac:dyDescent="0.3">
      <c r="P458" s="16" t="str">
        <f>IF('Data-Plot'!C458="","",$Q$11+('Data-Plot'!C458-'Data-Plot'!D458)*$P$9)</f>
        <v/>
      </c>
      <c r="Q458" s="16" t="str">
        <f>IF('Data-Plot'!C458="","",MAX('Data-Plot'!$C$11:$C$1010)*(1+$Q$9/100))</f>
        <v/>
      </c>
      <c r="R458" s="16" t="str">
        <f>IF('Data-Plot'!C458="","",('Data-Plot'!C458-'Data-Plot'!D458)*$P$9)</f>
        <v/>
      </c>
      <c r="S458" s="16">
        <v>80.184296141410215</v>
      </c>
      <c r="T458" s="16">
        <v>3.0925426711492402E-2</v>
      </c>
      <c r="U458" s="16">
        <v>2.3774988326400412E-98</v>
      </c>
      <c r="V458" s="16">
        <v>2.5972246304220907</v>
      </c>
      <c r="W458" s="16">
        <v>2.8255848131367531</v>
      </c>
      <c r="X458" s="16">
        <v>10.730561271139884</v>
      </c>
    </row>
    <row r="459" spans="16:24" x14ac:dyDescent="0.3">
      <c r="P459" s="16" t="str">
        <f>IF('Data-Plot'!C459="","",$Q$11+('Data-Plot'!C459-'Data-Plot'!D459)*$P$9)</f>
        <v/>
      </c>
      <c r="Q459" s="16" t="str">
        <f>IF('Data-Plot'!C459="","",MAX('Data-Plot'!$C$11:$C$1010)*(1+$Q$9/100))</f>
        <v/>
      </c>
      <c r="R459" s="16" t="str">
        <f>IF('Data-Plot'!C459="","",('Data-Plot'!C459-'Data-Plot'!D459)*$P$9)</f>
        <v/>
      </c>
      <c r="S459" s="16">
        <v>80.407175463226253</v>
      </c>
      <c r="T459" s="16">
        <v>3.0477753326123683E-2</v>
      </c>
      <c r="U459" s="16">
        <v>9.2132972098746395E-99</v>
      </c>
      <c r="V459" s="16">
        <v>2.5286811942714049</v>
      </c>
      <c r="W459" s="16">
        <v>2.6110503378151195</v>
      </c>
      <c r="X459" s="16">
        <v>11.236966177813605</v>
      </c>
    </row>
    <row r="460" spans="16:24" x14ac:dyDescent="0.3">
      <c r="P460" s="16" t="str">
        <f>IF('Data-Plot'!C460="","",$Q$11+('Data-Plot'!C460-'Data-Plot'!D460)*$P$9)</f>
        <v/>
      </c>
      <c r="Q460" s="16" t="str">
        <f>IF('Data-Plot'!C460="","",MAX('Data-Plot'!$C$11:$C$1010)*(1+$Q$9/100))</f>
        <v/>
      </c>
      <c r="R460" s="16" t="str">
        <f>IF('Data-Plot'!C460="","",('Data-Plot'!C460-'Data-Plot'!D460)*$P$9)</f>
        <v/>
      </c>
      <c r="S460" s="16">
        <v>80.666127985965744</v>
      </c>
      <c r="T460" s="16">
        <v>3.003742400032456E-2</v>
      </c>
      <c r="U460" s="16">
        <v>3.5773705650238765E-99</v>
      </c>
      <c r="V460" s="16">
        <v>2.4620707920218607</v>
      </c>
      <c r="W460" s="16">
        <v>2.4123945331398038</v>
      </c>
      <c r="X460" s="16">
        <v>11.761625236803761</v>
      </c>
    </row>
    <row r="461" spans="16:24" x14ac:dyDescent="0.3">
      <c r="P461" s="16" t="str">
        <f>IF('Data-Plot'!C461="","",$Q$11+('Data-Plot'!C461-'Data-Plot'!D461)*$P$9)</f>
        <v/>
      </c>
      <c r="Q461" s="16" t="str">
        <f>IF('Data-Plot'!C461="","",MAX('Data-Plot'!$C$11:$C$1010)*(1+$Q$9/100))</f>
        <v/>
      </c>
      <c r="R461" s="16" t="str">
        <f>IF('Data-Plot'!C461="","",('Data-Plot'!C461-'Data-Plot'!D461)*$P$9)</f>
        <v/>
      </c>
      <c r="S461" s="16">
        <v>80.960093761705252</v>
      </c>
      <c r="T461" s="16">
        <v>2.9604304860829767E-2</v>
      </c>
      <c r="U461" s="16">
        <v>1.3917607617974327E-99</v>
      </c>
      <c r="V461" s="16">
        <v>2.3973357752206077</v>
      </c>
      <c r="W461" s="16">
        <v>2.2285028608952153</v>
      </c>
      <c r="X461" s="16">
        <v>12.3046508207286</v>
      </c>
    </row>
    <row r="462" spans="16:24" x14ac:dyDescent="0.3">
      <c r="P462" s="16" t="str">
        <f>IF('Data-Plot'!C462="","",$Q$11+('Data-Plot'!C462-'Data-Plot'!D462)*$P$9)</f>
        <v/>
      </c>
      <c r="Q462" s="16" t="str">
        <f>IF('Data-Plot'!C462="","",MAX('Data-Plot'!$C$11:$C$1010)*(1+$Q$9/100))</f>
        <v/>
      </c>
      <c r="R462" s="16" t="str">
        <f>IF('Data-Plot'!C462="","",('Data-Plot'!C462-'Data-Plot'!D462)*$P$9)</f>
        <v/>
      </c>
      <c r="S462" s="16">
        <v>81.288020350396565</v>
      </c>
      <c r="T462" s="16">
        <v>2.917826470880109E-2</v>
      </c>
      <c r="U462" s="16">
        <v>5.4251879014002162E-100</v>
      </c>
      <c r="V462" s="16">
        <v>2.3344202927762665</v>
      </c>
      <c r="W462" s="16">
        <v>2.058330928179966</v>
      </c>
      <c r="X462" s="16">
        <v>12.866090864731527</v>
      </c>
    </row>
    <row r="463" spans="16:24" x14ac:dyDescent="0.3">
      <c r="P463" s="16" t="str">
        <f>IF('Data-Plot'!C463="","",$Q$11+('Data-Plot'!C463-'Data-Plot'!D463)*$P$9)</f>
        <v/>
      </c>
      <c r="Q463" s="16" t="str">
        <f>IF('Data-Plot'!C463="","",MAX('Data-Plot'!$C$11:$C$1010)*(1+$Q$9/100))</f>
        <v/>
      </c>
      <c r="R463" s="16" t="str">
        <f>IF('Data-Plot'!C463="","",('Data-Plot'!C463-'Data-Plot'!D463)*$P$9)</f>
        <v/>
      </c>
      <c r="S463" s="16">
        <v>81.648851594204316</v>
      </c>
      <c r="T463" s="16">
        <v>2.875917496187996E-2</v>
      </c>
      <c r="U463" s="16">
        <v>2.1189086818358645E-100</v>
      </c>
      <c r="V463" s="16">
        <v>2.2732702332264014</v>
      </c>
      <c r="W463" s="16">
        <v>1.9009011148843364</v>
      </c>
      <c r="X463" s="16">
        <v>13.445921071131693</v>
      </c>
    </row>
    <row r="464" spans="16:24" x14ac:dyDescent="0.3">
      <c r="P464" s="16" t="str">
        <f>IF('Data-Plot'!C464="","",$Q$11+('Data-Plot'!C464-'Data-Plot'!D464)*$P$9)</f>
        <v/>
      </c>
      <c r="Q464" s="16" t="str">
        <f>IF('Data-Plot'!C464="","",MAX('Data-Plot'!$C$11:$C$1010)*(1+$Q$9/100))</f>
        <v/>
      </c>
      <c r="R464" s="16" t="str">
        <f>IF('Data-Plot'!C464="","",('Data-Plot'!C464-'Data-Plot'!D464)*$P$9)</f>
        <v/>
      </c>
      <c r="S464" s="16">
        <v>82.041515932611219</v>
      </c>
      <c r="T464" s="16">
        <v>2.834690959759165E-2</v>
      </c>
      <c r="U464" s="16">
        <v>8.2919117933199429E-101</v>
      </c>
      <c r="V464" s="16">
        <v>2.2138331688737853</v>
      </c>
      <c r="W464" s="16">
        <v>1.7552992241846357</v>
      </c>
      <c r="X464" s="16">
        <v>14.044036629955201</v>
      </c>
    </row>
    <row r="465" spans="16:24" x14ac:dyDescent="0.3">
      <c r="P465" s="16" t="str">
        <f>IF('Data-Plot'!C465="","",$Q$11+('Data-Plot'!C465-'Data-Plot'!D465)*$P$9)</f>
        <v/>
      </c>
      <c r="Q465" s="16" t="str">
        <f>IF('Data-Plot'!C465="","",MAX('Data-Plot'!$C$11:$C$1010)*(1+$Q$9/100))</f>
        <v/>
      </c>
      <c r="R465" s="16" t="str">
        <f>IF('Data-Plot'!C465="","",('Data-Plot'!C465-'Data-Plot'!D465)*$P$9)</f>
        <v/>
      </c>
      <c r="S465" s="16">
        <v>82.46491429155283</v>
      </c>
      <c r="T465" s="16">
        <v>2.7941345098064431E-2</v>
      </c>
      <c r="U465" s="16">
        <v>3.2511708933716093E-101</v>
      </c>
      <c r="V465" s="16">
        <v>2.1560583017324739</v>
      </c>
      <c r="W465" s="16">
        <v>1.6206711787069414</v>
      </c>
      <c r="X465" s="16">
        <v>14.660243466015345</v>
      </c>
    </row>
    <row r="466" spans="16:24" x14ac:dyDescent="0.3">
      <c r="P466" s="16" t="str">
        <f>IF('Data-Plot'!C466="","",$Q$11+('Data-Plot'!C466-'Data-Plot'!D466)*$P$9)</f>
        <v/>
      </c>
      <c r="Q466" s="16" t="str">
        <f>IF('Data-Plot'!C466="","",MAX('Data-Plot'!$C$11:$C$1010)*(1+$Q$9/100))</f>
        <v/>
      </c>
      <c r="R466" s="16" t="str">
        <f>IF('Data-Plot'!C466="","",('Data-Plot'!C466-'Data-Plot'!D466)*$P$9)</f>
        <v/>
      </c>
      <c r="S466" s="16">
        <v>82.917907584200435</v>
      </c>
      <c r="T466" s="16">
        <v>2.7542360396035203E-2</v>
      </c>
      <c r="U466" s="16">
        <v>1.277218866941885E-101</v>
      </c>
      <c r="V466" s="16">
        <v>2.099896411227411</v>
      </c>
      <c r="W466" s="16">
        <v>1.496219781198127</v>
      </c>
      <c r="X466" s="16">
        <v>15.294249031378859</v>
      </c>
    </row>
    <row r="467" spans="16:24" x14ac:dyDescent="0.3">
      <c r="P467" s="16" t="str">
        <f>IF('Data-Plot'!C467="","",$Q$11+('Data-Plot'!C467-'Data-Plot'!D467)*$P$9)</f>
        <v/>
      </c>
      <c r="Q467" s="16" t="str">
        <f>IF('Data-Plot'!C467="","",MAX('Data-Plot'!$C$11:$C$1010)*(1+$Q$9/100))</f>
        <v/>
      </c>
      <c r="R467" s="16" t="str">
        <f>IF('Data-Plot'!C467="","",('Data-Plot'!C467-'Data-Plot'!D467)*$P$9)</f>
        <v/>
      </c>
      <c r="S467" s="16">
        <v>83.399303867099661</v>
      </c>
      <c r="T467" s="16">
        <v>2.7149836822106421E-2</v>
      </c>
      <c r="U467" s="16">
        <v>5.0272324066597126E-102</v>
      </c>
      <c r="V467" s="16">
        <v>2.0452998035917189</v>
      </c>
      <c r="W467" s="16">
        <v>1.3812015551208188</v>
      </c>
      <c r="X467" s="16">
        <v>15.945652671565007</v>
      </c>
    </row>
    <row r="468" spans="16:24" x14ac:dyDescent="0.3">
      <c r="P468" s="16" t="str">
        <f>IF('Data-Plot'!C468="","",$Q$11+('Data-Plot'!C468-'Data-Plot'!D468)*$P$9)</f>
        <v/>
      </c>
      <c r="Q468" s="16" t="str">
        <f>IF('Data-Plot'!C468="","",MAX('Data-Plot'!$C$11:$C$1010)*(1+$Q$9/100))</f>
        <v/>
      </c>
      <c r="R468" s="16" t="str">
        <f>IF('Data-Plot'!C468="","",('Data-Plot'!C468-'Data-Plot'!D468)*$P$9)</f>
        <v/>
      </c>
      <c r="S468" s="16">
        <v>83.90784520326126</v>
      </c>
      <c r="T468" s="16">
        <v>2.6763658053223924E-2</v>
      </c>
      <c r="U468" s="16">
        <v>1.9825694828898405E-102</v>
      </c>
      <c r="V468" s="16">
        <v>1.9922222629081232</v>
      </c>
      <c r="W468" s="16">
        <v>1.2749236775481576</v>
      </c>
      <c r="X468" s="16">
        <v>16.613935604751756</v>
      </c>
    </row>
    <row r="469" spans="16:24" x14ac:dyDescent="0.3">
      <c r="P469" s="16" t="str">
        <f>IF('Data-Plot'!C469="","",$Q$11+('Data-Plot'!C469-'Data-Plot'!D469)*$P$9)</f>
        <v/>
      </c>
      <c r="Q469" s="16" t="str">
        <f>IF('Data-Plot'!C469="","",MAX('Data-Plot'!$C$11:$C$1010)*(1+$Q$9/100))</f>
        <v/>
      </c>
      <c r="R469" s="16" t="str">
        <f>IF('Data-Plot'!C469="","",('Data-Plot'!C469-'Data-Plot'!D469)*$P$9)</f>
        <v/>
      </c>
      <c r="S469" s="16">
        <v>84.442194293560348</v>
      </c>
      <c r="T469" s="16">
        <v>2.6383710062347694E-2</v>
      </c>
      <c r="U469" s="16">
        <v>7.8335999857893565E-103</v>
      </c>
      <c r="V469" s="16">
        <v>1.9406190037423821</v>
      </c>
      <c r="W469" s="16">
        <v>1.1767410140432293</v>
      </c>
      <c r="X469" s="16">
        <v>17.298450565712386</v>
      </c>
    </row>
    <row r="470" spans="16:24" x14ac:dyDescent="0.3">
      <c r="P470" s="16" t="str">
        <f>IF('Data-Plot'!C470="","",$Q$11+('Data-Plot'!C470-'Data-Plot'!D470)*$P$9)</f>
        <v/>
      </c>
      <c r="Q470" s="16" t="str">
        <f>IF('Data-Plot'!C470="","",MAX('Data-Plot'!$C$11:$C$1010)*(1+$Q$9/100))</f>
        <v/>
      </c>
      <c r="R470" s="16" t="str">
        <f>IF('Data-Plot'!C470="","",('Data-Plot'!C470-'Data-Plot'!D470)*$P$9)</f>
        <v/>
      </c>
      <c r="S470" s="16">
        <v>85.00092094951269</v>
      </c>
      <c r="T470" s="16">
        <v>2.6009881069281683E-2</v>
      </c>
      <c r="U470" s="16">
        <v>3.101170094444694E-103</v>
      </c>
      <c r="V470" s="16">
        <v>1.8904466253176082</v>
      </c>
      <c r="W470" s="16">
        <v>1.0860532628423567</v>
      </c>
      <c r="X470" s="16">
        <v>17.998411180283437</v>
      </c>
    </row>
    <row r="471" spans="16:24" x14ac:dyDescent="0.3">
      <c r="P471" s="16" t="str">
        <f>IF('Data-Plot'!C471="","",$Q$11+('Data-Plot'!C471-'Data-Plot'!D471)*$P$9)</f>
        <v/>
      </c>
      <c r="Q471" s="16" t="str">
        <f>IF('Data-Plot'!C471="","",MAX('Data-Plot'!$C$11:$C$1010)*(1+$Q$9/100))</f>
        <v/>
      </c>
      <c r="R471" s="16" t="str">
        <f>IF('Data-Plot'!C471="","",('Data-Plot'!C471-'Data-Plot'!D471)*$P$9)</f>
        <v/>
      </c>
      <c r="S471" s="16">
        <v>85.582488494158795</v>
      </c>
      <c r="T471" s="16">
        <v>2.5642061492639194E-2</v>
      </c>
      <c r="U471" s="16">
        <v>1.2300385045338422E-103</v>
      </c>
      <c r="V471" s="16">
        <v>1.8416630671806504</v>
      </c>
      <c r="W471" s="16">
        <v>1.0023022135995796</v>
      </c>
      <c r="X471" s="16">
        <v>18.712881151885927</v>
      </c>
    </row>
    <row r="472" spans="16:24" x14ac:dyDescent="0.3">
      <c r="P472" s="16" t="str">
        <f>IF('Data-Plot'!C472="","",$Q$11+('Data-Plot'!C472-'Data-Plot'!D472)*$P$9)</f>
        <v/>
      </c>
      <c r="Q472" s="16" t="str">
        <f>IF('Data-Plot'!C472="","",MAX('Data-Plot'!$C$11:$C$1010)*(1+$Q$9/100))</f>
        <v/>
      </c>
      <c r="R472" s="16" t="str">
        <f>IF('Data-Plot'!C472="","",('Data-Plot'!C472-'Data-Plot'!D472)*$P$9)</f>
        <v/>
      </c>
      <c r="S472" s="16">
        <v>86.185240193463699</v>
      </c>
      <c r="T472" s="16">
        <v>2.5280143902911945E-2</v>
      </c>
      <c r="U472" s="16">
        <v>4.8880816183458074E-104</v>
      </c>
      <c r="V472" s="16">
        <v>1.7942275663123708</v>
      </c>
      <c r="W472" s="16">
        <v>0.92496912415916988</v>
      </c>
      <c r="X472" s="16">
        <v>19.440763359089249</v>
      </c>
    </row>
    <row r="473" spans="16:24" x14ac:dyDescent="0.3">
      <c r="P473" s="16" t="str">
        <f>IF('Data-Plot'!C473="","",$Q$11+('Data-Plot'!C473-'Data-Plot'!D473)*$P$9)</f>
        <v/>
      </c>
      <c r="Q473" s="16" t="str">
        <f>IF('Data-Plot'!C473="","",MAX('Data-Plot'!$C$11:$C$1010)*(1+$Q$9/100))</f>
        <v/>
      </c>
      <c r="R473" s="16" t="str">
        <f>IF('Data-Plot'!C473="","",('Data-Plot'!C473-'Data-Plot'!D473)*$P$9)</f>
        <v/>
      </c>
      <c r="S473" s="16">
        <v>86.807385838261922</v>
      </c>
      <c r="T473" s="16">
        <v>2.4924022976617048E-2</v>
      </c>
      <c r="U473" s="16">
        <v>1.9461777966437987E-104</v>
      </c>
      <c r="V473" s="16">
        <v>1.7481006156354852</v>
      </c>
      <c r="W473" s="16">
        <v>0.85357221728618549</v>
      </c>
      <c r="X473" s="16">
        <v>20.180788982363641</v>
      </c>
    </row>
    <row r="474" spans="16:24" x14ac:dyDescent="0.3">
      <c r="P474" s="16" t="str">
        <f>IF('Data-Plot'!C474="","",$Q$11+('Data-Plot'!C474-'Data-Plot'!D474)*$P$9)</f>
        <v/>
      </c>
      <c r="Q474" s="16" t="str">
        <f>IF('Data-Plot'!C474="","",MAX('Data-Plot'!$C$11:$C$1010)*(1+$Q$9/100))</f>
        <v/>
      </c>
      <c r="R474" s="16" t="str">
        <f>IF('Data-Plot'!C474="","",('Data-Plot'!C474-'Data-Plot'!D474)*$P$9)</f>
        <v/>
      </c>
      <c r="S474" s="16">
        <v>87.446988616325456</v>
      </c>
      <c r="T474" s="16">
        <v>2.4573595451496628E-2</v>
      </c>
      <c r="U474" s="16">
        <v>7.7633398712981049E-105</v>
      </c>
      <c r="V474" s="16">
        <v>1.7032439238750816</v>
      </c>
      <c r="W474" s="16">
        <v>0.78766429797315662</v>
      </c>
      <c r="X474" s="16">
        <v>20.93150679902573</v>
      </c>
    </row>
    <row r="475" spans="16:24" x14ac:dyDescent="0.3">
      <c r="P475" s="16" t="str">
        <f>IF('Data-Plot'!C475="","",$Q$11+('Data-Plot'!C475-'Data-Plot'!D475)*$P$9)</f>
        <v/>
      </c>
      <c r="Q475" s="16" t="str">
        <f>IF('Data-Plot'!C475="","",MAX('Data-Plot'!$C$11:$C$1010)*(1+$Q$9/100))</f>
        <v/>
      </c>
      <c r="R475" s="16" t="str">
        <f>IF('Data-Plot'!C475="","",('Data-Plot'!C475-'Data-Plot'!D475)*$P$9)</f>
        <v/>
      </c>
      <c r="S475" s="16">
        <v>88.101952435466956</v>
      </c>
      <c r="T475" s="16">
        <v>2.4228760082741455E-2</v>
      </c>
      <c r="U475" s="16">
        <v>3.1026615677732796E-105</v>
      </c>
      <c r="V475" s="16">
        <v>1.6596203767277746</v>
      </c>
      <c r="W475" s="16">
        <v>0.72683049083254536</v>
      </c>
      <c r="X475" s="16">
        <v>21.6912728078239</v>
      </c>
    </row>
    <row r="476" spans="16:24" x14ac:dyDescent="0.3">
      <c r="P476" s="16" t="str">
        <f>IF('Data-Plot'!C476="","",$Q$11+('Data-Plot'!C476-'Data-Plot'!D476)*$P$9)</f>
        <v/>
      </c>
      <c r="Q476" s="16" t="str">
        <f>IF('Data-Plot'!C476="","",MAX('Data-Plot'!$C$11:$C$1010)*(1+$Q$9/100))</f>
        <v/>
      </c>
      <c r="R476" s="16" t="str">
        <f>IF('Data-Plot'!C476="","",('Data-Plot'!C476-'Data-Plot'!D476)*$P$9)</f>
        <v/>
      </c>
      <c r="S476" s="16">
        <v>88.770009881541554</v>
      </c>
      <c r="T476" s="16">
        <v>2.3889417600216668E-2</v>
      </c>
      <c r="U476" s="16">
        <v>1.2423318882816525E-105</v>
      </c>
      <c r="V476" s="16">
        <v>1.6171939992975481</v>
      </c>
      <c r="W476" s="16">
        <v>0.67068609615998931</v>
      </c>
      <c r="X476" s="16">
        <v>22.458240368483811</v>
      </c>
    </row>
    <row r="477" spans="16:24" x14ac:dyDescent="0.3">
      <c r="P477" s="16" t="str">
        <f>IF('Data-Plot'!C477="","",$Q$11+('Data-Plot'!C477-'Data-Plot'!D477)*$P$9)</f>
        <v/>
      </c>
      <c r="Q477" s="16" t="str">
        <f>IF('Data-Plot'!C477="","",MAX('Data-Plot'!$C$11:$C$1010)*(1+$Q$9/100))</f>
        <v/>
      </c>
      <c r="R477" s="16" t="str">
        <f>IF('Data-Plot'!C477="","",('Data-Plot'!C477-'Data-Plot'!D477)*$P$9)</f>
        <v/>
      </c>
      <c r="S477" s="16">
        <v>89.448711019540269</v>
      </c>
      <c r="T477" s="16">
        <v>2.3555470666663046E-2</v>
      </c>
      <c r="U477" s="16">
        <v>4.9837469144106625E-106</v>
      </c>
      <c r="V477" s="16">
        <v>1.5759299197568575</v>
      </c>
      <c r="W477" s="16">
        <v>0.61887456248857198</v>
      </c>
      <c r="X477" s="16">
        <v>23.230351066628177</v>
      </c>
    </row>
    <row r="478" spans="16:24" x14ac:dyDescent="0.3">
      <c r="P478" s="16" t="str">
        <f>IF('Data-Plot'!C478="","",$Q$11+('Data-Plot'!C478-'Data-Plot'!D478)*$P$9)</f>
        <v/>
      </c>
      <c r="Q478" s="16" t="str">
        <f>IF('Data-Plot'!C478="","",MAX('Data-Plot'!$C$11:$C$1010)*(1+$Q$9/100))</f>
        <v/>
      </c>
      <c r="R478" s="16" t="str">
        <f>IF('Data-Plot'!C478="","",('Data-Plot'!C478-'Data-Plot'!D478)*$P$9)</f>
        <v/>
      </c>
      <c r="S478" s="16">
        <v>90.135413271310924</v>
      </c>
      <c r="T478" s="16">
        <v>2.3226823836850017E-2</v>
      </c>
      <c r="U478" s="16">
        <v>2.0030285890090771E-106</v>
      </c>
      <c r="V478" s="16">
        <v>1.5357943341932845</v>
      </c>
      <c r="W478" s="16">
        <v>0.57106557283466308</v>
      </c>
      <c r="X478" s="16">
        <v>24.005326540446124</v>
      </c>
    </row>
    <row r="479" spans="16:24" x14ac:dyDescent="0.3">
      <c r="P479" s="16" t="str">
        <f>IF('Data-Plot'!C479="","",$Q$11+('Data-Plot'!C479-'Data-Plot'!D479)*$P$9)</f>
        <v/>
      </c>
      <c r="Q479" s="16" t="str">
        <f>IF('Data-Plot'!C479="","",MAX('Data-Plot'!$C$11:$C$1010)*(1+$Q$9/100))</f>
        <v/>
      </c>
      <c r="R479" s="16" t="str">
        <f>IF('Data-Plot'!C479="","",('Data-Plot'!C479-'Data-Plot'!D479)*$P$9)</f>
        <v/>
      </c>
      <c r="S479" s="16">
        <v>90.82727262937874</v>
      </c>
      <c r="T479" s="16">
        <v>2.2903383517659286E-2</v>
      </c>
      <c r="U479" s="16">
        <v>8.0654543913677124E-107</v>
      </c>
      <c r="V479" s="16">
        <v>1.496754472603288</v>
      </c>
      <c r="W479" s="16">
        <v>0.5269532413415442</v>
      </c>
      <c r="X479" s="16">
        <v>24.780661531916248</v>
      </c>
    </row>
    <row r="480" spans="16:24" x14ac:dyDescent="0.3">
      <c r="P480" s="16" t="str">
        <f>IF('Data-Plot'!C480="","",$Q$11+('Data-Plot'!C480-'Data-Plot'!D480)*$P$9)</f>
        <v/>
      </c>
      <c r="Q480" s="16" t="str">
        <f>IF('Data-Plot'!C480="","",MAX('Data-Plot'!$C$11:$C$1010)*(1+$Q$9/100))</f>
        <v/>
      </c>
      <c r="R480" s="16" t="str">
        <f>IF('Data-Plot'!C480="","",('Data-Plot'!C480-'Data-Plot'!D480)*$P$9)</f>
        <v/>
      </c>
      <c r="S480" s="16">
        <v>91.521236492297788</v>
      </c>
      <c r="T480" s="16">
        <v>2.2585057929073185E-2</v>
      </c>
      <c r="U480" s="16">
        <v>3.2537093745270971E-107</v>
      </c>
      <c r="V480" s="16">
        <v>1.4587785659952841</v>
      </c>
      <c r="W480" s="16">
        <v>0.4862544166424444</v>
      </c>
      <c r="X480" s="16">
        <v>25.553618451730994</v>
      </c>
    </row>
    <row r="481" spans="16:24" x14ac:dyDescent="0.3">
      <c r="P481" s="16" t="str">
        <f>IF('Data-Plot'!C481="","",$Q$11+('Data-Plot'!C481-'Data-Plot'!D481)*$P$9)</f>
        <v/>
      </c>
      <c r="Q481" s="16" t="str">
        <f>IF('Data-Plot'!C481="","",MAX('Data-Plot'!$C$11:$C$1010)*(1+$Q$9/100))</f>
        <v/>
      </c>
      <c r="R481" s="16" t="str">
        <f>IF('Data-Plot'!C481="","",('Data-Plot'!C481-'Data-Plot'!D481)*$P$9)</f>
        <v/>
      </c>
      <c r="S481" s="16">
        <v>92.21403843224796</v>
      </c>
      <c r="T481" s="16">
        <v>2.2271757066049135E-2</v>
      </c>
      <c r="U481" s="16">
        <v>1.3150268191155194E-107</v>
      </c>
      <c r="V481" s="16">
        <v>1.4218358145662493</v>
      </c>
      <c r="W481" s="16">
        <v>0.44870708797725323</v>
      </c>
      <c r="X481" s="16">
        <v>26.321223772638415</v>
      </c>
    </row>
    <row r="482" spans="16:24" x14ac:dyDescent="0.3">
      <c r="P482" s="16" t="str">
        <f>IF('Data-Plot'!C482="","",$Q$11+('Data-Plot'!C482-'Data-Plot'!D482)*$P$9)</f>
        <v/>
      </c>
      <c r="Q482" s="16" t="str">
        <f>IF('Data-Plot'!C482="","",MAX('Data-Plot'!$C$11:$C$1010)*(1+$Q$9/100))</f>
        <v/>
      </c>
      <c r="R482" s="16" t="str">
        <f>IF('Data-Plot'!C482="","",('Data-Plot'!C482-'Data-Plot'!D482)*$P$9)</f>
        <v/>
      </c>
      <c r="S482" s="16">
        <v>92.902195229391893</v>
      </c>
      <c r="T482" s="16">
        <v>2.196339266125619E-2</v>
      </c>
      <c r="U482" s="16">
        <v>5.3246872154373681E-108</v>
      </c>
      <c r="V482" s="16">
        <v>1.3858963569163794</v>
      </c>
      <c r="W482" s="16">
        <v>0.41406888989086893</v>
      </c>
      <c r="X482" s="16">
        <v>27.080266589923394</v>
      </c>
    </row>
    <row r="483" spans="16:24" x14ac:dyDescent="0.3">
      <c r="P483" s="16" t="str">
        <f>IF('Data-Plot'!C483="","",$Q$11+('Data-Plot'!C483-'Data-Plot'!D483)*$P$9)</f>
        <v/>
      </c>
      <c r="Q483" s="16" t="str">
        <f>IF('Data-Plot'!C483="","",MAX('Data-Plot'!$C$11:$C$1010)*(1+$Q$9/100))</f>
        <v/>
      </c>
      <c r="R483" s="16" t="str">
        <f>IF('Data-Plot'!C483="","",('Data-Plot'!C483-'Data-Plot'!D483)*$P$9)</f>
        <v/>
      </c>
      <c r="S483" s="16">
        <v>93.582006528801017</v>
      </c>
      <c r="T483" s="16">
        <v>2.1659878148653878E-2</v>
      </c>
      <c r="U483" s="16">
        <v>2.1600059226936249E-108</v>
      </c>
      <c r="V483" s="16">
        <v>1.3509312402679619</v>
      </c>
      <c r="W483" s="16">
        <v>0.38211570120723759</v>
      </c>
      <c r="X483" s="16">
        <v>27.827299709177169</v>
      </c>
    </row>
    <row r="484" spans="16:24" x14ac:dyDescent="0.3">
      <c r="P484" s="16" t="str">
        <f>IF('Data-Plot'!C484="","",$Q$11+('Data-Plot'!C484-'Data-Plot'!D484)*$P$9)</f>
        <v/>
      </c>
      <c r="Q484" s="16" t="str">
        <f>IF('Data-Plot'!C484="","",MAX('Data-Plot'!$C$11:$C$1010)*(1+$Q$9/100))</f>
        <v/>
      </c>
      <c r="R484" s="16" t="str">
        <f>IF('Data-Plot'!C484="","",('Data-Plot'!C484-'Data-Plot'!D484)*$P$9)</f>
        <v/>
      </c>
      <c r="S484" s="16">
        <v>94.249557493432604</v>
      </c>
      <c r="T484" s="16">
        <v>2.1361128627893723E-2</v>
      </c>
      <c r="U484" s="16">
        <v>8.7783894375586592E-109</v>
      </c>
      <c r="V484" s="16">
        <v>1.3169123916555896</v>
      </c>
      <c r="W484" s="16">
        <v>0.35264033389905558</v>
      </c>
      <c r="X484" s="16">
        <v>28.558643639250061</v>
      </c>
    </row>
    <row r="485" spans="16:24" x14ac:dyDescent="0.3">
      <c r="P485" s="16" t="str">
        <f>IF('Data-Plot'!C485="","",$Q$11+('Data-Plot'!C485-'Data-Plot'!D485)*$P$9)</f>
        <v/>
      </c>
      <c r="Q485" s="16" t="str">
        <f>IF('Data-Plot'!C485="","",MAX('Data-Plot'!$C$11:$C$1010)*(1+$Q$9/100))</f>
        <v/>
      </c>
      <c r="R485" s="16" t="str">
        <f>IF('Data-Plot'!C485="","",('Data-Plot'!C485-'Data-Plot'!D485)*$P$9)</f>
        <v/>
      </c>
      <c r="S485" s="16">
        <v>94.900724839364372</v>
      </c>
      <c r="T485" s="16">
        <v>2.1067060829521287E-2</v>
      </c>
      <c r="U485" s="16">
        <v>3.5741396772698935E-109</v>
      </c>
      <c r="V485" s="16">
        <v>1.2838125900555835</v>
      </c>
      <c r="W485" s="16">
        <v>0.32545130744984158</v>
      </c>
      <c r="X485" s="16">
        <v>29.270393881029431</v>
      </c>
    </row>
    <row r="486" spans="16:24" x14ac:dyDescent="0.3">
      <c r="P486" s="16" t="str">
        <f>IF('Data-Plot'!C486="","",$Q$11+('Data-Plot'!C486-'Data-Plot'!D486)*$P$9)</f>
        <v/>
      </c>
      <c r="Q486" s="16" t="str">
        <f>IF('Data-Plot'!C486="","",MAX('Data-Plot'!$C$11:$C$1010)*(1+$Q$9/100))</f>
        <v/>
      </c>
      <c r="R486" s="16" t="str">
        <f>IF('Data-Plot'!C486="","",('Data-Plot'!C486-'Data-Plot'!D486)*$P$9)</f>
        <v/>
      </c>
      <c r="S486" s="16">
        <v>95.531186645785823</v>
      </c>
      <c r="T486" s="16">
        <v>2.0777593080962345E-2</v>
      </c>
      <c r="U486" s="16">
        <v>1.4578830623292828E-109</v>
      </c>
      <c r="V486" s="16">
        <v>1.2516054394240721</v>
      </c>
      <c r="W486" s="16">
        <v>0.30037170432537075</v>
      </c>
      <c r="X486" s="16">
        <v>29.958431908955429</v>
      </c>
    </row>
    <row r="487" spans="16:24" x14ac:dyDescent="0.3">
      <c r="P487" s="16" t="str">
        <f>IF('Data-Plot'!C487="","",$Q$11+('Data-Plot'!C487-'Data-Plot'!D487)*$P$9)</f>
        <v/>
      </c>
      <c r="Q487" s="16" t="str">
        <f>IF('Data-Plot'!C487="","",MAX('Data-Plot'!$C$11:$C$1010)*(1+$Q$9/100))</f>
        <v/>
      </c>
      <c r="R487" s="16" t="str">
        <f>IF('Data-Plot'!C487="","",('Data-Plot'!C487-'Data-Plot'!D487)*$P$9)</f>
        <v/>
      </c>
      <c r="S487" s="16">
        <v>96.136436330519146</v>
      </c>
      <c r="T487" s="16">
        <v>2.0492645273271916E-2</v>
      </c>
      <c r="U487" s="16">
        <v>5.957527732287469E-110</v>
      </c>
      <c r="V487" s="16">
        <v>1.2202653426135721</v>
      </c>
      <c r="W487" s="16">
        <v>0.27723810222596107</v>
      </c>
      <c r="X487" s="16">
        <v>30.618440240406336</v>
      </c>
    </row>
    <row r="488" spans="16:24" x14ac:dyDescent="0.3">
      <c r="P488" s="16" t="str">
        <f>IF('Data-Plot'!C488="","",$Q$11+('Data-Plot'!C488-'Data-Plot'!D488)*$P$9)</f>
        <v/>
      </c>
      <c r="Q488" s="16" t="str">
        <f>IF('Data-Plot'!C488="","",MAX('Data-Plot'!$C$11:$C$1010)*(1+$Q$9/100))</f>
        <v/>
      </c>
      <c r="R488" s="16" t="str">
        <f>IF('Data-Plot'!C488="","",('Data-Plot'!C488-'Data-Plot'!D488)*$P$9)</f>
        <v/>
      </c>
      <c r="S488" s="16">
        <v>96.711801170299196</v>
      </c>
      <c r="T488" s="16">
        <v>2.0212138828629211E-2</v>
      </c>
      <c r="U488" s="16">
        <v>2.4389303095501164E-110</v>
      </c>
      <c r="V488" s="16">
        <v>1.1897674761392552</v>
      </c>
      <c r="W488" s="16">
        <v>0.25589957887530079</v>
      </c>
      <c r="X488" s="16">
        <v>31.24592197645601</v>
      </c>
    </row>
    <row r="489" spans="16:24" x14ac:dyDescent="0.3">
      <c r="P489" s="16" t="str">
        <f>IF('Data-Plot'!C489="","",$Q$11+('Data-Plot'!C489-'Data-Plot'!D489)*$P$9)</f>
        <v/>
      </c>
      <c r="Q489" s="16" t="str">
        <f>IF('Data-Plot'!C489="","",MAX('Data-Plot'!$C$11:$C$1010)*(1+$Q$9/100))</f>
        <v/>
      </c>
      <c r="R489" s="16" t="str">
        <f>IF('Data-Plot'!C489="","",('Data-Plot'!C489-'Data-Plot'!D489)*$P$9)</f>
        <v/>
      </c>
      <c r="S489" s="16">
        <v>97.252465721868916</v>
      </c>
      <c r="T489" s="16">
        <v>1.9935996668560382E-2</v>
      </c>
      <c r="U489" s="16">
        <v>1.0002772042287159E-110</v>
      </c>
      <c r="V489" s="16">
        <v>1.1600877657669799</v>
      </c>
      <c r="W489" s="16">
        <v>0.2362167852084591</v>
      </c>
      <c r="X489" s="16">
        <v>31.836225174224925</v>
      </c>
    </row>
    <row r="490" spans="16:24" x14ac:dyDescent="0.3">
      <c r="P490" s="16" t="str">
        <f>IF('Data-Plot'!C490="","",$Q$11+('Data-Plot'!C490-'Data-Plot'!D490)*$P$9)</f>
        <v/>
      </c>
      <c r="Q490" s="16" t="str">
        <f>IF('Data-Plot'!C490="","",MAX('Data-Plot'!$C$11:$C$1010)*(1+$Q$9/100))</f>
        <v/>
      </c>
      <c r="R490" s="16" t="str">
        <f>IF('Data-Plot'!C490="","",('Data-Plot'!C490-'Data-Plot'!D490)*$P$9)</f>
        <v/>
      </c>
      <c r="S490" s="16">
        <v>97.753500463238282</v>
      </c>
      <c r="T490" s="16">
        <v>1.9664143182870825E-2</v>
      </c>
      <c r="U490" s="16">
        <v>4.109857319173029E-111</v>
      </c>
      <c r="V490" s="16">
        <v>1.1312028628957584</v>
      </c>
      <c r="W490" s="16">
        <v>0.21806108294670132</v>
      </c>
      <c r="X490" s="16">
        <v>32.384572374212958</v>
      </c>
    </row>
    <row r="491" spans="16:24" x14ac:dyDescent="0.3">
      <c r="P491" s="16" t="str">
        <f>IF('Data-Plot'!C491="","",$Q$11+('Data-Plot'!C491-'Data-Plot'!D491)*$P$9)</f>
        <v/>
      </c>
      <c r="Q491" s="16" t="str">
        <f>IF('Data-Plot'!C491="","",MAX('Data-Plot'!$C$11:$C$1010)*(1+$Q$9/100))</f>
        <v/>
      </c>
      <c r="R491" s="16" t="str">
        <f>IF('Data-Plot'!C491="","",('Data-Plot'!C491-'Data-Plot'!D491)*$P$9)</f>
        <v/>
      </c>
      <c r="S491" s="16">
        <v>98.209895922289817</v>
      </c>
      <c r="T491" s="16">
        <v>1.939650419927141E-2</v>
      </c>
      <c r="U491" s="16">
        <v>1.691672324663188E-111</v>
      </c>
      <c r="V491" s="16">
        <v>1.1030901217087368</v>
      </c>
      <c r="W491" s="16">
        <v>0.20131374268623672</v>
      </c>
      <c r="X491" s="16">
        <v>32.886095553695576</v>
      </c>
    </row>
    <row r="492" spans="16:24" x14ac:dyDescent="0.3">
      <c r="P492" s="16" t="str">
        <f>IF('Data-Plot'!C492="","",$Q$11+('Data-Plot'!C492-'Data-Plot'!D492)*$P$9)</f>
        <v/>
      </c>
      <c r="Q492" s="16" t="str">
        <f>IF('Data-Plot'!C492="","",MAX('Data-Plot'!$C$11:$C$1010)*(1+$Q$9/100))</f>
        <v/>
      </c>
      <c r="R492" s="16" t="str">
        <f>IF('Data-Plot'!C492="","",('Data-Plot'!C492-'Data-Plot'!D492)*$P$9)</f>
        <v/>
      </c>
      <c r="S492" s="16">
        <v>98.616602490556943</v>
      </c>
      <c r="T492" s="16">
        <v>1.9133006953681201E-2</v>
      </c>
      <c r="U492" s="16">
        <v>6.9756809336865994E-112</v>
      </c>
      <c r="V492" s="16">
        <v>1.0757275770670838</v>
      </c>
      <c r="W492" s="16">
        <v>0.18586519877703483</v>
      </c>
      <c r="X492" s="16">
        <v>33.335876707759141</v>
      </c>
    </row>
    <row r="493" spans="16:24" x14ac:dyDescent="0.3">
      <c r="P493" s="16" t="str">
        <f>IF('Data-Plot'!C493="","",$Q$11+('Data-Plot'!C493-'Data-Plot'!D493)*$P$9)</f>
        <v/>
      </c>
      <c r="Q493" s="16" t="str">
        <f>IF('Data-Plot'!C493="","",MAX('Data-Plot'!$C$11:$C$1010)*(1+$Q$9/100))</f>
        <v/>
      </c>
      <c r="R493" s="16" t="str">
        <f>IF('Data-Plot'!C493="","",('Data-Plot'!C493-'Data-Plot'!D493)*$P$9)</f>
        <v/>
      </c>
      <c r="S493" s="16">
        <v>98.968576031777118</v>
      </c>
      <c r="T493" s="16">
        <v>1.8873580061190137E-2</v>
      </c>
      <c r="U493" s="16">
        <v>2.8816124816351674E-112</v>
      </c>
      <c r="V493" s="16">
        <v>1.0490939231223442</v>
      </c>
      <c r="W493" s="16">
        <v>0.17161435742457068</v>
      </c>
      <c r="X493" s="16">
        <v>33.728994171169006</v>
      </c>
    </row>
    <row r="494" spans="16:24" x14ac:dyDescent="0.3">
      <c r="P494" s="16" t="str">
        <f>IF('Data-Plot'!C494="","",$Q$11+('Data-Plot'!C494-'Data-Plot'!D494)*$P$9)</f>
        <v/>
      </c>
      <c r="Q494" s="16" t="str">
        <f>IF('Data-Plot'!C494="","",MAX('Data-Plot'!$C$11:$C$1010)*(1+$Q$9/100))</f>
        <v/>
      </c>
      <c r="R494" s="16" t="str">
        <f>IF('Data-Plot'!C494="","",('Data-Plot'!C494-'Data-Plot'!D494)*$P$9)</f>
        <v/>
      </c>
      <c r="S494" s="16">
        <v>99.260829286473268</v>
      </c>
      <c r="T494" s="16">
        <v>1.8618153487667839E-2</v>
      </c>
      <c r="U494" s="16">
        <v>1.1925068884481186E-112</v>
      </c>
      <c r="V494" s="16">
        <v>1.0231684926235911</v>
      </c>
      <c r="W494" s="16">
        <v>0.15846795460824609</v>
      </c>
      <c r="X494" s="16">
        <v>34.060574685753764</v>
      </c>
    </row>
    <row r="495" spans="16:24" x14ac:dyDescent="0.3">
      <c r="P495" s="16" t="str">
        <f>IF('Data-Plot'!C495="","",$Q$11+('Data-Plot'!C495-'Data-Plot'!D495)*$P$9)</f>
        <v/>
      </c>
      <c r="Q495" s="16" t="str">
        <f>IF('Data-Plot'!C495="","",MAX('Data-Plot'!$C$11:$C$1010)*(1+$Q$9/100))</f>
        <v/>
      </c>
      <c r="R495" s="16" t="str">
        <f>IF('Data-Plot'!C495="","",('Data-Plot'!C495-'Data-Plot'!D495)*$P$9)</f>
        <v/>
      </c>
      <c r="S495" s="16">
        <v>99.488488944477936</v>
      </c>
      <c r="T495" s="16">
        <v>1.8366658522000232E-2</v>
      </c>
      <c r="U495" s="16">
        <v>4.9437934416644424E-113</v>
      </c>
      <c r="V495" s="16">
        <v>0.99793123689619356</v>
      </c>
      <c r="W495" s="16">
        <v>0.14633996057321563</v>
      </c>
      <c r="X495" s="16">
        <v>34.32585108848653</v>
      </c>
    </row>
    <row r="496" spans="16:24" x14ac:dyDescent="0.3">
      <c r="P496" s="16" t="str">
        <f>IF('Data-Plot'!C496="","",$Q$11+('Data-Plot'!C496-'Data-Plot'!D496)*$P$9)</f>
        <v/>
      </c>
      <c r="Q496" s="16" t="str">
        <f>IF('Data-Plot'!C496="","",MAX('Data-Plot'!$C$11:$C$1010)*(1+$Q$9/100))</f>
        <v/>
      </c>
      <c r="R496" s="16" t="str">
        <f>IF('Data-Plot'!C496="","",('Data-Plot'!C496-'Data-Plot'!D496)*$P$9)</f>
        <v/>
      </c>
      <c r="S496" s="16">
        <v>99.646858106690757</v>
      </c>
      <c r="T496" s="16">
        <v>1.8119027748942532E-2</v>
      </c>
      <c r="U496" s="16">
        <v>2.0532015944150259E-113</v>
      </c>
      <c r="V496" s="16">
        <v>0.97336270647025802</v>
      </c>
      <c r="W496" s="16">
        <v>0.13515102781601138</v>
      </c>
      <c r="X496" s="16">
        <v>34.520225344655543</v>
      </c>
    </row>
    <row r="497" spans="16:24" x14ac:dyDescent="0.3">
      <c r="P497" s="16" t="str">
        <f>IF('Data-Plot'!C497="","",$Q$11+('Data-Plot'!C497-'Data-Plot'!D497)*$P$9)</f>
        <v/>
      </c>
      <c r="Q497" s="16" t="str">
        <f>IF('Data-Plot'!C497="","",MAX('Data-Plot'!$C$11:$C$1010)*(1+$Q$9/100))</f>
        <v/>
      </c>
      <c r="R497" s="16" t="str">
        <f>IF('Data-Plot'!C497="","",('Data-Plot'!C497-'Data-Plot'!D497)*$P$9)</f>
        <v/>
      </c>
      <c r="S497" s="16">
        <v>99.731483686020525</v>
      </c>
      <c r="T497" s="16">
        <v>1.7875195022570785E-2</v>
      </c>
      <c r="U497" s="16">
        <v>8.5422540333295542E-114</v>
      </c>
      <c r="V497" s="16">
        <v>0.94944403233705765</v>
      </c>
      <c r="W497" s="16">
        <v>0.12482797964629272</v>
      </c>
      <c r="X497" s="16">
        <v>34.639336479014595</v>
      </c>
    </row>
    <row r="498" spans="16:24" x14ac:dyDescent="0.3">
      <c r="P498" s="16" t="str">
        <f>IF('Data-Plot'!C498="","",$Q$11+('Data-Plot'!C498-'Data-Plot'!D498)*$P$9)</f>
        <v/>
      </c>
      <c r="Q498" s="16" t="str">
        <f>IF('Data-Plot'!C498="","",MAX('Data-Plot'!$C$11:$C$1010)*(1+$Q$9/100))</f>
        <v/>
      </c>
      <c r="R498" s="16" t="str">
        <f>IF('Data-Plot'!C498="","",('Data-Plot'!C498-'Data-Plot'!D498)*$P$9)</f>
        <v/>
      </c>
      <c r="S498" s="16">
        <v>99.738228106771274</v>
      </c>
      <c r="T498" s="16">
        <v>1.7635095440320124E-2</v>
      </c>
      <c r="U498" s="16">
        <v>3.5602520853867748E-114</v>
      </c>
      <c r="V498" s="16">
        <v>0.92615690781274651</v>
      </c>
      <c r="W498" s="16">
        <v>0.11530333656688124</v>
      </c>
      <c r="X498" s="16">
        <v>34.679132766951327</v>
      </c>
    </row>
    <row r="499" spans="16:24" x14ac:dyDescent="0.3">
      <c r="P499" s="16" t="str">
        <f>IF('Data-Plot'!C499="","",$Q$11+('Data-Plot'!C499-'Data-Plot'!D499)*$P$9)</f>
        <v/>
      </c>
      <c r="Q499" s="16" t="str">
        <f>IF('Data-Plot'!C499="","",MAX('Data-Plot'!$C$11:$C$1010)*(1+$Q$9/100))</f>
        <v/>
      </c>
      <c r="R499" s="16" t="str">
        <f>IF('Data-Plot'!C499="","",('Data-Plot'!C499-'Data-Plot'!D499)*$P$9)</f>
        <v/>
      </c>
      <c r="S499" s="16">
        <v>99.6633444543248</v>
      </c>
      <c r="T499" s="16">
        <v>1.7398665317594968E-2</v>
      </c>
      <c r="U499" s="16">
        <v>1.4864631997632979E-114</v>
      </c>
      <c r="V499" s="16">
        <v>0.9034835709893303</v>
      </c>
      <c r="W499" s="16">
        <v>0.10651487787031923</v>
      </c>
      <c r="X499" s="16">
        <v>34.635947340147553</v>
      </c>
    </row>
    <row r="500" spans="16:24" x14ac:dyDescent="0.3">
      <c r="P500" s="16" t="str">
        <f>IF('Data-Plot'!C500="","",$Q$11+('Data-Plot'!C500-'Data-Plot'!D500)*$P$9)</f>
        <v/>
      </c>
      <c r="Q500" s="16" t="str">
        <f>IF('Data-Plot'!C500="","",MAX('Data-Plot'!$C$11:$C$1010)*(1+$Q$9/100))</f>
        <v/>
      </c>
      <c r="R500" s="16" t="str">
        <f>IF('Data-Plot'!C500="","",('Data-Plot'!C500-'Data-Plot'!D500)*$P$9)</f>
        <v/>
      </c>
      <c r="S500" s="16">
        <v>99.503554006634531</v>
      </c>
      <c r="T500" s="16">
        <v>1.7165842162937112E-2</v>
      </c>
      <c r="U500" s="16">
        <v>6.2171377895240863E-115</v>
      </c>
      <c r="V500" s="16">
        <v>0.88140678775330294</v>
      </c>
      <c r="W500" s="16">
        <v>9.8405236001906662E-2</v>
      </c>
      <c r="X500" s="16">
        <v>34.506576140716383</v>
      </c>
    </row>
    <row r="501" spans="16:24" x14ac:dyDescent="0.3">
      <c r="P501" s="16" t="str">
        <f>IF('Data-Plot'!C501="","",$Q$11+('Data-Plot'!C501-'Data-Plot'!D501)*$P$9)</f>
        <v/>
      </c>
      <c r="Q501" s="16" t="str">
        <f>IF('Data-Plot'!C501="","",MAX('Data-Plot'!$C$11:$C$1010)*(1+$Q$9/100))</f>
        <v/>
      </c>
      <c r="R501" s="16" t="str">
        <f>IF('Data-Plot'!C501="","",('Data-Plot'!C501-'Data-Plot'!D501)*$P$9)</f>
        <v/>
      </c>
      <c r="S501" s="16">
        <v>99.256124851094299</v>
      </c>
      <c r="T501" s="16">
        <v>1.6936564653740112E-2</v>
      </c>
      <c r="U501" s="16">
        <v>2.6048787916603129E-115</v>
      </c>
      <c r="V501" s="16">
        <v>0.85990983535336463</v>
      </c>
      <c r="W501" s="16">
        <v>9.0921521386107165E-2</v>
      </c>
      <c r="X501" s="16">
        <v>34.288356929701081</v>
      </c>
    </row>
    <row r="502" spans="16:24" x14ac:dyDescent="0.3">
      <c r="P502" s="16" t="str">
        <f>IF('Data-Plot'!C502="","",$Q$11+('Data-Plot'!C502-'Data-Plot'!D502)*$P$9)</f>
        <v/>
      </c>
      <c r="Q502" s="16" t="str">
        <f>IF('Data-Plot'!C502="","",MAX('Data-Plot'!$C$11:$C$1010)*(1+$Q$9/100))</f>
        <v/>
      </c>
      <c r="R502" s="16" t="str">
        <f>IF('Data-Plot'!C502="","",('Data-Plot'!C502-'Data-Plot'!D502)*$P$9)</f>
        <v/>
      </c>
      <c r="S502" s="16">
        <v>98.918950061547278</v>
      </c>
      <c r="T502" s="16">
        <v>1.6710772612495543E-2</v>
      </c>
      <c r="U502" s="16">
        <v>1.0933092596709955E-115</v>
      </c>
      <c r="V502" s="16">
        <v>0.83897648649890155</v>
      </c>
      <c r="W502" s="16">
        <v>8.4014975554455334E-2</v>
      </c>
      <c r="X502" s="16">
        <v>33.979247826881419</v>
      </c>
    </row>
    <row r="503" spans="16:24" x14ac:dyDescent="0.3">
      <c r="P503" s="16" t="str">
        <f>IF('Data-Plot'!C503="","",$Q$11+('Data-Plot'!C503-'Data-Plot'!D503)*$P$9)</f>
        <v/>
      </c>
      <c r="Q503" s="16" t="str">
        <f>IF('Data-Plot'!C503="","",MAX('Data-Plot'!$C$11:$C$1010)*(1+$Q$9/100))</f>
        <v/>
      </c>
      <c r="R503" s="16" t="str">
        <f>IF('Data-Plot'!C503="","",('Data-Plot'!C503-'Data-Plot'!D503)*$P$9)</f>
        <v/>
      </c>
      <c r="S503" s="16">
        <v>98.490623688963382</v>
      </c>
      <c r="T503" s="16">
        <v>1.6488406983559481E-2</v>
      </c>
      <c r="U503" s="16">
        <v>4.5967914446224739E-116</v>
      </c>
      <c r="V503" s="16">
        <v>0.81859099397172674</v>
      </c>
      <c r="W503" s="16">
        <v>7.7640650548766205E-2</v>
      </c>
      <c r="X503" s="16">
        <v>33.577903637459329</v>
      </c>
    </row>
    <row r="504" spans="16:24" x14ac:dyDescent="0.3">
      <c r="P504" s="16" t="str">
        <f>IF('Data-Plot'!C504="","",$Q$11+('Data-Plot'!C504-'Data-Plot'!D504)*$P$9)</f>
        <v/>
      </c>
      <c r="Q504" s="16" t="str">
        <f>IF('Data-Plot'!C504="","",MAX('Data-Plot'!$C$11:$C$1010)*(1+$Q$9/100))</f>
        <v/>
      </c>
      <c r="R504" s="16" t="str">
        <f>IF('Data-Plot'!C504="","",('Data-Plot'!C504-'Data-Plot'!D504)*$P$9)</f>
        <v/>
      </c>
      <c r="S504" s="16">
        <v>97.970512615535839</v>
      </c>
      <c r="T504" s="16">
        <v>1.6269409810427311E-2</v>
      </c>
      <c r="U504" s="16">
        <v>1.9360681268612896E-116</v>
      </c>
      <c r="V504" s="16">
        <v>0.79873807573415123</v>
      </c>
      <c r="W504" s="16">
        <v>7.1757112703068282E-2</v>
      </c>
      <c r="X504" s="16">
        <v>33.083748017288187</v>
      </c>
    </row>
    <row r="505" spans="16:24" x14ac:dyDescent="0.3">
      <c r="P505" s="16" t="str">
        <f>IF('Data-Plot'!C505="","",$Q$11+('Data-Plot'!C505-'Data-Plot'!D505)*$P$9)</f>
        <v/>
      </c>
      <c r="Q505" s="16" t="str">
        <f>IF('Data-Plot'!C505="","",MAX('Data-Plot'!$C$11:$C$1010)*(1+$Q$9/100))</f>
        <v/>
      </c>
      <c r="R505" s="16" t="str">
        <f>IF('Data-Plot'!C505="","",('Data-Plot'!C505-'Data-Plot'!D505)*$P$9)</f>
        <v/>
      </c>
      <c r="S505" s="16">
        <v>97.358822146996303</v>
      </c>
      <c r="T505" s="16">
        <v>1.6053724213503706E-2</v>
      </c>
      <c r="U505" s="16">
        <v>8.1684250769337997E-117</v>
      </c>
      <c r="V505" s="16">
        <v>0.77940290051683925</v>
      </c>
      <c r="W505" s="16">
        <v>6.6326169031099586E-2</v>
      </c>
      <c r="X505" s="16">
        <v>32.497039353234861</v>
      </c>
    </row>
    <row r="506" spans="16:24" x14ac:dyDescent="0.3">
      <c r="P506" s="16" t="str">
        <f>IF('Data-Plot'!C506="","",$Q$11+('Data-Plot'!C506-'Data-Plot'!D506)*$P$9)</f>
        <v/>
      </c>
      <c r="Q506" s="16" t="str">
        <f>IF('Data-Plot'!C506="","",MAX('Data-Plot'!$C$11:$C$1010)*(1+$Q$9/100))</f>
        <v/>
      </c>
      <c r="R506" s="16" t="str">
        <f>IF('Data-Plot'!C506="","",('Data-Plot'!C506-'Data-Plot'!D506)*$P$9)</f>
        <v/>
      </c>
      <c r="S506" s="16">
        <v>96.656653084317455</v>
      </c>
      <c r="T506" s="16">
        <v>1.5841294368357985E-2</v>
      </c>
      <c r="U506" s="16">
        <v>3.452277425374852E-117</v>
      </c>
      <c r="V506" s="16">
        <v>0.76057107387075706</v>
      </c>
      <c r="W506" s="16">
        <v>6.1312614563670292E-2</v>
      </c>
      <c r="X506" s="16">
        <v>31.818928101514675</v>
      </c>
    </row>
    <row r="507" spans="16:24" x14ac:dyDescent="0.3">
      <c r="P507" s="16" t="str">
        <f>IF('Data-Plot'!C507="","",$Q$11+('Data-Plot'!C507-'Data-Plot'!D507)*$P$9)</f>
        <v/>
      </c>
      <c r="Q507" s="16" t="str">
        <f>IF('Data-Plot'!C507="","",MAX('Data-Plot'!$C$11:$C$1010)*(1+$Q$9/100))</f>
        <v/>
      </c>
      <c r="R507" s="16" t="str">
        <f>IF('Data-Plot'!C507="","",('Data-Plot'!C507-'Data-Plot'!D507)*$P$9)</f>
        <v/>
      </c>
      <c r="S507" s="16">
        <v>95.866047936948178</v>
      </c>
      <c r="T507" s="16">
        <v>1.5632065484451754E-2</v>
      </c>
      <c r="U507" s="16">
        <v>1.4615730295335027E-117</v>
      </c>
      <c r="V507" s="16">
        <v>0.74222862466771899</v>
      </c>
      <c r="W507" s="16">
        <v>5.6683999091300792E-2</v>
      </c>
      <c r="X507" s="16">
        <v>31.051503247704705</v>
      </c>
    </row>
    <row r="508" spans="16:24" x14ac:dyDescent="0.3">
      <c r="P508" s="16" t="str">
        <f>IF('Data-Plot'!C508="","",$Q$11+('Data-Plot'!C508-'Data-Plot'!D508)*$P$9)</f>
        <v/>
      </c>
      <c r="Q508" s="16" t="str">
        <f>IF('Data-Plot'!C508="","",MAX('Data-Plot'!$C$11:$C$1010)*(1+$Q$9/100))</f>
        <v/>
      </c>
      <c r="R508" s="16" t="str">
        <f>IF('Data-Plot'!C508="","",('Data-Plot'!C508-'Data-Plot'!D508)*$P$9)</f>
        <v/>
      </c>
      <c r="S508" s="16">
        <v>94.990023928863351</v>
      </c>
      <c r="T508" s="16">
        <v>1.5425983784329071E-2</v>
      </c>
      <c r="U508" s="16">
        <v>6.1984148723845646E-118</v>
      </c>
      <c r="V508" s="16">
        <v>0.72436199203478335</v>
      </c>
      <c r="W508" s="16">
        <v>5.2410411872774586E-2</v>
      </c>
      <c r="X508" s="16">
        <v>30.197825541171465</v>
      </c>
    </row>
    <row r="509" spans="16:24" x14ac:dyDescent="0.3">
      <c r="P509" s="16" t="str">
        <f>IF('Data-Plot'!C509="","",$Q$11+('Data-Plot'!C509-'Data-Plot'!D509)*$P$9)</f>
        <v/>
      </c>
      <c r="Q509" s="16" t="str">
        <f>IF('Data-Plot'!C509="","",MAX('Data-Plot'!$C$11:$C$1010)*(1+$Q$9/100))</f>
        <v/>
      </c>
      <c r="R509" s="16" t="str">
        <f>IF('Data-Plot'!C509="","",('Data-Plot'!C509-'Data-Plot'!D509)*$P$9)</f>
        <v/>
      </c>
      <c r="S509" s="16">
        <v>94.032590519094356</v>
      </c>
      <c r="T509" s="16">
        <v>1.5222996483258214E-2</v>
      </c>
      <c r="U509" s="16">
        <v>2.6332001516455629E-118</v>
      </c>
      <c r="V509" s="16">
        <v>0.70695801270819358</v>
      </c>
      <c r="W509" s="16">
        <v>4.8464282969469641E-2</v>
      </c>
      <c r="X509" s="16">
        <v>29.261945226933435</v>
      </c>
    </row>
    <row r="510" spans="16:24" x14ac:dyDescent="0.3">
      <c r="P510" s="16" t="str">
        <f>IF('Data-Plot'!C510="","",$Q$11+('Data-Plot'!C510-'Data-Plot'!D510)*$P$9)</f>
        <v/>
      </c>
      <c r="Q510" s="16" t="str">
        <f>IF('Data-Plot'!C510="","",MAX('Data-Plot'!$C$11:$C$1010)*(1+$Q$9/100))</f>
        <v/>
      </c>
      <c r="R510" s="16" t="str">
        <f>IF('Data-Plot'!C510="","",('Data-Plot'!C510-'Data-Plot'!D510)*$P$9)</f>
        <v/>
      </c>
      <c r="S510" s="16">
        <v>92.998749321837977</v>
      </c>
      <c r="T510" s="16">
        <v>1.5023051769313546E-2</v>
      </c>
      <c r="U510" s="16">
        <v>1.1205417385853805E-118</v>
      </c>
      <c r="V510" s="16">
        <v>0.69000390879288687</v>
      </c>
      <c r="W510" s="16">
        <v>4.4820199958744665E-2</v>
      </c>
      <c r="X510" s="16">
        <v>28.248902161317034</v>
      </c>
    </row>
    <row r="511" spans="16:24" x14ac:dyDescent="0.3">
      <c r="P511" s="16" t="str">
        <f>IF('Data-Plot'!C511="","",$Q$11+('Data-Plot'!C511-'Data-Plot'!D511)*$P$9)</f>
        <v/>
      </c>
      <c r="Q511" s="16" t="str">
        <f>IF('Data-Plot'!C511="","",MAX('Data-Plot'!$C$11:$C$1010)*(1+$Q$9/100))</f>
        <v/>
      </c>
      <c r="R511" s="16" t="str">
        <f>IF('Data-Plot'!C511="","",('Data-Plot'!C511-'Data-Plot'!D511)*$P$9)</f>
        <v/>
      </c>
    </row>
    <row r="512" spans="16:24" x14ac:dyDescent="0.3">
      <c r="P512" s="16" t="str">
        <f>IF('Data-Plot'!C512="","",$Q$11+('Data-Plot'!C512-'Data-Plot'!D512)*$P$9)</f>
        <v/>
      </c>
      <c r="Q512" s="16" t="str">
        <f>IF('Data-Plot'!C512="","",MAX('Data-Plot'!$C$11:$C$1010)*(1+$Q$9/100))</f>
        <v/>
      </c>
      <c r="R512" s="16" t="str">
        <f>IF('Data-Plot'!C512="","",('Data-Plot'!C512-'Data-Plot'!D512)*$P$9)</f>
        <v/>
      </c>
    </row>
    <row r="513" spans="16:18" x14ac:dyDescent="0.3">
      <c r="P513" s="16" t="str">
        <f>IF('Data-Plot'!C513="","",$Q$11+('Data-Plot'!C513-'Data-Plot'!D513)*$P$9)</f>
        <v/>
      </c>
      <c r="Q513" s="16" t="str">
        <f>IF('Data-Plot'!C513="","",MAX('Data-Plot'!$C$11:$C$1010)*(1+$Q$9/100))</f>
        <v/>
      </c>
      <c r="R513" s="16" t="str">
        <f>IF('Data-Plot'!C513="","",('Data-Plot'!C513-'Data-Plot'!D513)*$P$9)</f>
        <v/>
      </c>
    </row>
    <row r="514" spans="16:18" x14ac:dyDescent="0.3">
      <c r="P514" s="16" t="str">
        <f>IF('Data-Plot'!C514="","",$Q$11+('Data-Plot'!C514-'Data-Plot'!D514)*$P$9)</f>
        <v/>
      </c>
      <c r="Q514" s="16" t="str">
        <f>IF('Data-Plot'!C514="","",MAX('Data-Plot'!$C$11:$C$1010)*(1+$Q$9/100))</f>
        <v/>
      </c>
      <c r="R514" s="16" t="str">
        <f>IF('Data-Plot'!C514="","",('Data-Plot'!C514-'Data-Plot'!D514)*$P$9)</f>
        <v/>
      </c>
    </row>
    <row r="515" spans="16:18" x14ac:dyDescent="0.3">
      <c r="P515" s="16" t="str">
        <f>IF('Data-Plot'!C515="","",$Q$11+('Data-Plot'!C515-'Data-Plot'!D515)*$P$9)</f>
        <v/>
      </c>
      <c r="Q515" s="16" t="str">
        <f>IF('Data-Plot'!C515="","",MAX('Data-Plot'!$C$11:$C$1010)*(1+$Q$9/100))</f>
        <v/>
      </c>
      <c r="R515" s="16" t="str">
        <f>IF('Data-Plot'!C515="","",('Data-Plot'!C515-'Data-Plot'!D515)*$P$9)</f>
        <v/>
      </c>
    </row>
    <row r="516" spans="16:18" x14ac:dyDescent="0.3">
      <c r="P516" s="16" t="str">
        <f>IF('Data-Plot'!C516="","",$Q$11+('Data-Plot'!C516-'Data-Plot'!D516)*$P$9)</f>
        <v/>
      </c>
      <c r="Q516" s="16" t="str">
        <f>IF('Data-Plot'!C516="","",MAX('Data-Plot'!$C$11:$C$1010)*(1+$Q$9/100))</f>
        <v/>
      </c>
      <c r="R516" s="16" t="str">
        <f>IF('Data-Plot'!C516="","",('Data-Plot'!C516-'Data-Plot'!D516)*$P$9)</f>
        <v/>
      </c>
    </row>
    <row r="517" spans="16:18" x14ac:dyDescent="0.3">
      <c r="P517" s="16" t="str">
        <f>IF('Data-Plot'!C517="","",$Q$11+('Data-Plot'!C517-'Data-Plot'!D517)*$P$9)</f>
        <v/>
      </c>
      <c r="Q517" s="16" t="str">
        <f>IF('Data-Plot'!C517="","",MAX('Data-Plot'!$C$11:$C$1010)*(1+$Q$9/100))</f>
        <v/>
      </c>
      <c r="R517" s="16" t="str">
        <f>IF('Data-Plot'!C517="","",('Data-Plot'!C517-'Data-Plot'!D517)*$P$9)</f>
        <v/>
      </c>
    </row>
    <row r="518" spans="16:18" x14ac:dyDescent="0.3">
      <c r="P518" s="16" t="str">
        <f>IF('Data-Plot'!C518="","",$Q$11+('Data-Plot'!C518-'Data-Plot'!D518)*$P$9)</f>
        <v/>
      </c>
      <c r="Q518" s="16" t="str">
        <f>IF('Data-Plot'!C518="","",MAX('Data-Plot'!$C$11:$C$1010)*(1+$Q$9/100))</f>
        <v/>
      </c>
      <c r="R518" s="16" t="str">
        <f>IF('Data-Plot'!C518="","",('Data-Plot'!C518-'Data-Plot'!D518)*$P$9)</f>
        <v/>
      </c>
    </row>
    <row r="519" spans="16:18" x14ac:dyDescent="0.3">
      <c r="P519" s="16" t="str">
        <f>IF('Data-Plot'!C519="","",$Q$11+('Data-Plot'!C519-'Data-Plot'!D519)*$P$9)</f>
        <v/>
      </c>
      <c r="Q519" s="16" t="str">
        <f>IF('Data-Plot'!C519="","",MAX('Data-Plot'!$C$11:$C$1010)*(1+$Q$9/100))</f>
        <v/>
      </c>
      <c r="R519" s="16" t="str">
        <f>IF('Data-Plot'!C519="","",('Data-Plot'!C519-'Data-Plot'!D519)*$P$9)</f>
        <v/>
      </c>
    </row>
    <row r="520" spans="16:18" x14ac:dyDescent="0.3">
      <c r="P520" s="16" t="str">
        <f>IF('Data-Plot'!C520="","",$Q$11+('Data-Plot'!C520-'Data-Plot'!D520)*$P$9)</f>
        <v/>
      </c>
      <c r="Q520" s="16" t="str">
        <f>IF('Data-Plot'!C520="","",MAX('Data-Plot'!$C$11:$C$1010)*(1+$Q$9/100))</f>
        <v/>
      </c>
      <c r="R520" s="16" t="str">
        <f>IF('Data-Plot'!C520="","",('Data-Plot'!C520-'Data-Plot'!D520)*$P$9)</f>
        <v/>
      </c>
    </row>
    <row r="521" spans="16:18" x14ac:dyDescent="0.3">
      <c r="P521" s="16" t="str">
        <f>IF('Data-Plot'!C521="","",$Q$11+('Data-Plot'!C521-'Data-Plot'!D521)*$P$9)</f>
        <v/>
      </c>
      <c r="Q521" s="16" t="str">
        <f>IF('Data-Plot'!C521="","",MAX('Data-Plot'!$C$11:$C$1010)*(1+$Q$9/100))</f>
        <v/>
      </c>
      <c r="R521" s="16" t="str">
        <f>IF('Data-Plot'!C521="","",('Data-Plot'!C521-'Data-Plot'!D521)*$P$9)</f>
        <v/>
      </c>
    </row>
    <row r="522" spans="16:18" x14ac:dyDescent="0.3">
      <c r="P522" s="16" t="str">
        <f>IF('Data-Plot'!C522="","",$Q$11+('Data-Plot'!C522-'Data-Plot'!D522)*$P$9)</f>
        <v/>
      </c>
      <c r="Q522" s="16" t="str">
        <f>IF('Data-Plot'!C522="","",MAX('Data-Plot'!$C$11:$C$1010)*(1+$Q$9/100))</f>
        <v/>
      </c>
      <c r="R522" s="16" t="str">
        <f>IF('Data-Plot'!C522="","",('Data-Plot'!C522-'Data-Plot'!D522)*$P$9)</f>
        <v/>
      </c>
    </row>
    <row r="523" spans="16:18" x14ac:dyDescent="0.3">
      <c r="P523" s="16" t="str">
        <f>IF('Data-Plot'!C523="","",$Q$11+('Data-Plot'!C523-'Data-Plot'!D523)*$P$9)</f>
        <v/>
      </c>
      <c r="Q523" s="16" t="str">
        <f>IF('Data-Plot'!C523="","",MAX('Data-Plot'!$C$11:$C$1010)*(1+$Q$9/100))</f>
        <v/>
      </c>
      <c r="R523" s="16" t="str">
        <f>IF('Data-Plot'!C523="","",('Data-Plot'!C523-'Data-Plot'!D523)*$P$9)</f>
        <v/>
      </c>
    </row>
    <row r="524" spans="16:18" x14ac:dyDescent="0.3">
      <c r="P524" s="16" t="str">
        <f>IF('Data-Plot'!C524="","",$Q$11+('Data-Plot'!C524-'Data-Plot'!D524)*$P$9)</f>
        <v/>
      </c>
      <c r="Q524" s="16" t="str">
        <f>IF('Data-Plot'!C524="","",MAX('Data-Plot'!$C$11:$C$1010)*(1+$Q$9/100))</f>
        <v/>
      </c>
      <c r="R524" s="16" t="str">
        <f>IF('Data-Plot'!C524="","",('Data-Plot'!C524-'Data-Plot'!D524)*$P$9)</f>
        <v/>
      </c>
    </row>
    <row r="525" spans="16:18" x14ac:dyDescent="0.3">
      <c r="P525" s="16" t="str">
        <f>IF('Data-Plot'!C525="","",$Q$11+('Data-Plot'!C525-'Data-Plot'!D525)*$P$9)</f>
        <v/>
      </c>
      <c r="Q525" s="16" t="str">
        <f>IF('Data-Plot'!C525="","",MAX('Data-Plot'!$C$11:$C$1010)*(1+$Q$9/100))</f>
        <v/>
      </c>
      <c r="R525" s="16" t="str">
        <f>IF('Data-Plot'!C525="","",('Data-Plot'!C525-'Data-Plot'!D525)*$P$9)</f>
        <v/>
      </c>
    </row>
    <row r="526" spans="16:18" x14ac:dyDescent="0.3">
      <c r="P526" s="16" t="str">
        <f>IF('Data-Plot'!C526="","",$Q$11+('Data-Plot'!C526-'Data-Plot'!D526)*$P$9)</f>
        <v/>
      </c>
      <c r="Q526" s="16" t="str">
        <f>IF('Data-Plot'!C526="","",MAX('Data-Plot'!$C$11:$C$1010)*(1+$Q$9/100))</f>
        <v/>
      </c>
      <c r="R526" s="16" t="str">
        <f>IF('Data-Plot'!C526="","",('Data-Plot'!C526-'Data-Plot'!D526)*$P$9)</f>
        <v/>
      </c>
    </row>
    <row r="527" spans="16:18" x14ac:dyDescent="0.3">
      <c r="P527" s="16" t="str">
        <f>IF('Data-Plot'!C527="","",$Q$11+('Data-Plot'!C527-'Data-Plot'!D527)*$P$9)</f>
        <v/>
      </c>
      <c r="Q527" s="16" t="str">
        <f>IF('Data-Plot'!C527="","",MAX('Data-Plot'!$C$11:$C$1010)*(1+$Q$9/100))</f>
        <v/>
      </c>
      <c r="R527" s="16" t="str">
        <f>IF('Data-Plot'!C527="","",('Data-Plot'!C527-'Data-Plot'!D527)*$P$9)</f>
        <v/>
      </c>
    </row>
    <row r="528" spans="16:18" x14ac:dyDescent="0.3">
      <c r="P528" s="16" t="str">
        <f>IF('Data-Plot'!C528="","",$Q$11+('Data-Plot'!C528-'Data-Plot'!D528)*$P$9)</f>
        <v/>
      </c>
      <c r="Q528" s="16" t="str">
        <f>IF('Data-Plot'!C528="","",MAX('Data-Plot'!$C$11:$C$1010)*(1+$Q$9/100))</f>
        <v/>
      </c>
      <c r="R528" s="16" t="str">
        <f>IF('Data-Plot'!C528="","",('Data-Plot'!C528-'Data-Plot'!D528)*$P$9)</f>
        <v/>
      </c>
    </row>
    <row r="529" spans="16:18" x14ac:dyDescent="0.3">
      <c r="P529" s="16" t="str">
        <f>IF('Data-Plot'!C529="","",$Q$11+('Data-Plot'!C529-'Data-Plot'!D529)*$P$9)</f>
        <v/>
      </c>
      <c r="Q529" s="16" t="str">
        <f>IF('Data-Plot'!C529="","",MAX('Data-Plot'!$C$11:$C$1010)*(1+$Q$9/100))</f>
        <v/>
      </c>
      <c r="R529" s="16" t="str">
        <f>IF('Data-Plot'!C529="","",('Data-Plot'!C529-'Data-Plot'!D529)*$P$9)</f>
        <v/>
      </c>
    </row>
    <row r="530" spans="16:18" x14ac:dyDescent="0.3">
      <c r="P530" s="16" t="str">
        <f>IF('Data-Plot'!C530="","",$Q$11+('Data-Plot'!C530-'Data-Plot'!D530)*$P$9)</f>
        <v/>
      </c>
      <c r="Q530" s="16" t="str">
        <f>IF('Data-Plot'!C530="","",MAX('Data-Plot'!$C$11:$C$1010)*(1+$Q$9/100))</f>
        <v/>
      </c>
      <c r="R530" s="16" t="str">
        <f>IF('Data-Plot'!C530="","",('Data-Plot'!C530-'Data-Plot'!D530)*$P$9)</f>
        <v/>
      </c>
    </row>
    <row r="531" spans="16:18" x14ac:dyDescent="0.3">
      <c r="P531" s="16" t="str">
        <f>IF('Data-Plot'!C531="","",$Q$11+('Data-Plot'!C531-'Data-Plot'!D531)*$P$9)</f>
        <v/>
      </c>
      <c r="Q531" s="16" t="str">
        <f>IF('Data-Plot'!C531="","",MAX('Data-Plot'!$C$11:$C$1010)*(1+$Q$9/100))</f>
        <v/>
      </c>
      <c r="R531" s="16" t="str">
        <f>IF('Data-Plot'!C531="","",('Data-Plot'!C531-'Data-Plot'!D531)*$P$9)</f>
        <v/>
      </c>
    </row>
    <row r="532" spans="16:18" x14ac:dyDescent="0.3">
      <c r="P532" s="16" t="str">
        <f>IF('Data-Plot'!C532="","",$Q$11+('Data-Plot'!C532-'Data-Plot'!D532)*$P$9)</f>
        <v/>
      </c>
      <c r="Q532" s="16" t="str">
        <f>IF('Data-Plot'!C532="","",MAX('Data-Plot'!$C$11:$C$1010)*(1+$Q$9/100))</f>
        <v/>
      </c>
      <c r="R532" s="16" t="str">
        <f>IF('Data-Plot'!C532="","",('Data-Plot'!C532-'Data-Plot'!D532)*$P$9)</f>
        <v/>
      </c>
    </row>
    <row r="533" spans="16:18" x14ac:dyDescent="0.3">
      <c r="P533" s="16" t="str">
        <f>IF('Data-Plot'!C533="","",$Q$11+('Data-Plot'!C533-'Data-Plot'!D533)*$P$9)</f>
        <v/>
      </c>
      <c r="Q533" s="16" t="str">
        <f>IF('Data-Plot'!C533="","",MAX('Data-Plot'!$C$11:$C$1010)*(1+$Q$9/100))</f>
        <v/>
      </c>
      <c r="R533" s="16" t="str">
        <f>IF('Data-Plot'!C533="","",('Data-Plot'!C533-'Data-Plot'!D533)*$P$9)</f>
        <v/>
      </c>
    </row>
    <row r="534" spans="16:18" x14ac:dyDescent="0.3">
      <c r="P534" s="16" t="str">
        <f>IF('Data-Plot'!C534="","",$Q$11+('Data-Plot'!C534-'Data-Plot'!D534)*$P$9)</f>
        <v/>
      </c>
      <c r="Q534" s="16" t="str">
        <f>IF('Data-Plot'!C534="","",MAX('Data-Plot'!$C$11:$C$1010)*(1+$Q$9/100))</f>
        <v/>
      </c>
      <c r="R534" s="16" t="str">
        <f>IF('Data-Plot'!C534="","",('Data-Plot'!C534-'Data-Plot'!D534)*$P$9)</f>
        <v/>
      </c>
    </row>
    <row r="535" spans="16:18" x14ac:dyDescent="0.3">
      <c r="P535" s="16" t="str">
        <f>IF('Data-Plot'!C535="","",$Q$11+('Data-Plot'!C535-'Data-Plot'!D535)*$P$9)</f>
        <v/>
      </c>
      <c r="Q535" s="16" t="str">
        <f>IF('Data-Plot'!C535="","",MAX('Data-Plot'!$C$11:$C$1010)*(1+$Q$9/100))</f>
        <v/>
      </c>
      <c r="R535" s="16" t="str">
        <f>IF('Data-Plot'!C535="","",('Data-Plot'!C535-'Data-Plot'!D535)*$P$9)</f>
        <v/>
      </c>
    </row>
    <row r="536" spans="16:18" x14ac:dyDescent="0.3">
      <c r="P536" s="16" t="str">
        <f>IF('Data-Plot'!C536="","",$Q$11+('Data-Plot'!C536-'Data-Plot'!D536)*$P$9)</f>
        <v/>
      </c>
      <c r="Q536" s="16" t="str">
        <f>IF('Data-Plot'!C536="","",MAX('Data-Plot'!$C$11:$C$1010)*(1+$Q$9/100))</f>
        <v/>
      </c>
      <c r="R536" s="16" t="str">
        <f>IF('Data-Plot'!C536="","",('Data-Plot'!C536-'Data-Plot'!D536)*$P$9)</f>
        <v/>
      </c>
    </row>
    <row r="537" spans="16:18" x14ac:dyDescent="0.3">
      <c r="P537" s="16" t="str">
        <f>IF('Data-Plot'!C537="","",$Q$11+('Data-Plot'!C537-'Data-Plot'!D537)*$P$9)</f>
        <v/>
      </c>
      <c r="Q537" s="16" t="str">
        <f>IF('Data-Plot'!C537="","",MAX('Data-Plot'!$C$11:$C$1010)*(1+$Q$9/100))</f>
        <v/>
      </c>
      <c r="R537" s="16" t="str">
        <f>IF('Data-Plot'!C537="","",('Data-Plot'!C537-'Data-Plot'!D537)*$P$9)</f>
        <v/>
      </c>
    </row>
    <row r="538" spans="16:18" x14ac:dyDescent="0.3">
      <c r="P538" s="16" t="str">
        <f>IF('Data-Plot'!C538="","",$Q$11+('Data-Plot'!C538-'Data-Plot'!D538)*$P$9)</f>
        <v/>
      </c>
      <c r="Q538" s="16" t="str">
        <f>IF('Data-Plot'!C538="","",MAX('Data-Plot'!$C$11:$C$1010)*(1+$Q$9/100))</f>
        <v/>
      </c>
      <c r="R538" s="16" t="str">
        <f>IF('Data-Plot'!C538="","",('Data-Plot'!C538-'Data-Plot'!D538)*$P$9)</f>
        <v/>
      </c>
    </row>
    <row r="539" spans="16:18" x14ac:dyDescent="0.3">
      <c r="P539" s="16" t="str">
        <f>IF('Data-Plot'!C539="","",$Q$11+('Data-Plot'!C539-'Data-Plot'!D539)*$P$9)</f>
        <v/>
      </c>
      <c r="Q539" s="16" t="str">
        <f>IF('Data-Plot'!C539="","",MAX('Data-Plot'!$C$11:$C$1010)*(1+$Q$9/100))</f>
        <v/>
      </c>
      <c r="R539" s="16" t="str">
        <f>IF('Data-Plot'!C539="","",('Data-Plot'!C539-'Data-Plot'!D539)*$P$9)</f>
        <v/>
      </c>
    </row>
    <row r="540" spans="16:18" x14ac:dyDescent="0.3">
      <c r="P540" s="16" t="str">
        <f>IF('Data-Plot'!C540="","",$Q$11+('Data-Plot'!C540-'Data-Plot'!D540)*$P$9)</f>
        <v/>
      </c>
      <c r="Q540" s="16" t="str">
        <f>IF('Data-Plot'!C540="","",MAX('Data-Plot'!$C$11:$C$1010)*(1+$Q$9/100))</f>
        <v/>
      </c>
      <c r="R540" s="16" t="str">
        <f>IF('Data-Plot'!C540="","",('Data-Plot'!C540-'Data-Plot'!D540)*$P$9)</f>
        <v/>
      </c>
    </row>
    <row r="541" spans="16:18" x14ac:dyDescent="0.3">
      <c r="P541" s="16" t="str">
        <f>IF('Data-Plot'!C541="","",$Q$11+('Data-Plot'!C541-'Data-Plot'!D541)*$P$9)</f>
        <v/>
      </c>
      <c r="Q541" s="16" t="str">
        <f>IF('Data-Plot'!C541="","",MAX('Data-Plot'!$C$11:$C$1010)*(1+$Q$9/100))</f>
        <v/>
      </c>
      <c r="R541" s="16" t="str">
        <f>IF('Data-Plot'!C541="","",('Data-Plot'!C541-'Data-Plot'!D541)*$P$9)</f>
        <v/>
      </c>
    </row>
    <row r="542" spans="16:18" x14ac:dyDescent="0.3">
      <c r="P542" s="16" t="str">
        <f>IF('Data-Plot'!C542="","",$Q$11+('Data-Plot'!C542-'Data-Plot'!D542)*$P$9)</f>
        <v/>
      </c>
      <c r="Q542" s="16" t="str">
        <f>IF('Data-Plot'!C542="","",MAX('Data-Plot'!$C$11:$C$1010)*(1+$Q$9/100))</f>
        <v/>
      </c>
      <c r="R542" s="16" t="str">
        <f>IF('Data-Plot'!C542="","",('Data-Plot'!C542-'Data-Plot'!D542)*$P$9)</f>
        <v/>
      </c>
    </row>
    <row r="543" spans="16:18" x14ac:dyDescent="0.3">
      <c r="P543" s="16" t="str">
        <f>IF('Data-Plot'!C543="","",$Q$11+('Data-Plot'!C543-'Data-Plot'!D543)*$P$9)</f>
        <v/>
      </c>
      <c r="Q543" s="16" t="str">
        <f>IF('Data-Plot'!C543="","",MAX('Data-Plot'!$C$11:$C$1010)*(1+$Q$9/100))</f>
        <v/>
      </c>
      <c r="R543" s="16" t="str">
        <f>IF('Data-Plot'!C543="","",('Data-Plot'!C543-'Data-Plot'!D543)*$P$9)</f>
        <v/>
      </c>
    </row>
    <row r="544" spans="16:18" x14ac:dyDescent="0.3">
      <c r="P544" s="16" t="str">
        <f>IF('Data-Plot'!C544="","",$Q$11+('Data-Plot'!C544-'Data-Plot'!D544)*$P$9)</f>
        <v/>
      </c>
      <c r="Q544" s="16" t="str">
        <f>IF('Data-Plot'!C544="","",MAX('Data-Plot'!$C$11:$C$1010)*(1+$Q$9/100))</f>
        <v/>
      </c>
      <c r="R544" s="16" t="str">
        <f>IF('Data-Plot'!C544="","",('Data-Plot'!C544-'Data-Plot'!D544)*$P$9)</f>
        <v/>
      </c>
    </row>
    <row r="545" spans="16:18" x14ac:dyDescent="0.3">
      <c r="P545" s="16" t="str">
        <f>IF('Data-Plot'!C545="","",$Q$11+('Data-Plot'!C545-'Data-Plot'!D545)*$P$9)</f>
        <v/>
      </c>
      <c r="Q545" s="16" t="str">
        <f>IF('Data-Plot'!C545="","",MAX('Data-Plot'!$C$11:$C$1010)*(1+$Q$9/100))</f>
        <v/>
      </c>
      <c r="R545" s="16" t="str">
        <f>IF('Data-Plot'!C545="","",('Data-Plot'!C545-'Data-Plot'!D545)*$P$9)</f>
        <v/>
      </c>
    </row>
    <row r="546" spans="16:18" x14ac:dyDescent="0.3">
      <c r="P546" s="16" t="str">
        <f>IF('Data-Plot'!C546="","",$Q$11+('Data-Plot'!C546-'Data-Plot'!D546)*$P$9)</f>
        <v/>
      </c>
      <c r="Q546" s="16" t="str">
        <f>IF('Data-Plot'!C546="","",MAX('Data-Plot'!$C$11:$C$1010)*(1+$Q$9/100))</f>
        <v/>
      </c>
      <c r="R546" s="16" t="str">
        <f>IF('Data-Plot'!C546="","",('Data-Plot'!C546-'Data-Plot'!D546)*$P$9)</f>
        <v/>
      </c>
    </row>
    <row r="547" spans="16:18" x14ac:dyDescent="0.3">
      <c r="P547" s="16" t="str">
        <f>IF('Data-Plot'!C547="","",$Q$11+('Data-Plot'!C547-'Data-Plot'!D547)*$P$9)</f>
        <v/>
      </c>
      <c r="Q547" s="16" t="str">
        <f>IF('Data-Plot'!C547="","",MAX('Data-Plot'!$C$11:$C$1010)*(1+$Q$9/100))</f>
        <v/>
      </c>
      <c r="R547" s="16" t="str">
        <f>IF('Data-Plot'!C547="","",('Data-Plot'!C547-'Data-Plot'!D547)*$P$9)</f>
        <v/>
      </c>
    </row>
    <row r="548" spans="16:18" x14ac:dyDescent="0.3">
      <c r="P548" s="16" t="str">
        <f>IF('Data-Plot'!C548="","",$Q$11+('Data-Plot'!C548-'Data-Plot'!D548)*$P$9)</f>
        <v/>
      </c>
      <c r="Q548" s="16" t="str">
        <f>IF('Data-Plot'!C548="","",MAX('Data-Plot'!$C$11:$C$1010)*(1+$Q$9/100))</f>
        <v/>
      </c>
      <c r="R548" s="16" t="str">
        <f>IF('Data-Plot'!C548="","",('Data-Plot'!C548-'Data-Plot'!D548)*$P$9)</f>
        <v/>
      </c>
    </row>
    <row r="549" spans="16:18" x14ac:dyDescent="0.3">
      <c r="P549" s="16" t="str">
        <f>IF('Data-Plot'!C549="","",$Q$11+('Data-Plot'!C549-'Data-Plot'!D549)*$P$9)</f>
        <v/>
      </c>
      <c r="Q549" s="16" t="str">
        <f>IF('Data-Plot'!C549="","",MAX('Data-Plot'!$C$11:$C$1010)*(1+$Q$9/100))</f>
        <v/>
      </c>
      <c r="R549" s="16" t="str">
        <f>IF('Data-Plot'!C549="","",('Data-Plot'!C549-'Data-Plot'!D549)*$P$9)</f>
        <v/>
      </c>
    </row>
    <row r="550" spans="16:18" x14ac:dyDescent="0.3">
      <c r="P550" s="16" t="str">
        <f>IF('Data-Plot'!C550="","",$Q$11+('Data-Plot'!C550-'Data-Plot'!D550)*$P$9)</f>
        <v/>
      </c>
      <c r="Q550" s="16" t="str">
        <f>IF('Data-Plot'!C550="","",MAX('Data-Plot'!$C$11:$C$1010)*(1+$Q$9/100))</f>
        <v/>
      </c>
      <c r="R550" s="16" t="str">
        <f>IF('Data-Plot'!C550="","",('Data-Plot'!C550-'Data-Plot'!D550)*$P$9)</f>
        <v/>
      </c>
    </row>
    <row r="551" spans="16:18" x14ac:dyDescent="0.3">
      <c r="P551" s="16" t="str">
        <f>IF('Data-Plot'!C551="","",$Q$11+('Data-Plot'!C551-'Data-Plot'!D551)*$P$9)</f>
        <v/>
      </c>
      <c r="Q551" s="16" t="str">
        <f>IF('Data-Plot'!C551="","",MAX('Data-Plot'!$C$11:$C$1010)*(1+$Q$9/100))</f>
        <v/>
      </c>
      <c r="R551" s="16" t="str">
        <f>IF('Data-Plot'!C551="","",('Data-Plot'!C551-'Data-Plot'!D551)*$P$9)</f>
        <v/>
      </c>
    </row>
    <row r="552" spans="16:18" x14ac:dyDescent="0.3">
      <c r="P552" s="16" t="str">
        <f>IF('Data-Plot'!C552="","",$Q$11+('Data-Plot'!C552-'Data-Plot'!D552)*$P$9)</f>
        <v/>
      </c>
      <c r="Q552" s="16" t="str">
        <f>IF('Data-Plot'!C552="","",MAX('Data-Plot'!$C$11:$C$1010)*(1+$Q$9/100))</f>
        <v/>
      </c>
      <c r="R552" s="16" t="str">
        <f>IF('Data-Plot'!C552="","",('Data-Plot'!C552-'Data-Plot'!D552)*$P$9)</f>
        <v/>
      </c>
    </row>
    <row r="553" spans="16:18" x14ac:dyDescent="0.3">
      <c r="P553" s="16" t="str">
        <f>IF('Data-Plot'!C553="","",$Q$11+('Data-Plot'!C553-'Data-Plot'!D553)*$P$9)</f>
        <v/>
      </c>
      <c r="Q553" s="16" t="str">
        <f>IF('Data-Plot'!C553="","",MAX('Data-Plot'!$C$11:$C$1010)*(1+$Q$9/100))</f>
        <v/>
      </c>
      <c r="R553" s="16" t="str">
        <f>IF('Data-Plot'!C553="","",('Data-Plot'!C553-'Data-Plot'!D553)*$P$9)</f>
        <v/>
      </c>
    </row>
    <row r="554" spans="16:18" x14ac:dyDescent="0.3">
      <c r="P554" s="16" t="str">
        <f>IF('Data-Plot'!C554="","",$Q$11+('Data-Plot'!C554-'Data-Plot'!D554)*$P$9)</f>
        <v/>
      </c>
      <c r="Q554" s="16" t="str">
        <f>IF('Data-Plot'!C554="","",MAX('Data-Plot'!$C$11:$C$1010)*(1+$Q$9/100))</f>
        <v/>
      </c>
      <c r="R554" s="16" t="str">
        <f>IF('Data-Plot'!C554="","",('Data-Plot'!C554-'Data-Plot'!D554)*$P$9)</f>
        <v/>
      </c>
    </row>
    <row r="555" spans="16:18" x14ac:dyDescent="0.3">
      <c r="P555" s="16" t="str">
        <f>IF('Data-Plot'!C555="","",$Q$11+('Data-Plot'!C555-'Data-Plot'!D555)*$P$9)</f>
        <v/>
      </c>
      <c r="Q555" s="16" t="str">
        <f>IF('Data-Plot'!C555="","",MAX('Data-Plot'!$C$11:$C$1010)*(1+$Q$9/100))</f>
        <v/>
      </c>
      <c r="R555" s="16" t="str">
        <f>IF('Data-Plot'!C555="","",('Data-Plot'!C555-'Data-Plot'!D555)*$P$9)</f>
        <v/>
      </c>
    </row>
    <row r="556" spans="16:18" x14ac:dyDescent="0.3">
      <c r="P556" s="16" t="str">
        <f>IF('Data-Plot'!C556="","",$Q$11+('Data-Plot'!C556-'Data-Plot'!D556)*$P$9)</f>
        <v/>
      </c>
      <c r="Q556" s="16" t="str">
        <f>IF('Data-Plot'!C556="","",MAX('Data-Plot'!$C$11:$C$1010)*(1+$Q$9/100))</f>
        <v/>
      </c>
      <c r="R556" s="16" t="str">
        <f>IF('Data-Plot'!C556="","",('Data-Plot'!C556-'Data-Plot'!D556)*$P$9)</f>
        <v/>
      </c>
    </row>
    <row r="557" spans="16:18" x14ac:dyDescent="0.3">
      <c r="P557" s="16" t="str">
        <f>IF('Data-Plot'!C557="","",$Q$11+('Data-Plot'!C557-'Data-Plot'!D557)*$P$9)</f>
        <v/>
      </c>
      <c r="Q557" s="16" t="str">
        <f>IF('Data-Plot'!C557="","",MAX('Data-Plot'!$C$11:$C$1010)*(1+$Q$9/100))</f>
        <v/>
      </c>
      <c r="R557" s="16" t="str">
        <f>IF('Data-Plot'!C557="","",('Data-Plot'!C557-'Data-Plot'!D557)*$P$9)</f>
        <v/>
      </c>
    </row>
    <row r="558" spans="16:18" x14ac:dyDescent="0.3">
      <c r="P558" s="16" t="str">
        <f>IF('Data-Plot'!C558="","",$Q$11+('Data-Plot'!C558-'Data-Plot'!D558)*$P$9)</f>
        <v/>
      </c>
      <c r="Q558" s="16" t="str">
        <f>IF('Data-Plot'!C558="","",MAX('Data-Plot'!$C$11:$C$1010)*(1+$Q$9/100))</f>
        <v/>
      </c>
      <c r="R558" s="16" t="str">
        <f>IF('Data-Plot'!C558="","",('Data-Plot'!C558-'Data-Plot'!D558)*$P$9)</f>
        <v/>
      </c>
    </row>
    <row r="559" spans="16:18" x14ac:dyDescent="0.3">
      <c r="P559" s="16" t="str">
        <f>IF('Data-Plot'!C559="","",$Q$11+('Data-Plot'!C559-'Data-Plot'!D559)*$P$9)</f>
        <v/>
      </c>
      <c r="Q559" s="16" t="str">
        <f>IF('Data-Plot'!C559="","",MAX('Data-Plot'!$C$11:$C$1010)*(1+$Q$9/100))</f>
        <v/>
      </c>
      <c r="R559" s="16" t="str">
        <f>IF('Data-Plot'!C559="","",('Data-Plot'!C559-'Data-Plot'!D559)*$P$9)</f>
        <v/>
      </c>
    </row>
    <row r="560" spans="16:18" x14ac:dyDescent="0.3">
      <c r="P560" s="16" t="str">
        <f>IF('Data-Plot'!C560="","",$Q$11+('Data-Plot'!C560-'Data-Plot'!D560)*$P$9)</f>
        <v/>
      </c>
      <c r="Q560" s="16" t="str">
        <f>IF('Data-Plot'!C560="","",MAX('Data-Plot'!$C$11:$C$1010)*(1+$Q$9/100))</f>
        <v/>
      </c>
      <c r="R560" s="16" t="str">
        <f>IF('Data-Plot'!C560="","",('Data-Plot'!C560-'Data-Plot'!D560)*$P$9)</f>
        <v/>
      </c>
    </row>
    <row r="561" spans="16:18" x14ac:dyDescent="0.3">
      <c r="P561" s="16" t="str">
        <f>IF('Data-Plot'!C561="","",$Q$11+('Data-Plot'!C561-'Data-Plot'!D561)*$P$9)</f>
        <v/>
      </c>
      <c r="Q561" s="16" t="str">
        <f>IF('Data-Plot'!C561="","",MAX('Data-Plot'!$C$11:$C$1010)*(1+$Q$9/100))</f>
        <v/>
      </c>
      <c r="R561" s="16" t="str">
        <f>IF('Data-Plot'!C561="","",('Data-Plot'!C561-'Data-Plot'!D561)*$P$9)</f>
        <v/>
      </c>
    </row>
    <row r="562" spans="16:18" x14ac:dyDescent="0.3">
      <c r="P562" s="16" t="str">
        <f>IF('Data-Plot'!C562="","",$Q$11+('Data-Plot'!C562-'Data-Plot'!D562)*$P$9)</f>
        <v/>
      </c>
      <c r="Q562" s="16" t="str">
        <f>IF('Data-Plot'!C562="","",MAX('Data-Plot'!$C$11:$C$1010)*(1+$Q$9/100))</f>
        <v/>
      </c>
      <c r="R562" s="16" t="str">
        <f>IF('Data-Plot'!C562="","",('Data-Plot'!C562-'Data-Plot'!D562)*$P$9)</f>
        <v/>
      </c>
    </row>
    <row r="563" spans="16:18" x14ac:dyDescent="0.3">
      <c r="P563" s="16" t="str">
        <f>IF('Data-Plot'!C563="","",$Q$11+('Data-Plot'!C563-'Data-Plot'!D563)*$P$9)</f>
        <v/>
      </c>
      <c r="Q563" s="16" t="str">
        <f>IF('Data-Plot'!C563="","",MAX('Data-Plot'!$C$11:$C$1010)*(1+$Q$9/100))</f>
        <v/>
      </c>
      <c r="R563" s="16" t="str">
        <f>IF('Data-Plot'!C563="","",('Data-Plot'!C563-'Data-Plot'!D563)*$P$9)</f>
        <v/>
      </c>
    </row>
    <row r="564" spans="16:18" x14ac:dyDescent="0.3">
      <c r="P564" s="16" t="str">
        <f>IF('Data-Plot'!C564="","",$Q$11+('Data-Plot'!C564-'Data-Plot'!D564)*$P$9)</f>
        <v/>
      </c>
      <c r="Q564" s="16" t="str">
        <f>IF('Data-Plot'!C564="","",MAX('Data-Plot'!$C$11:$C$1010)*(1+$Q$9/100))</f>
        <v/>
      </c>
      <c r="R564" s="16" t="str">
        <f>IF('Data-Plot'!C564="","",('Data-Plot'!C564-'Data-Plot'!D564)*$P$9)</f>
        <v/>
      </c>
    </row>
    <row r="565" spans="16:18" x14ac:dyDescent="0.3">
      <c r="P565" s="16" t="str">
        <f>IF('Data-Plot'!C565="","",$Q$11+('Data-Plot'!C565-'Data-Plot'!D565)*$P$9)</f>
        <v/>
      </c>
      <c r="Q565" s="16" t="str">
        <f>IF('Data-Plot'!C565="","",MAX('Data-Plot'!$C$11:$C$1010)*(1+$Q$9/100))</f>
        <v/>
      </c>
      <c r="R565" s="16" t="str">
        <f>IF('Data-Plot'!C565="","",('Data-Plot'!C565-'Data-Plot'!D565)*$P$9)</f>
        <v/>
      </c>
    </row>
    <row r="566" spans="16:18" x14ac:dyDescent="0.3">
      <c r="P566" s="16" t="str">
        <f>IF('Data-Plot'!C566="","",$Q$11+('Data-Plot'!C566-'Data-Plot'!D566)*$P$9)</f>
        <v/>
      </c>
      <c r="Q566" s="16" t="str">
        <f>IF('Data-Plot'!C566="","",MAX('Data-Plot'!$C$11:$C$1010)*(1+$Q$9/100))</f>
        <v/>
      </c>
      <c r="R566" s="16" t="str">
        <f>IF('Data-Plot'!C566="","",('Data-Plot'!C566-'Data-Plot'!D566)*$P$9)</f>
        <v/>
      </c>
    </row>
    <row r="567" spans="16:18" x14ac:dyDescent="0.3">
      <c r="P567" s="16" t="str">
        <f>IF('Data-Plot'!C567="","",$Q$11+('Data-Plot'!C567-'Data-Plot'!D567)*$P$9)</f>
        <v/>
      </c>
      <c r="Q567" s="16" t="str">
        <f>IF('Data-Plot'!C567="","",MAX('Data-Plot'!$C$11:$C$1010)*(1+$Q$9/100))</f>
        <v/>
      </c>
      <c r="R567" s="16" t="str">
        <f>IF('Data-Plot'!C567="","",('Data-Plot'!C567-'Data-Plot'!D567)*$P$9)</f>
        <v/>
      </c>
    </row>
    <row r="568" spans="16:18" x14ac:dyDescent="0.3">
      <c r="P568" s="16" t="str">
        <f>IF('Data-Plot'!C568="","",$Q$11+('Data-Plot'!C568-'Data-Plot'!D568)*$P$9)</f>
        <v/>
      </c>
      <c r="Q568" s="16" t="str">
        <f>IF('Data-Plot'!C568="","",MAX('Data-Plot'!$C$11:$C$1010)*(1+$Q$9/100))</f>
        <v/>
      </c>
      <c r="R568" s="16" t="str">
        <f>IF('Data-Plot'!C568="","",('Data-Plot'!C568-'Data-Plot'!D568)*$P$9)</f>
        <v/>
      </c>
    </row>
    <row r="569" spans="16:18" x14ac:dyDescent="0.3">
      <c r="P569" s="16" t="str">
        <f>IF('Data-Plot'!C569="","",$Q$11+('Data-Plot'!C569-'Data-Plot'!D569)*$P$9)</f>
        <v/>
      </c>
      <c r="Q569" s="16" t="str">
        <f>IF('Data-Plot'!C569="","",MAX('Data-Plot'!$C$11:$C$1010)*(1+$Q$9/100))</f>
        <v/>
      </c>
      <c r="R569" s="16" t="str">
        <f>IF('Data-Plot'!C569="","",('Data-Plot'!C569-'Data-Plot'!D569)*$P$9)</f>
        <v/>
      </c>
    </row>
    <row r="570" spans="16:18" x14ac:dyDescent="0.3">
      <c r="P570" s="16" t="str">
        <f>IF('Data-Plot'!C570="","",$Q$11+('Data-Plot'!C570-'Data-Plot'!D570)*$P$9)</f>
        <v/>
      </c>
      <c r="Q570" s="16" t="str">
        <f>IF('Data-Plot'!C570="","",MAX('Data-Plot'!$C$11:$C$1010)*(1+$Q$9/100))</f>
        <v/>
      </c>
      <c r="R570" s="16" t="str">
        <f>IF('Data-Plot'!C570="","",('Data-Plot'!C570-'Data-Plot'!D570)*$P$9)</f>
        <v/>
      </c>
    </row>
    <row r="571" spans="16:18" x14ac:dyDescent="0.3">
      <c r="P571" s="16" t="str">
        <f>IF('Data-Plot'!C571="","",$Q$11+('Data-Plot'!C571-'Data-Plot'!D571)*$P$9)</f>
        <v/>
      </c>
      <c r="Q571" s="16" t="str">
        <f>IF('Data-Plot'!C571="","",MAX('Data-Plot'!$C$11:$C$1010)*(1+$Q$9/100))</f>
        <v/>
      </c>
      <c r="R571" s="16" t="str">
        <f>IF('Data-Plot'!C571="","",('Data-Plot'!C571-'Data-Plot'!D571)*$P$9)</f>
        <v/>
      </c>
    </row>
    <row r="572" spans="16:18" x14ac:dyDescent="0.3">
      <c r="P572" s="16" t="str">
        <f>IF('Data-Plot'!C572="","",$Q$11+('Data-Plot'!C572-'Data-Plot'!D572)*$P$9)</f>
        <v/>
      </c>
      <c r="Q572" s="16" t="str">
        <f>IF('Data-Plot'!C572="","",MAX('Data-Plot'!$C$11:$C$1010)*(1+$Q$9/100))</f>
        <v/>
      </c>
      <c r="R572" s="16" t="str">
        <f>IF('Data-Plot'!C572="","",('Data-Plot'!C572-'Data-Plot'!D572)*$P$9)</f>
        <v/>
      </c>
    </row>
    <row r="573" spans="16:18" x14ac:dyDescent="0.3">
      <c r="P573" s="16" t="str">
        <f>IF('Data-Plot'!C573="","",$Q$11+('Data-Plot'!C573-'Data-Plot'!D573)*$P$9)</f>
        <v/>
      </c>
      <c r="Q573" s="16" t="str">
        <f>IF('Data-Plot'!C573="","",MAX('Data-Plot'!$C$11:$C$1010)*(1+$Q$9/100))</f>
        <v/>
      </c>
      <c r="R573" s="16" t="str">
        <f>IF('Data-Plot'!C573="","",('Data-Plot'!C573-'Data-Plot'!D573)*$P$9)</f>
        <v/>
      </c>
    </row>
    <row r="574" spans="16:18" x14ac:dyDescent="0.3">
      <c r="P574" s="16" t="str">
        <f>IF('Data-Plot'!C574="","",$Q$11+('Data-Plot'!C574-'Data-Plot'!D574)*$P$9)</f>
        <v/>
      </c>
      <c r="Q574" s="16" t="str">
        <f>IF('Data-Plot'!C574="","",MAX('Data-Plot'!$C$11:$C$1010)*(1+$Q$9/100))</f>
        <v/>
      </c>
      <c r="R574" s="16" t="str">
        <f>IF('Data-Plot'!C574="","",('Data-Plot'!C574-'Data-Plot'!D574)*$P$9)</f>
        <v/>
      </c>
    </row>
    <row r="575" spans="16:18" x14ac:dyDescent="0.3">
      <c r="P575" s="16" t="str">
        <f>IF('Data-Plot'!C575="","",$Q$11+('Data-Plot'!C575-'Data-Plot'!D575)*$P$9)</f>
        <v/>
      </c>
      <c r="Q575" s="16" t="str">
        <f>IF('Data-Plot'!C575="","",MAX('Data-Plot'!$C$11:$C$1010)*(1+$Q$9/100))</f>
        <v/>
      </c>
      <c r="R575" s="16" t="str">
        <f>IF('Data-Plot'!C575="","",('Data-Plot'!C575-'Data-Plot'!D575)*$P$9)</f>
        <v/>
      </c>
    </row>
    <row r="576" spans="16:18" x14ac:dyDescent="0.3">
      <c r="P576" s="16" t="str">
        <f>IF('Data-Plot'!C576="","",$Q$11+('Data-Plot'!C576-'Data-Plot'!D576)*$P$9)</f>
        <v/>
      </c>
      <c r="Q576" s="16" t="str">
        <f>IF('Data-Plot'!C576="","",MAX('Data-Plot'!$C$11:$C$1010)*(1+$Q$9/100))</f>
        <v/>
      </c>
      <c r="R576" s="16" t="str">
        <f>IF('Data-Plot'!C576="","",('Data-Plot'!C576-'Data-Plot'!D576)*$P$9)</f>
        <v/>
      </c>
    </row>
    <row r="577" spans="16:18" x14ac:dyDescent="0.3">
      <c r="P577" s="16" t="str">
        <f>IF('Data-Plot'!C577="","",$Q$11+('Data-Plot'!C577-'Data-Plot'!D577)*$P$9)</f>
        <v/>
      </c>
      <c r="Q577" s="16" t="str">
        <f>IF('Data-Plot'!C577="","",MAX('Data-Plot'!$C$11:$C$1010)*(1+$Q$9/100))</f>
        <v/>
      </c>
      <c r="R577" s="16" t="str">
        <f>IF('Data-Plot'!C577="","",('Data-Plot'!C577-'Data-Plot'!D577)*$P$9)</f>
        <v/>
      </c>
    </row>
    <row r="578" spans="16:18" x14ac:dyDescent="0.3">
      <c r="P578" s="16" t="str">
        <f>IF('Data-Plot'!C578="","",$Q$11+('Data-Plot'!C578-'Data-Plot'!D578)*$P$9)</f>
        <v/>
      </c>
      <c r="Q578" s="16" t="str">
        <f>IF('Data-Plot'!C578="","",MAX('Data-Plot'!$C$11:$C$1010)*(1+$Q$9/100))</f>
        <v/>
      </c>
      <c r="R578" s="16" t="str">
        <f>IF('Data-Plot'!C578="","",('Data-Plot'!C578-'Data-Plot'!D578)*$P$9)</f>
        <v/>
      </c>
    </row>
    <row r="579" spans="16:18" x14ac:dyDescent="0.3">
      <c r="P579" s="16" t="str">
        <f>IF('Data-Plot'!C579="","",$Q$11+('Data-Plot'!C579-'Data-Plot'!D579)*$P$9)</f>
        <v/>
      </c>
      <c r="Q579" s="16" t="str">
        <f>IF('Data-Plot'!C579="","",MAX('Data-Plot'!$C$11:$C$1010)*(1+$Q$9/100))</f>
        <v/>
      </c>
      <c r="R579" s="16" t="str">
        <f>IF('Data-Plot'!C579="","",('Data-Plot'!C579-'Data-Plot'!D579)*$P$9)</f>
        <v/>
      </c>
    </row>
    <row r="580" spans="16:18" x14ac:dyDescent="0.3">
      <c r="P580" s="16" t="str">
        <f>IF('Data-Plot'!C580="","",$Q$11+('Data-Plot'!C580-'Data-Plot'!D580)*$P$9)</f>
        <v/>
      </c>
      <c r="Q580" s="16" t="str">
        <f>IF('Data-Plot'!C580="","",MAX('Data-Plot'!$C$11:$C$1010)*(1+$Q$9/100))</f>
        <v/>
      </c>
      <c r="R580" s="16" t="str">
        <f>IF('Data-Plot'!C580="","",('Data-Plot'!C580-'Data-Plot'!D580)*$P$9)</f>
        <v/>
      </c>
    </row>
    <row r="581" spans="16:18" x14ac:dyDescent="0.3">
      <c r="P581" s="16" t="str">
        <f>IF('Data-Plot'!C581="","",$Q$11+('Data-Plot'!C581-'Data-Plot'!D581)*$P$9)</f>
        <v/>
      </c>
      <c r="Q581" s="16" t="str">
        <f>IF('Data-Plot'!C581="","",MAX('Data-Plot'!$C$11:$C$1010)*(1+$Q$9/100))</f>
        <v/>
      </c>
      <c r="R581" s="16" t="str">
        <f>IF('Data-Plot'!C581="","",('Data-Plot'!C581-'Data-Plot'!D581)*$P$9)</f>
        <v/>
      </c>
    </row>
    <row r="582" spans="16:18" x14ac:dyDescent="0.3">
      <c r="P582" s="16" t="str">
        <f>IF('Data-Plot'!C582="","",$Q$11+('Data-Plot'!C582-'Data-Plot'!D582)*$P$9)</f>
        <v/>
      </c>
      <c r="Q582" s="16" t="str">
        <f>IF('Data-Plot'!C582="","",MAX('Data-Plot'!$C$11:$C$1010)*(1+$Q$9/100))</f>
        <v/>
      </c>
      <c r="R582" s="16" t="str">
        <f>IF('Data-Plot'!C582="","",('Data-Plot'!C582-'Data-Plot'!D582)*$P$9)</f>
        <v/>
      </c>
    </row>
    <row r="583" spans="16:18" x14ac:dyDescent="0.3">
      <c r="P583" s="16" t="str">
        <f>IF('Data-Plot'!C583="","",$Q$11+('Data-Plot'!C583-'Data-Plot'!D583)*$P$9)</f>
        <v/>
      </c>
      <c r="Q583" s="16" t="str">
        <f>IF('Data-Plot'!C583="","",MAX('Data-Plot'!$C$11:$C$1010)*(1+$Q$9/100))</f>
        <v/>
      </c>
      <c r="R583" s="16" t="str">
        <f>IF('Data-Plot'!C583="","",('Data-Plot'!C583-'Data-Plot'!D583)*$P$9)</f>
        <v/>
      </c>
    </row>
    <row r="584" spans="16:18" x14ac:dyDescent="0.3">
      <c r="P584" s="16" t="str">
        <f>IF('Data-Plot'!C584="","",$Q$11+('Data-Plot'!C584-'Data-Plot'!D584)*$P$9)</f>
        <v/>
      </c>
      <c r="Q584" s="16" t="str">
        <f>IF('Data-Plot'!C584="","",MAX('Data-Plot'!$C$11:$C$1010)*(1+$Q$9/100))</f>
        <v/>
      </c>
      <c r="R584" s="16" t="str">
        <f>IF('Data-Plot'!C584="","",('Data-Plot'!C584-'Data-Plot'!D584)*$P$9)</f>
        <v/>
      </c>
    </row>
    <row r="585" spans="16:18" x14ac:dyDescent="0.3">
      <c r="P585" s="16" t="str">
        <f>IF('Data-Plot'!C585="","",$Q$11+('Data-Plot'!C585-'Data-Plot'!D585)*$P$9)</f>
        <v/>
      </c>
      <c r="Q585" s="16" t="str">
        <f>IF('Data-Plot'!C585="","",MAX('Data-Plot'!$C$11:$C$1010)*(1+$Q$9/100))</f>
        <v/>
      </c>
      <c r="R585" s="16" t="str">
        <f>IF('Data-Plot'!C585="","",('Data-Plot'!C585-'Data-Plot'!D585)*$P$9)</f>
        <v/>
      </c>
    </row>
    <row r="586" spans="16:18" x14ac:dyDescent="0.3">
      <c r="P586" s="16" t="str">
        <f>IF('Data-Plot'!C586="","",$Q$11+('Data-Plot'!C586-'Data-Plot'!D586)*$P$9)</f>
        <v/>
      </c>
      <c r="Q586" s="16" t="str">
        <f>IF('Data-Plot'!C586="","",MAX('Data-Plot'!$C$11:$C$1010)*(1+$Q$9/100))</f>
        <v/>
      </c>
      <c r="R586" s="16" t="str">
        <f>IF('Data-Plot'!C586="","",('Data-Plot'!C586-'Data-Plot'!D586)*$P$9)</f>
        <v/>
      </c>
    </row>
    <row r="587" spans="16:18" x14ac:dyDescent="0.3">
      <c r="P587" s="16" t="str">
        <f>IF('Data-Plot'!C587="","",$Q$11+('Data-Plot'!C587-'Data-Plot'!D587)*$P$9)</f>
        <v/>
      </c>
      <c r="Q587" s="16" t="str">
        <f>IF('Data-Plot'!C587="","",MAX('Data-Plot'!$C$11:$C$1010)*(1+$Q$9/100))</f>
        <v/>
      </c>
      <c r="R587" s="16" t="str">
        <f>IF('Data-Plot'!C587="","",('Data-Plot'!C587-'Data-Plot'!D587)*$P$9)</f>
        <v/>
      </c>
    </row>
    <row r="588" spans="16:18" x14ac:dyDescent="0.3">
      <c r="P588" s="16" t="str">
        <f>IF('Data-Plot'!C588="","",$Q$11+('Data-Plot'!C588-'Data-Plot'!D588)*$P$9)</f>
        <v/>
      </c>
      <c r="Q588" s="16" t="str">
        <f>IF('Data-Plot'!C588="","",MAX('Data-Plot'!$C$11:$C$1010)*(1+$Q$9/100))</f>
        <v/>
      </c>
      <c r="R588" s="16" t="str">
        <f>IF('Data-Plot'!C588="","",('Data-Plot'!C588-'Data-Plot'!D588)*$P$9)</f>
        <v/>
      </c>
    </row>
    <row r="589" spans="16:18" x14ac:dyDescent="0.3">
      <c r="P589" s="16" t="str">
        <f>IF('Data-Plot'!C589="","",$Q$11+('Data-Plot'!C589-'Data-Plot'!D589)*$P$9)</f>
        <v/>
      </c>
      <c r="Q589" s="16" t="str">
        <f>IF('Data-Plot'!C589="","",MAX('Data-Plot'!$C$11:$C$1010)*(1+$Q$9/100))</f>
        <v/>
      </c>
      <c r="R589" s="16" t="str">
        <f>IF('Data-Plot'!C589="","",('Data-Plot'!C589-'Data-Plot'!D589)*$P$9)</f>
        <v/>
      </c>
    </row>
    <row r="590" spans="16:18" x14ac:dyDescent="0.3">
      <c r="P590" s="16" t="str">
        <f>IF('Data-Plot'!C590="","",$Q$11+('Data-Plot'!C590-'Data-Plot'!D590)*$P$9)</f>
        <v/>
      </c>
      <c r="Q590" s="16" t="str">
        <f>IF('Data-Plot'!C590="","",MAX('Data-Plot'!$C$11:$C$1010)*(1+$Q$9/100))</f>
        <v/>
      </c>
      <c r="R590" s="16" t="str">
        <f>IF('Data-Plot'!C590="","",('Data-Plot'!C590-'Data-Plot'!D590)*$P$9)</f>
        <v/>
      </c>
    </row>
    <row r="591" spans="16:18" x14ac:dyDescent="0.3">
      <c r="P591" s="16" t="str">
        <f>IF('Data-Plot'!C591="","",$Q$11+('Data-Plot'!C591-'Data-Plot'!D591)*$P$9)</f>
        <v/>
      </c>
      <c r="Q591" s="16" t="str">
        <f>IF('Data-Plot'!C591="","",MAX('Data-Plot'!$C$11:$C$1010)*(1+$Q$9/100))</f>
        <v/>
      </c>
      <c r="R591" s="16" t="str">
        <f>IF('Data-Plot'!C591="","",('Data-Plot'!C591-'Data-Plot'!D591)*$P$9)</f>
        <v/>
      </c>
    </row>
    <row r="592" spans="16:18" x14ac:dyDescent="0.3">
      <c r="P592" s="16" t="str">
        <f>IF('Data-Plot'!C592="","",$Q$11+('Data-Plot'!C592-'Data-Plot'!D592)*$P$9)</f>
        <v/>
      </c>
      <c r="Q592" s="16" t="str">
        <f>IF('Data-Plot'!C592="","",MAX('Data-Plot'!$C$11:$C$1010)*(1+$Q$9/100))</f>
        <v/>
      </c>
      <c r="R592" s="16" t="str">
        <f>IF('Data-Plot'!C592="","",('Data-Plot'!C592-'Data-Plot'!D592)*$P$9)</f>
        <v/>
      </c>
    </row>
    <row r="593" spans="16:18" x14ac:dyDescent="0.3">
      <c r="P593" s="16" t="str">
        <f>IF('Data-Plot'!C593="","",$Q$11+('Data-Plot'!C593-'Data-Plot'!D593)*$P$9)</f>
        <v/>
      </c>
      <c r="Q593" s="16" t="str">
        <f>IF('Data-Plot'!C593="","",MAX('Data-Plot'!$C$11:$C$1010)*(1+$Q$9/100))</f>
        <v/>
      </c>
      <c r="R593" s="16" t="str">
        <f>IF('Data-Plot'!C593="","",('Data-Plot'!C593-'Data-Plot'!D593)*$P$9)</f>
        <v/>
      </c>
    </row>
    <row r="594" spans="16:18" x14ac:dyDescent="0.3">
      <c r="P594" s="16" t="str">
        <f>IF('Data-Plot'!C594="","",$Q$11+('Data-Plot'!C594-'Data-Plot'!D594)*$P$9)</f>
        <v/>
      </c>
      <c r="Q594" s="16" t="str">
        <f>IF('Data-Plot'!C594="","",MAX('Data-Plot'!$C$11:$C$1010)*(1+$Q$9/100))</f>
        <v/>
      </c>
      <c r="R594" s="16" t="str">
        <f>IF('Data-Plot'!C594="","",('Data-Plot'!C594-'Data-Plot'!D594)*$P$9)</f>
        <v/>
      </c>
    </row>
    <row r="595" spans="16:18" x14ac:dyDescent="0.3">
      <c r="P595" s="16" t="str">
        <f>IF('Data-Plot'!C595="","",$Q$11+('Data-Plot'!C595-'Data-Plot'!D595)*$P$9)</f>
        <v/>
      </c>
      <c r="Q595" s="16" t="str">
        <f>IF('Data-Plot'!C595="","",MAX('Data-Plot'!$C$11:$C$1010)*(1+$Q$9/100))</f>
        <v/>
      </c>
      <c r="R595" s="16" t="str">
        <f>IF('Data-Plot'!C595="","",('Data-Plot'!C595-'Data-Plot'!D595)*$P$9)</f>
        <v/>
      </c>
    </row>
    <row r="596" spans="16:18" x14ac:dyDescent="0.3">
      <c r="P596" s="16" t="str">
        <f>IF('Data-Plot'!C596="","",$Q$11+('Data-Plot'!C596-'Data-Plot'!D596)*$P$9)</f>
        <v/>
      </c>
      <c r="Q596" s="16" t="str">
        <f>IF('Data-Plot'!C596="","",MAX('Data-Plot'!$C$11:$C$1010)*(1+$Q$9/100))</f>
        <v/>
      </c>
      <c r="R596" s="16" t="str">
        <f>IF('Data-Plot'!C596="","",('Data-Plot'!C596-'Data-Plot'!D596)*$P$9)</f>
        <v/>
      </c>
    </row>
    <row r="597" spans="16:18" x14ac:dyDescent="0.3">
      <c r="P597" s="16" t="str">
        <f>IF('Data-Plot'!C597="","",$Q$11+('Data-Plot'!C597-'Data-Plot'!D597)*$P$9)</f>
        <v/>
      </c>
      <c r="Q597" s="16" t="str">
        <f>IF('Data-Plot'!C597="","",MAX('Data-Plot'!$C$11:$C$1010)*(1+$Q$9/100))</f>
        <v/>
      </c>
      <c r="R597" s="16" t="str">
        <f>IF('Data-Plot'!C597="","",('Data-Plot'!C597-'Data-Plot'!D597)*$P$9)</f>
        <v/>
      </c>
    </row>
    <row r="598" spans="16:18" x14ac:dyDescent="0.3">
      <c r="P598" s="16" t="str">
        <f>IF('Data-Plot'!C598="","",$Q$11+('Data-Plot'!C598-'Data-Plot'!D598)*$P$9)</f>
        <v/>
      </c>
      <c r="Q598" s="16" t="str">
        <f>IF('Data-Plot'!C598="","",MAX('Data-Plot'!$C$11:$C$1010)*(1+$Q$9/100))</f>
        <v/>
      </c>
      <c r="R598" s="16" t="str">
        <f>IF('Data-Plot'!C598="","",('Data-Plot'!C598-'Data-Plot'!D598)*$P$9)</f>
        <v/>
      </c>
    </row>
    <row r="599" spans="16:18" x14ac:dyDescent="0.3">
      <c r="P599" s="16" t="str">
        <f>IF('Data-Plot'!C599="","",$Q$11+('Data-Plot'!C599-'Data-Plot'!D599)*$P$9)</f>
        <v/>
      </c>
      <c r="Q599" s="16" t="str">
        <f>IF('Data-Plot'!C599="","",MAX('Data-Plot'!$C$11:$C$1010)*(1+$Q$9/100))</f>
        <v/>
      </c>
      <c r="R599" s="16" t="str">
        <f>IF('Data-Plot'!C599="","",('Data-Plot'!C599-'Data-Plot'!D599)*$P$9)</f>
        <v/>
      </c>
    </row>
    <row r="600" spans="16:18" x14ac:dyDescent="0.3">
      <c r="P600" s="16" t="str">
        <f>IF('Data-Plot'!C600="","",$Q$11+('Data-Plot'!C600-'Data-Plot'!D600)*$P$9)</f>
        <v/>
      </c>
      <c r="Q600" s="16" t="str">
        <f>IF('Data-Plot'!C600="","",MAX('Data-Plot'!$C$11:$C$1010)*(1+$Q$9/100))</f>
        <v/>
      </c>
      <c r="R600" s="16" t="str">
        <f>IF('Data-Plot'!C600="","",('Data-Plot'!C600-'Data-Plot'!D600)*$P$9)</f>
        <v/>
      </c>
    </row>
    <row r="601" spans="16:18" x14ac:dyDescent="0.3">
      <c r="P601" s="16" t="str">
        <f>IF('Data-Plot'!C601="","",$Q$11+('Data-Plot'!C601-'Data-Plot'!D601)*$P$9)</f>
        <v/>
      </c>
      <c r="Q601" s="16" t="str">
        <f>IF('Data-Plot'!C601="","",MAX('Data-Plot'!$C$11:$C$1010)*(1+$Q$9/100))</f>
        <v/>
      </c>
      <c r="R601" s="16" t="str">
        <f>IF('Data-Plot'!C601="","",('Data-Plot'!C601-'Data-Plot'!D601)*$P$9)</f>
        <v/>
      </c>
    </row>
    <row r="602" spans="16:18" x14ac:dyDescent="0.3">
      <c r="P602" s="16" t="str">
        <f>IF('Data-Plot'!C602="","",$Q$11+('Data-Plot'!C602-'Data-Plot'!D602)*$P$9)</f>
        <v/>
      </c>
      <c r="Q602" s="16" t="str">
        <f>IF('Data-Plot'!C602="","",MAX('Data-Plot'!$C$11:$C$1010)*(1+$Q$9/100))</f>
        <v/>
      </c>
      <c r="R602" s="16" t="str">
        <f>IF('Data-Plot'!C602="","",('Data-Plot'!C602-'Data-Plot'!D602)*$P$9)</f>
        <v/>
      </c>
    </row>
    <row r="603" spans="16:18" x14ac:dyDescent="0.3">
      <c r="P603" s="16" t="str">
        <f>IF('Data-Plot'!C603="","",$Q$11+('Data-Plot'!C603-'Data-Plot'!D603)*$P$9)</f>
        <v/>
      </c>
      <c r="Q603" s="16" t="str">
        <f>IF('Data-Plot'!C603="","",MAX('Data-Plot'!$C$11:$C$1010)*(1+$Q$9/100))</f>
        <v/>
      </c>
      <c r="R603" s="16" t="str">
        <f>IF('Data-Plot'!C603="","",('Data-Plot'!C603-'Data-Plot'!D603)*$P$9)</f>
        <v/>
      </c>
    </row>
    <row r="604" spans="16:18" x14ac:dyDescent="0.3">
      <c r="P604" s="16" t="str">
        <f>IF('Data-Plot'!C604="","",$Q$11+('Data-Plot'!C604-'Data-Plot'!D604)*$P$9)</f>
        <v/>
      </c>
      <c r="Q604" s="16" t="str">
        <f>IF('Data-Plot'!C604="","",MAX('Data-Plot'!$C$11:$C$1010)*(1+$Q$9/100))</f>
        <v/>
      </c>
      <c r="R604" s="16" t="str">
        <f>IF('Data-Plot'!C604="","",('Data-Plot'!C604-'Data-Plot'!D604)*$P$9)</f>
        <v/>
      </c>
    </row>
    <row r="605" spans="16:18" x14ac:dyDescent="0.3">
      <c r="P605" s="16" t="str">
        <f>IF('Data-Plot'!C605="","",$Q$11+('Data-Plot'!C605-'Data-Plot'!D605)*$P$9)</f>
        <v/>
      </c>
      <c r="Q605" s="16" t="str">
        <f>IF('Data-Plot'!C605="","",MAX('Data-Plot'!$C$11:$C$1010)*(1+$Q$9/100))</f>
        <v/>
      </c>
      <c r="R605" s="16" t="str">
        <f>IF('Data-Plot'!C605="","",('Data-Plot'!C605-'Data-Plot'!D605)*$P$9)</f>
        <v/>
      </c>
    </row>
    <row r="606" spans="16:18" x14ac:dyDescent="0.3">
      <c r="P606" s="16" t="str">
        <f>IF('Data-Plot'!C606="","",$Q$11+('Data-Plot'!C606-'Data-Plot'!D606)*$P$9)</f>
        <v/>
      </c>
      <c r="Q606" s="16" t="str">
        <f>IF('Data-Plot'!C606="","",MAX('Data-Plot'!$C$11:$C$1010)*(1+$Q$9/100))</f>
        <v/>
      </c>
      <c r="R606" s="16" t="str">
        <f>IF('Data-Plot'!C606="","",('Data-Plot'!C606-'Data-Plot'!D606)*$P$9)</f>
        <v/>
      </c>
    </row>
    <row r="607" spans="16:18" x14ac:dyDescent="0.3">
      <c r="P607" s="16" t="str">
        <f>IF('Data-Plot'!C607="","",$Q$11+('Data-Plot'!C607-'Data-Plot'!D607)*$P$9)</f>
        <v/>
      </c>
      <c r="Q607" s="16" t="str">
        <f>IF('Data-Plot'!C607="","",MAX('Data-Plot'!$C$11:$C$1010)*(1+$Q$9/100))</f>
        <v/>
      </c>
      <c r="R607" s="16" t="str">
        <f>IF('Data-Plot'!C607="","",('Data-Plot'!C607-'Data-Plot'!D607)*$P$9)</f>
        <v/>
      </c>
    </row>
    <row r="608" spans="16:18" x14ac:dyDescent="0.3">
      <c r="P608" s="16" t="str">
        <f>IF('Data-Plot'!C608="","",$Q$11+('Data-Plot'!C608-'Data-Plot'!D608)*$P$9)</f>
        <v/>
      </c>
      <c r="Q608" s="16" t="str">
        <f>IF('Data-Plot'!C608="","",MAX('Data-Plot'!$C$11:$C$1010)*(1+$Q$9/100))</f>
        <v/>
      </c>
      <c r="R608" s="16" t="str">
        <f>IF('Data-Plot'!C608="","",('Data-Plot'!C608-'Data-Plot'!D608)*$P$9)</f>
        <v/>
      </c>
    </row>
    <row r="609" spans="16:18" x14ac:dyDescent="0.3">
      <c r="P609" s="16" t="str">
        <f>IF('Data-Plot'!C609="","",$Q$11+('Data-Plot'!C609-'Data-Plot'!D609)*$P$9)</f>
        <v/>
      </c>
      <c r="Q609" s="16" t="str">
        <f>IF('Data-Plot'!C609="","",MAX('Data-Plot'!$C$11:$C$1010)*(1+$Q$9/100))</f>
        <v/>
      </c>
      <c r="R609" s="16" t="str">
        <f>IF('Data-Plot'!C609="","",('Data-Plot'!C609-'Data-Plot'!D609)*$P$9)</f>
        <v/>
      </c>
    </row>
    <row r="610" spans="16:18" x14ac:dyDescent="0.3">
      <c r="P610" s="16" t="str">
        <f>IF('Data-Plot'!C610="","",$Q$11+('Data-Plot'!C610-'Data-Plot'!D610)*$P$9)</f>
        <v/>
      </c>
      <c r="Q610" s="16" t="str">
        <f>IF('Data-Plot'!C610="","",MAX('Data-Plot'!$C$11:$C$1010)*(1+$Q$9/100))</f>
        <v/>
      </c>
      <c r="R610" s="16" t="str">
        <f>IF('Data-Plot'!C610="","",('Data-Plot'!C610-'Data-Plot'!D610)*$P$9)</f>
        <v/>
      </c>
    </row>
    <row r="611" spans="16:18" x14ac:dyDescent="0.3">
      <c r="P611" s="16" t="str">
        <f>IF('Data-Plot'!C611="","",$Q$11+('Data-Plot'!C611-'Data-Plot'!D611)*$P$9)</f>
        <v/>
      </c>
      <c r="Q611" s="16" t="str">
        <f>IF('Data-Plot'!C611="","",MAX('Data-Plot'!$C$11:$C$1010)*(1+$Q$9/100))</f>
        <v/>
      </c>
      <c r="R611" s="16" t="str">
        <f>IF('Data-Plot'!C611="","",('Data-Plot'!C611-'Data-Plot'!D611)*$P$9)</f>
        <v/>
      </c>
    </row>
    <row r="612" spans="16:18" x14ac:dyDescent="0.3">
      <c r="P612" s="16" t="str">
        <f>IF('Data-Plot'!C612="","",$Q$11+('Data-Plot'!C612-'Data-Plot'!D612)*$P$9)</f>
        <v/>
      </c>
      <c r="Q612" s="16" t="str">
        <f>IF('Data-Plot'!C612="","",MAX('Data-Plot'!$C$11:$C$1010)*(1+$Q$9/100))</f>
        <v/>
      </c>
      <c r="R612" s="16" t="str">
        <f>IF('Data-Plot'!C612="","",('Data-Plot'!C612-'Data-Plot'!D612)*$P$9)</f>
        <v/>
      </c>
    </row>
    <row r="613" spans="16:18" x14ac:dyDescent="0.3">
      <c r="P613" s="16" t="str">
        <f>IF('Data-Plot'!C613="","",$Q$11+('Data-Plot'!C613-'Data-Plot'!D613)*$P$9)</f>
        <v/>
      </c>
      <c r="Q613" s="16" t="str">
        <f>IF('Data-Plot'!C613="","",MAX('Data-Plot'!$C$11:$C$1010)*(1+$Q$9/100))</f>
        <v/>
      </c>
      <c r="R613" s="16" t="str">
        <f>IF('Data-Plot'!C613="","",('Data-Plot'!C613-'Data-Plot'!D613)*$P$9)</f>
        <v/>
      </c>
    </row>
    <row r="614" spans="16:18" x14ac:dyDescent="0.3">
      <c r="P614" s="16" t="str">
        <f>IF('Data-Plot'!C614="","",$Q$11+('Data-Plot'!C614-'Data-Plot'!D614)*$P$9)</f>
        <v/>
      </c>
      <c r="Q614" s="16" t="str">
        <f>IF('Data-Plot'!C614="","",MAX('Data-Plot'!$C$11:$C$1010)*(1+$Q$9/100))</f>
        <v/>
      </c>
      <c r="R614" s="16" t="str">
        <f>IF('Data-Plot'!C614="","",('Data-Plot'!C614-'Data-Plot'!D614)*$P$9)</f>
        <v/>
      </c>
    </row>
    <row r="615" spans="16:18" x14ac:dyDescent="0.3">
      <c r="P615" s="16" t="str">
        <f>IF('Data-Plot'!C615="","",$Q$11+('Data-Plot'!C615-'Data-Plot'!D615)*$P$9)</f>
        <v/>
      </c>
      <c r="Q615" s="16" t="str">
        <f>IF('Data-Plot'!C615="","",MAX('Data-Plot'!$C$11:$C$1010)*(1+$Q$9/100))</f>
        <v/>
      </c>
      <c r="R615" s="16" t="str">
        <f>IF('Data-Plot'!C615="","",('Data-Plot'!C615-'Data-Plot'!D615)*$P$9)</f>
        <v/>
      </c>
    </row>
    <row r="616" spans="16:18" x14ac:dyDescent="0.3">
      <c r="P616" s="16" t="str">
        <f>IF('Data-Plot'!C616="","",$Q$11+('Data-Plot'!C616-'Data-Plot'!D616)*$P$9)</f>
        <v/>
      </c>
      <c r="Q616" s="16" t="str">
        <f>IF('Data-Plot'!C616="","",MAX('Data-Plot'!$C$11:$C$1010)*(1+$Q$9/100))</f>
        <v/>
      </c>
      <c r="R616" s="16" t="str">
        <f>IF('Data-Plot'!C616="","",('Data-Plot'!C616-'Data-Plot'!D616)*$P$9)</f>
        <v/>
      </c>
    </row>
    <row r="617" spans="16:18" x14ac:dyDescent="0.3">
      <c r="P617" s="16" t="str">
        <f>IF('Data-Plot'!C617="","",$Q$11+('Data-Plot'!C617-'Data-Plot'!D617)*$P$9)</f>
        <v/>
      </c>
      <c r="Q617" s="16" t="str">
        <f>IF('Data-Plot'!C617="","",MAX('Data-Plot'!$C$11:$C$1010)*(1+$Q$9/100))</f>
        <v/>
      </c>
      <c r="R617" s="16" t="str">
        <f>IF('Data-Plot'!C617="","",('Data-Plot'!C617-'Data-Plot'!D617)*$P$9)</f>
        <v/>
      </c>
    </row>
    <row r="618" spans="16:18" x14ac:dyDescent="0.3">
      <c r="P618" s="16" t="str">
        <f>IF('Data-Plot'!C618="","",$Q$11+('Data-Plot'!C618-'Data-Plot'!D618)*$P$9)</f>
        <v/>
      </c>
      <c r="Q618" s="16" t="str">
        <f>IF('Data-Plot'!C618="","",MAX('Data-Plot'!$C$11:$C$1010)*(1+$Q$9/100))</f>
        <v/>
      </c>
      <c r="R618" s="16" t="str">
        <f>IF('Data-Plot'!C618="","",('Data-Plot'!C618-'Data-Plot'!D618)*$P$9)</f>
        <v/>
      </c>
    </row>
    <row r="619" spans="16:18" x14ac:dyDescent="0.3">
      <c r="P619" s="16" t="str">
        <f>IF('Data-Plot'!C619="","",$Q$11+('Data-Plot'!C619-'Data-Plot'!D619)*$P$9)</f>
        <v/>
      </c>
      <c r="Q619" s="16" t="str">
        <f>IF('Data-Plot'!C619="","",MAX('Data-Plot'!$C$11:$C$1010)*(1+$Q$9/100))</f>
        <v/>
      </c>
      <c r="R619" s="16" t="str">
        <f>IF('Data-Plot'!C619="","",('Data-Plot'!C619-'Data-Plot'!D619)*$P$9)</f>
        <v/>
      </c>
    </row>
    <row r="620" spans="16:18" x14ac:dyDescent="0.3">
      <c r="P620" s="16" t="str">
        <f>IF('Data-Plot'!C620="","",$Q$11+('Data-Plot'!C620-'Data-Plot'!D620)*$P$9)</f>
        <v/>
      </c>
      <c r="Q620" s="16" t="str">
        <f>IF('Data-Plot'!C620="","",MAX('Data-Plot'!$C$11:$C$1010)*(1+$Q$9/100))</f>
        <v/>
      </c>
      <c r="R620" s="16" t="str">
        <f>IF('Data-Plot'!C620="","",('Data-Plot'!C620-'Data-Plot'!D620)*$P$9)</f>
        <v/>
      </c>
    </row>
    <row r="621" spans="16:18" x14ac:dyDescent="0.3">
      <c r="P621" s="16" t="str">
        <f>IF('Data-Plot'!C621="","",$Q$11+('Data-Plot'!C621-'Data-Plot'!D621)*$P$9)</f>
        <v/>
      </c>
      <c r="Q621" s="16" t="str">
        <f>IF('Data-Plot'!C621="","",MAX('Data-Plot'!$C$11:$C$1010)*(1+$Q$9/100))</f>
        <v/>
      </c>
      <c r="R621" s="16" t="str">
        <f>IF('Data-Plot'!C621="","",('Data-Plot'!C621-'Data-Plot'!D621)*$P$9)</f>
        <v/>
      </c>
    </row>
    <row r="622" spans="16:18" x14ac:dyDescent="0.3">
      <c r="P622" s="16" t="str">
        <f>IF('Data-Plot'!C622="","",$Q$11+('Data-Plot'!C622-'Data-Plot'!D622)*$P$9)</f>
        <v/>
      </c>
      <c r="Q622" s="16" t="str">
        <f>IF('Data-Plot'!C622="","",MAX('Data-Plot'!$C$11:$C$1010)*(1+$Q$9/100))</f>
        <v/>
      </c>
      <c r="R622" s="16" t="str">
        <f>IF('Data-Plot'!C622="","",('Data-Plot'!C622-'Data-Plot'!D622)*$P$9)</f>
        <v/>
      </c>
    </row>
    <row r="623" spans="16:18" x14ac:dyDescent="0.3">
      <c r="P623" s="16" t="str">
        <f>IF('Data-Plot'!C623="","",$Q$11+('Data-Plot'!C623-'Data-Plot'!D623)*$P$9)</f>
        <v/>
      </c>
      <c r="Q623" s="16" t="str">
        <f>IF('Data-Plot'!C623="","",MAX('Data-Plot'!$C$11:$C$1010)*(1+$Q$9/100))</f>
        <v/>
      </c>
      <c r="R623" s="16" t="str">
        <f>IF('Data-Plot'!C623="","",('Data-Plot'!C623-'Data-Plot'!D623)*$P$9)</f>
        <v/>
      </c>
    </row>
    <row r="624" spans="16:18" x14ac:dyDescent="0.3">
      <c r="P624" s="16" t="str">
        <f>IF('Data-Plot'!C624="","",$Q$11+('Data-Plot'!C624-'Data-Plot'!D624)*$P$9)</f>
        <v/>
      </c>
      <c r="Q624" s="16" t="str">
        <f>IF('Data-Plot'!C624="","",MAX('Data-Plot'!$C$11:$C$1010)*(1+$Q$9/100))</f>
        <v/>
      </c>
      <c r="R624" s="16" t="str">
        <f>IF('Data-Plot'!C624="","",('Data-Plot'!C624-'Data-Plot'!D624)*$P$9)</f>
        <v/>
      </c>
    </row>
    <row r="625" spans="16:18" x14ac:dyDescent="0.3">
      <c r="P625" s="16" t="str">
        <f>IF('Data-Plot'!C625="","",$Q$11+('Data-Plot'!C625-'Data-Plot'!D625)*$P$9)</f>
        <v/>
      </c>
      <c r="Q625" s="16" t="str">
        <f>IF('Data-Plot'!C625="","",MAX('Data-Plot'!$C$11:$C$1010)*(1+$Q$9/100))</f>
        <v/>
      </c>
      <c r="R625" s="16" t="str">
        <f>IF('Data-Plot'!C625="","",('Data-Plot'!C625-'Data-Plot'!D625)*$P$9)</f>
        <v/>
      </c>
    </row>
    <row r="626" spans="16:18" x14ac:dyDescent="0.3">
      <c r="P626" s="16" t="str">
        <f>IF('Data-Plot'!C626="","",$Q$11+('Data-Plot'!C626-'Data-Plot'!D626)*$P$9)</f>
        <v/>
      </c>
      <c r="Q626" s="16" t="str">
        <f>IF('Data-Plot'!C626="","",MAX('Data-Plot'!$C$11:$C$1010)*(1+$Q$9/100))</f>
        <v/>
      </c>
      <c r="R626" s="16" t="str">
        <f>IF('Data-Plot'!C626="","",('Data-Plot'!C626-'Data-Plot'!D626)*$P$9)</f>
        <v/>
      </c>
    </row>
    <row r="627" spans="16:18" x14ac:dyDescent="0.3">
      <c r="P627" s="16" t="str">
        <f>IF('Data-Plot'!C627="","",$Q$11+('Data-Plot'!C627-'Data-Plot'!D627)*$P$9)</f>
        <v/>
      </c>
      <c r="Q627" s="16" t="str">
        <f>IF('Data-Plot'!C627="","",MAX('Data-Plot'!$C$11:$C$1010)*(1+$Q$9/100))</f>
        <v/>
      </c>
      <c r="R627" s="16" t="str">
        <f>IF('Data-Plot'!C627="","",('Data-Plot'!C627-'Data-Plot'!D627)*$P$9)</f>
        <v/>
      </c>
    </row>
    <row r="628" spans="16:18" x14ac:dyDescent="0.3">
      <c r="P628" s="16" t="str">
        <f>IF('Data-Plot'!C628="","",$Q$11+('Data-Plot'!C628-'Data-Plot'!D628)*$P$9)</f>
        <v/>
      </c>
      <c r="Q628" s="16" t="str">
        <f>IF('Data-Plot'!C628="","",MAX('Data-Plot'!$C$11:$C$1010)*(1+$Q$9/100))</f>
        <v/>
      </c>
      <c r="R628" s="16" t="str">
        <f>IF('Data-Plot'!C628="","",('Data-Plot'!C628-'Data-Plot'!D628)*$P$9)</f>
        <v/>
      </c>
    </row>
    <row r="629" spans="16:18" x14ac:dyDescent="0.3">
      <c r="P629" s="16" t="str">
        <f>IF('Data-Plot'!C629="","",$Q$11+('Data-Plot'!C629-'Data-Plot'!D629)*$P$9)</f>
        <v/>
      </c>
      <c r="Q629" s="16" t="str">
        <f>IF('Data-Plot'!C629="","",MAX('Data-Plot'!$C$11:$C$1010)*(1+$Q$9/100))</f>
        <v/>
      </c>
      <c r="R629" s="16" t="str">
        <f>IF('Data-Plot'!C629="","",('Data-Plot'!C629-'Data-Plot'!D629)*$P$9)</f>
        <v/>
      </c>
    </row>
    <row r="630" spans="16:18" x14ac:dyDescent="0.3">
      <c r="P630" s="16" t="str">
        <f>IF('Data-Plot'!C630="","",$Q$11+('Data-Plot'!C630-'Data-Plot'!D630)*$P$9)</f>
        <v/>
      </c>
      <c r="Q630" s="16" t="str">
        <f>IF('Data-Plot'!C630="","",MAX('Data-Plot'!$C$11:$C$1010)*(1+$Q$9/100))</f>
        <v/>
      </c>
      <c r="R630" s="16" t="str">
        <f>IF('Data-Plot'!C630="","",('Data-Plot'!C630-'Data-Plot'!D630)*$P$9)</f>
        <v/>
      </c>
    </row>
    <row r="631" spans="16:18" x14ac:dyDescent="0.3">
      <c r="P631" s="16" t="str">
        <f>IF('Data-Plot'!C631="","",$Q$11+('Data-Plot'!C631-'Data-Plot'!D631)*$P$9)</f>
        <v/>
      </c>
      <c r="Q631" s="16" t="str">
        <f>IF('Data-Plot'!C631="","",MAX('Data-Plot'!$C$11:$C$1010)*(1+$Q$9/100))</f>
        <v/>
      </c>
      <c r="R631" s="16" t="str">
        <f>IF('Data-Plot'!C631="","",('Data-Plot'!C631-'Data-Plot'!D631)*$P$9)</f>
        <v/>
      </c>
    </row>
    <row r="632" spans="16:18" x14ac:dyDescent="0.3">
      <c r="P632" s="16" t="str">
        <f>IF('Data-Plot'!C632="","",$Q$11+('Data-Plot'!C632-'Data-Plot'!D632)*$P$9)</f>
        <v/>
      </c>
      <c r="Q632" s="16" t="str">
        <f>IF('Data-Plot'!C632="","",MAX('Data-Plot'!$C$11:$C$1010)*(1+$Q$9/100))</f>
        <v/>
      </c>
      <c r="R632" s="16" t="str">
        <f>IF('Data-Plot'!C632="","",('Data-Plot'!C632-'Data-Plot'!D632)*$P$9)</f>
        <v/>
      </c>
    </row>
    <row r="633" spans="16:18" x14ac:dyDescent="0.3">
      <c r="P633" s="16" t="str">
        <f>IF('Data-Plot'!C633="","",$Q$11+('Data-Plot'!C633-'Data-Plot'!D633)*$P$9)</f>
        <v/>
      </c>
      <c r="Q633" s="16" t="str">
        <f>IF('Data-Plot'!C633="","",MAX('Data-Plot'!$C$11:$C$1010)*(1+$Q$9/100))</f>
        <v/>
      </c>
      <c r="R633" s="16" t="str">
        <f>IF('Data-Plot'!C633="","",('Data-Plot'!C633-'Data-Plot'!D633)*$P$9)</f>
        <v/>
      </c>
    </row>
    <row r="634" spans="16:18" x14ac:dyDescent="0.3">
      <c r="P634" s="16" t="str">
        <f>IF('Data-Plot'!C634="","",$Q$11+('Data-Plot'!C634-'Data-Plot'!D634)*$P$9)</f>
        <v/>
      </c>
      <c r="Q634" s="16" t="str">
        <f>IF('Data-Plot'!C634="","",MAX('Data-Plot'!$C$11:$C$1010)*(1+$Q$9/100))</f>
        <v/>
      </c>
      <c r="R634" s="16" t="str">
        <f>IF('Data-Plot'!C634="","",('Data-Plot'!C634-'Data-Plot'!D634)*$P$9)</f>
        <v/>
      </c>
    </row>
    <row r="635" spans="16:18" x14ac:dyDescent="0.3">
      <c r="P635" s="16" t="str">
        <f>IF('Data-Plot'!C635="","",$Q$11+('Data-Plot'!C635-'Data-Plot'!D635)*$P$9)</f>
        <v/>
      </c>
      <c r="Q635" s="16" t="str">
        <f>IF('Data-Plot'!C635="","",MAX('Data-Plot'!$C$11:$C$1010)*(1+$Q$9/100))</f>
        <v/>
      </c>
      <c r="R635" s="16" t="str">
        <f>IF('Data-Plot'!C635="","",('Data-Plot'!C635-'Data-Plot'!D635)*$P$9)</f>
        <v/>
      </c>
    </row>
    <row r="636" spans="16:18" x14ac:dyDescent="0.3">
      <c r="P636" s="16" t="str">
        <f>IF('Data-Plot'!C636="","",$Q$11+('Data-Plot'!C636-'Data-Plot'!D636)*$P$9)</f>
        <v/>
      </c>
      <c r="Q636" s="16" t="str">
        <f>IF('Data-Plot'!C636="","",MAX('Data-Plot'!$C$11:$C$1010)*(1+$Q$9/100))</f>
        <v/>
      </c>
      <c r="R636" s="16" t="str">
        <f>IF('Data-Plot'!C636="","",('Data-Plot'!C636-'Data-Plot'!D636)*$P$9)</f>
        <v/>
      </c>
    </row>
    <row r="637" spans="16:18" x14ac:dyDescent="0.3">
      <c r="P637" s="16" t="str">
        <f>IF('Data-Plot'!C637="","",$Q$11+('Data-Plot'!C637-'Data-Plot'!D637)*$P$9)</f>
        <v/>
      </c>
      <c r="Q637" s="16" t="str">
        <f>IF('Data-Plot'!C637="","",MAX('Data-Plot'!$C$11:$C$1010)*(1+$Q$9/100))</f>
        <v/>
      </c>
      <c r="R637" s="16" t="str">
        <f>IF('Data-Plot'!C637="","",('Data-Plot'!C637-'Data-Plot'!D637)*$P$9)</f>
        <v/>
      </c>
    </row>
    <row r="638" spans="16:18" x14ac:dyDescent="0.3">
      <c r="P638" s="16" t="str">
        <f>IF('Data-Plot'!C638="","",$Q$11+('Data-Plot'!C638-'Data-Plot'!D638)*$P$9)</f>
        <v/>
      </c>
      <c r="Q638" s="16" t="str">
        <f>IF('Data-Plot'!C638="","",MAX('Data-Plot'!$C$11:$C$1010)*(1+$Q$9/100))</f>
        <v/>
      </c>
      <c r="R638" s="16" t="str">
        <f>IF('Data-Plot'!C638="","",('Data-Plot'!C638-'Data-Plot'!D638)*$P$9)</f>
        <v/>
      </c>
    </row>
    <row r="639" spans="16:18" x14ac:dyDescent="0.3">
      <c r="P639" s="16" t="str">
        <f>IF('Data-Plot'!C639="","",$Q$11+('Data-Plot'!C639-'Data-Plot'!D639)*$P$9)</f>
        <v/>
      </c>
      <c r="Q639" s="16" t="str">
        <f>IF('Data-Plot'!C639="","",MAX('Data-Plot'!$C$11:$C$1010)*(1+$Q$9/100))</f>
        <v/>
      </c>
      <c r="R639" s="16" t="str">
        <f>IF('Data-Plot'!C639="","",('Data-Plot'!C639-'Data-Plot'!D639)*$P$9)</f>
        <v/>
      </c>
    </row>
    <row r="640" spans="16:18" x14ac:dyDescent="0.3">
      <c r="P640" s="16" t="str">
        <f>IF('Data-Plot'!C640="","",$Q$11+('Data-Plot'!C640-'Data-Plot'!D640)*$P$9)</f>
        <v/>
      </c>
      <c r="Q640" s="16" t="str">
        <f>IF('Data-Plot'!C640="","",MAX('Data-Plot'!$C$11:$C$1010)*(1+$Q$9/100))</f>
        <v/>
      </c>
      <c r="R640" s="16" t="str">
        <f>IF('Data-Plot'!C640="","",('Data-Plot'!C640-'Data-Plot'!D640)*$P$9)</f>
        <v/>
      </c>
    </row>
    <row r="641" spans="16:18" x14ac:dyDescent="0.3">
      <c r="P641" s="16" t="str">
        <f>IF('Data-Plot'!C641="","",$Q$11+('Data-Plot'!C641-'Data-Plot'!D641)*$P$9)</f>
        <v/>
      </c>
      <c r="Q641" s="16" t="str">
        <f>IF('Data-Plot'!C641="","",MAX('Data-Plot'!$C$11:$C$1010)*(1+$Q$9/100))</f>
        <v/>
      </c>
      <c r="R641" s="16" t="str">
        <f>IF('Data-Plot'!C641="","",('Data-Plot'!C641-'Data-Plot'!D641)*$P$9)</f>
        <v/>
      </c>
    </row>
    <row r="642" spans="16:18" x14ac:dyDescent="0.3">
      <c r="P642" s="16" t="str">
        <f>IF('Data-Plot'!C642="","",$Q$11+('Data-Plot'!C642-'Data-Plot'!D642)*$P$9)</f>
        <v/>
      </c>
      <c r="Q642" s="16" t="str">
        <f>IF('Data-Plot'!C642="","",MAX('Data-Plot'!$C$11:$C$1010)*(1+$Q$9/100))</f>
        <v/>
      </c>
      <c r="R642" s="16" t="str">
        <f>IF('Data-Plot'!C642="","",('Data-Plot'!C642-'Data-Plot'!D642)*$P$9)</f>
        <v/>
      </c>
    </row>
    <row r="643" spans="16:18" x14ac:dyDescent="0.3">
      <c r="P643" s="16" t="str">
        <f>IF('Data-Plot'!C643="","",$Q$11+('Data-Plot'!C643-'Data-Plot'!D643)*$P$9)</f>
        <v/>
      </c>
      <c r="Q643" s="16" t="str">
        <f>IF('Data-Plot'!C643="","",MAX('Data-Plot'!$C$11:$C$1010)*(1+$Q$9/100))</f>
        <v/>
      </c>
      <c r="R643" s="16" t="str">
        <f>IF('Data-Plot'!C643="","",('Data-Plot'!C643-'Data-Plot'!D643)*$P$9)</f>
        <v/>
      </c>
    </row>
    <row r="644" spans="16:18" x14ac:dyDescent="0.3">
      <c r="P644" s="16" t="str">
        <f>IF('Data-Plot'!C644="","",$Q$11+('Data-Plot'!C644-'Data-Plot'!D644)*$P$9)</f>
        <v/>
      </c>
      <c r="Q644" s="16" t="str">
        <f>IF('Data-Plot'!C644="","",MAX('Data-Plot'!$C$11:$C$1010)*(1+$Q$9/100))</f>
        <v/>
      </c>
      <c r="R644" s="16" t="str">
        <f>IF('Data-Plot'!C644="","",('Data-Plot'!C644-'Data-Plot'!D644)*$P$9)</f>
        <v/>
      </c>
    </row>
    <row r="645" spans="16:18" x14ac:dyDescent="0.3">
      <c r="P645" s="16" t="str">
        <f>IF('Data-Plot'!C645="","",$Q$11+('Data-Plot'!C645-'Data-Plot'!D645)*$P$9)</f>
        <v/>
      </c>
      <c r="Q645" s="16" t="str">
        <f>IF('Data-Plot'!C645="","",MAX('Data-Plot'!$C$11:$C$1010)*(1+$Q$9/100))</f>
        <v/>
      </c>
      <c r="R645" s="16" t="str">
        <f>IF('Data-Plot'!C645="","",('Data-Plot'!C645-'Data-Plot'!D645)*$P$9)</f>
        <v/>
      </c>
    </row>
    <row r="646" spans="16:18" x14ac:dyDescent="0.3">
      <c r="P646" s="16" t="str">
        <f>IF('Data-Plot'!C646="","",$Q$11+('Data-Plot'!C646-'Data-Plot'!D646)*$P$9)</f>
        <v/>
      </c>
      <c r="Q646" s="16" t="str">
        <f>IF('Data-Plot'!C646="","",MAX('Data-Plot'!$C$11:$C$1010)*(1+$Q$9/100))</f>
        <v/>
      </c>
      <c r="R646" s="16" t="str">
        <f>IF('Data-Plot'!C646="","",('Data-Plot'!C646-'Data-Plot'!D646)*$P$9)</f>
        <v/>
      </c>
    </row>
    <row r="647" spans="16:18" x14ac:dyDescent="0.3">
      <c r="P647" s="16" t="str">
        <f>IF('Data-Plot'!C647="","",$Q$11+('Data-Plot'!C647-'Data-Plot'!D647)*$P$9)</f>
        <v/>
      </c>
      <c r="Q647" s="16" t="str">
        <f>IF('Data-Plot'!C647="","",MAX('Data-Plot'!$C$11:$C$1010)*(1+$Q$9/100))</f>
        <v/>
      </c>
      <c r="R647" s="16" t="str">
        <f>IF('Data-Plot'!C647="","",('Data-Plot'!C647-'Data-Plot'!D647)*$P$9)</f>
        <v/>
      </c>
    </row>
    <row r="648" spans="16:18" x14ac:dyDescent="0.3">
      <c r="P648" s="16" t="str">
        <f>IF('Data-Plot'!C648="","",$Q$11+('Data-Plot'!C648-'Data-Plot'!D648)*$P$9)</f>
        <v/>
      </c>
      <c r="Q648" s="16" t="str">
        <f>IF('Data-Plot'!C648="","",MAX('Data-Plot'!$C$11:$C$1010)*(1+$Q$9/100))</f>
        <v/>
      </c>
      <c r="R648" s="16" t="str">
        <f>IF('Data-Plot'!C648="","",('Data-Plot'!C648-'Data-Plot'!D648)*$P$9)</f>
        <v/>
      </c>
    </row>
    <row r="649" spans="16:18" x14ac:dyDescent="0.3">
      <c r="P649" s="16" t="str">
        <f>IF('Data-Plot'!C649="","",$Q$11+('Data-Plot'!C649-'Data-Plot'!D649)*$P$9)</f>
        <v/>
      </c>
      <c r="Q649" s="16" t="str">
        <f>IF('Data-Plot'!C649="","",MAX('Data-Plot'!$C$11:$C$1010)*(1+$Q$9/100))</f>
        <v/>
      </c>
      <c r="R649" s="16" t="str">
        <f>IF('Data-Plot'!C649="","",('Data-Plot'!C649-'Data-Plot'!D649)*$P$9)</f>
        <v/>
      </c>
    </row>
    <row r="650" spans="16:18" x14ac:dyDescent="0.3">
      <c r="P650" s="16" t="str">
        <f>IF('Data-Plot'!C650="","",$Q$11+('Data-Plot'!C650-'Data-Plot'!D650)*$P$9)</f>
        <v/>
      </c>
      <c r="Q650" s="16" t="str">
        <f>IF('Data-Plot'!C650="","",MAX('Data-Plot'!$C$11:$C$1010)*(1+$Q$9/100))</f>
        <v/>
      </c>
      <c r="R650" s="16" t="str">
        <f>IF('Data-Plot'!C650="","",('Data-Plot'!C650-'Data-Plot'!D650)*$P$9)</f>
        <v/>
      </c>
    </row>
    <row r="651" spans="16:18" x14ac:dyDescent="0.3">
      <c r="P651" s="16" t="str">
        <f>IF('Data-Plot'!C651="","",$Q$11+('Data-Plot'!C651-'Data-Plot'!D651)*$P$9)</f>
        <v/>
      </c>
      <c r="Q651" s="16" t="str">
        <f>IF('Data-Plot'!C651="","",MAX('Data-Plot'!$C$11:$C$1010)*(1+$Q$9/100))</f>
        <v/>
      </c>
      <c r="R651" s="16" t="str">
        <f>IF('Data-Plot'!C651="","",('Data-Plot'!C651-'Data-Plot'!D651)*$P$9)</f>
        <v/>
      </c>
    </row>
    <row r="652" spans="16:18" x14ac:dyDescent="0.3">
      <c r="P652" s="16" t="str">
        <f>IF('Data-Plot'!C652="","",$Q$11+('Data-Plot'!C652-'Data-Plot'!D652)*$P$9)</f>
        <v/>
      </c>
      <c r="Q652" s="16" t="str">
        <f>IF('Data-Plot'!C652="","",MAX('Data-Plot'!$C$11:$C$1010)*(1+$Q$9/100))</f>
        <v/>
      </c>
      <c r="R652" s="16" t="str">
        <f>IF('Data-Plot'!C652="","",('Data-Plot'!C652-'Data-Plot'!D652)*$P$9)</f>
        <v/>
      </c>
    </row>
    <row r="653" spans="16:18" x14ac:dyDescent="0.3">
      <c r="P653" s="16" t="str">
        <f>IF('Data-Plot'!C653="","",$Q$11+('Data-Plot'!C653-'Data-Plot'!D653)*$P$9)</f>
        <v/>
      </c>
      <c r="Q653" s="16" t="str">
        <f>IF('Data-Plot'!C653="","",MAX('Data-Plot'!$C$11:$C$1010)*(1+$Q$9/100))</f>
        <v/>
      </c>
      <c r="R653" s="16" t="str">
        <f>IF('Data-Plot'!C653="","",('Data-Plot'!C653-'Data-Plot'!D653)*$P$9)</f>
        <v/>
      </c>
    </row>
    <row r="654" spans="16:18" x14ac:dyDescent="0.3">
      <c r="P654" s="16" t="str">
        <f>IF('Data-Plot'!C654="","",$Q$11+('Data-Plot'!C654-'Data-Plot'!D654)*$P$9)</f>
        <v/>
      </c>
      <c r="Q654" s="16" t="str">
        <f>IF('Data-Plot'!C654="","",MAX('Data-Plot'!$C$11:$C$1010)*(1+$Q$9/100))</f>
        <v/>
      </c>
      <c r="R654" s="16" t="str">
        <f>IF('Data-Plot'!C654="","",('Data-Plot'!C654-'Data-Plot'!D654)*$P$9)</f>
        <v/>
      </c>
    </row>
    <row r="655" spans="16:18" x14ac:dyDescent="0.3">
      <c r="P655" s="16" t="str">
        <f>IF('Data-Plot'!C655="","",$Q$11+('Data-Plot'!C655-'Data-Plot'!D655)*$P$9)</f>
        <v/>
      </c>
      <c r="Q655" s="16" t="str">
        <f>IF('Data-Plot'!C655="","",MAX('Data-Plot'!$C$11:$C$1010)*(1+$Q$9/100))</f>
        <v/>
      </c>
      <c r="R655" s="16" t="str">
        <f>IF('Data-Plot'!C655="","",('Data-Plot'!C655-'Data-Plot'!D655)*$P$9)</f>
        <v/>
      </c>
    </row>
    <row r="656" spans="16:18" x14ac:dyDescent="0.3">
      <c r="P656" s="16" t="str">
        <f>IF('Data-Plot'!C656="","",$Q$11+('Data-Plot'!C656-'Data-Plot'!D656)*$P$9)</f>
        <v/>
      </c>
      <c r="Q656" s="16" t="str">
        <f>IF('Data-Plot'!C656="","",MAX('Data-Plot'!$C$11:$C$1010)*(1+$Q$9/100))</f>
        <v/>
      </c>
      <c r="R656" s="16" t="str">
        <f>IF('Data-Plot'!C656="","",('Data-Plot'!C656-'Data-Plot'!D656)*$P$9)</f>
        <v/>
      </c>
    </row>
    <row r="657" spans="16:18" x14ac:dyDescent="0.3">
      <c r="P657" s="16" t="str">
        <f>IF('Data-Plot'!C657="","",$Q$11+('Data-Plot'!C657-'Data-Plot'!D657)*$P$9)</f>
        <v/>
      </c>
      <c r="Q657" s="16" t="str">
        <f>IF('Data-Plot'!C657="","",MAX('Data-Plot'!$C$11:$C$1010)*(1+$Q$9/100))</f>
        <v/>
      </c>
      <c r="R657" s="16" t="str">
        <f>IF('Data-Plot'!C657="","",('Data-Plot'!C657-'Data-Plot'!D657)*$P$9)</f>
        <v/>
      </c>
    </row>
    <row r="658" spans="16:18" x14ac:dyDescent="0.3">
      <c r="P658" s="16" t="str">
        <f>IF('Data-Plot'!C658="","",$Q$11+('Data-Plot'!C658-'Data-Plot'!D658)*$P$9)</f>
        <v/>
      </c>
      <c r="Q658" s="16" t="str">
        <f>IF('Data-Plot'!C658="","",MAX('Data-Plot'!$C$11:$C$1010)*(1+$Q$9/100))</f>
        <v/>
      </c>
      <c r="R658" s="16" t="str">
        <f>IF('Data-Plot'!C658="","",('Data-Plot'!C658-'Data-Plot'!D658)*$P$9)</f>
        <v/>
      </c>
    </row>
    <row r="659" spans="16:18" x14ac:dyDescent="0.3">
      <c r="P659" s="16" t="str">
        <f>IF('Data-Plot'!C659="","",$Q$11+('Data-Plot'!C659-'Data-Plot'!D659)*$P$9)</f>
        <v/>
      </c>
      <c r="Q659" s="16" t="str">
        <f>IF('Data-Plot'!C659="","",MAX('Data-Plot'!$C$11:$C$1010)*(1+$Q$9/100))</f>
        <v/>
      </c>
      <c r="R659" s="16" t="str">
        <f>IF('Data-Plot'!C659="","",('Data-Plot'!C659-'Data-Plot'!D659)*$P$9)</f>
        <v/>
      </c>
    </row>
    <row r="660" spans="16:18" x14ac:dyDescent="0.3">
      <c r="P660" s="16" t="str">
        <f>IF('Data-Plot'!C660="","",$Q$11+('Data-Plot'!C660-'Data-Plot'!D660)*$P$9)</f>
        <v/>
      </c>
      <c r="Q660" s="16" t="str">
        <f>IF('Data-Plot'!C660="","",MAX('Data-Plot'!$C$11:$C$1010)*(1+$Q$9/100))</f>
        <v/>
      </c>
      <c r="R660" s="16" t="str">
        <f>IF('Data-Plot'!C660="","",('Data-Plot'!C660-'Data-Plot'!D660)*$P$9)</f>
        <v/>
      </c>
    </row>
    <row r="661" spans="16:18" x14ac:dyDescent="0.3">
      <c r="P661" s="16" t="str">
        <f>IF('Data-Plot'!C661="","",$Q$11+('Data-Plot'!C661-'Data-Plot'!D661)*$P$9)</f>
        <v/>
      </c>
      <c r="Q661" s="16" t="str">
        <f>IF('Data-Plot'!C661="","",MAX('Data-Plot'!$C$11:$C$1010)*(1+$Q$9/100))</f>
        <v/>
      </c>
      <c r="R661" s="16" t="str">
        <f>IF('Data-Plot'!C661="","",('Data-Plot'!C661-'Data-Plot'!D661)*$P$9)</f>
        <v/>
      </c>
    </row>
    <row r="662" spans="16:18" x14ac:dyDescent="0.3">
      <c r="P662" s="16" t="str">
        <f>IF('Data-Plot'!C662="","",$Q$11+('Data-Plot'!C662-'Data-Plot'!D662)*$P$9)</f>
        <v/>
      </c>
      <c r="Q662" s="16" t="str">
        <f>IF('Data-Plot'!C662="","",MAX('Data-Plot'!$C$11:$C$1010)*(1+$Q$9/100))</f>
        <v/>
      </c>
      <c r="R662" s="16" t="str">
        <f>IF('Data-Plot'!C662="","",('Data-Plot'!C662-'Data-Plot'!D662)*$P$9)</f>
        <v/>
      </c>
    </row>
    <row r="663" spans="16:18" x14ac:dyDescent="0.3">
      <c r="P663" s="16" t="str">
        <f>IF('Data-Plot'!C663="","",$Q$11+('Data-Plot'!C663-'Data-Plot'!D663)*$P$9)</f>
        <v/>
      </c>
      <c r="Q663" s="16" t="str">
        <f>IF('Data-Plot'!C663="","",MAX('Data-Plot'!$C$11:$C$1010)*(1+$Q$9/100))</f>
        <v/>
      </c>
      <c r="R663" s="16" t="str">
        <f>IF('Data-Plot'!C663="","",('Data-Plot'!C663-'Data-Plot'!D663)*$P$9)</f>
        <v/>
      </c>
    </row>
    <row r="664" spans="16:18" x14ac:dyDescent="0.3">
      <c r="P664" s="16" t="str">
        <f>IF('Data-Plot'!C664="","",$Q$11+('Data-Plot'!C664-'Data-Plot'!D664)*$P$9)</f>
        <v/>
      </c>
      <c r="Q664" s="16" t="str">
        <f>IF('Data-Plot'!C664="","",MAX('Data-Plot'!$C$11:$C$1010)*(1+$Q$9/100))</f>
        <v/>
      </c>
      <c r="R664" s="16" t="str">
        <f>IF('Data-Plot'!C664="","",('Data-Plot'!C664-'Data-Plot'!D664)*$P$9)</f>
        <v/>
      </c>
    </row>
    <row r="665" spans="16:18" x14ac:dyDescent="0.3">
      <c r="P665" s="16" t="str">
        <f>IF('Data-Plot'!C665="","",$Q$11+('Data-Plot'!C665-'Data-Plot'!D665)*$P$9)</f>
        <v/>
      </c>
      <c r="Q665" s="16" t="str">
        <f>IF('Data-Plot'!C665="","",MAX('Data-Plot'!$C$11:$C$1010)*(1+$Q$9/100))</f>
        <v/>
      </c>
      <c r="R665" s="16" t="str">
        <f>IF('Data-Plot'!C665="","",('Data-Plot'!C665-'Data-Plot'!D665)*$P$9)</f>
        <v/>
      </c>
    </row>
    <row r="666" spans="16:18" x14ac:dyDescent="0.3">
      <c r="P666" s="16" t="str">
        <f>IF('Data-Plot'!C666="","",$Q$11+('Data-Plot'!C666-'Data-Plot'!D666)*$P$9)</f>
        <v/>
      </c>
      <c r="Q666" s="16" t="str">
        <f>IF('Data-Plot'!C666="","",MAX('Data-Plot'!$C$11:$C$1010)*(1+$Q$9/100))</f>
        <v/>
      </c>
      <c r="R666" s="16" t="str">
        <f>IF('Data-Plot'!C666="","",('Data-Plot'!C666-'Data-Plot'!D666)*$P$9)</f>
        <v/>
      </c>
    </row>
    <row r="667" spans="16:18" x14ac:dyDescent="0.3">
      <c r="P667" s="16" t="str">
        <f>IF('Data-Plot'!C667="","",$Q$11+('Data-Plot'!C667-'Data-Plot'!D667)*$P$9)</f>
        <v/>
      </c>
      <c r="Q667" s="16" t="str">
        <f>IF('Data-Plot'!C667="","",MAX('Data-Plot'!$C$11:$C$1010)*(1+$Q$9/100))</f>
        <v/>
      </c>
      <c r="R667" s="16" t="str">
        <f>IF('Data-Plot'!C667="","",('Data-Plot'!C667-'Data-Plot'!D667)*$P$9)</f>
        <v/>
      </c>
    </row>
    <row r="668" spans="16:18" x14ac:dyDescent="0.3">
      <c r="P668" s="16" t="str">
        <f>IF('Data-Plot'!C668="","",$Q$11+('Data-Plot'!C668-'Data-Plot'!D668)*$P$9)</f>
        <v/>
      </c>
      <c r="Q668" s="16" t="str">
        <f>IF('Data-Plot'!C668="","",MAX('Data-Plot'!$C$11:$C$1010)*(1+$Q$9/100))</f>
        <v/>
      </c>
      <c r="R668" s="16" t="str">
        <f>IF('Data-Plot'!C668="","",('Data-Plot'!C668-'Data-Plot'!D668)*$P$9)</f>
        <v/>
      </c>
    </row>
    <row r="669" spans="16:18" x14ac:dyDescent="0.3">
      <c r="P669" s="16" t="str">
        <f>IF('Data-Plot'!C669="","",$Q$11+('Data-Plot'!C669-'Data-Plot'!D669)*$P$9)</f>
        <v/>
      </c>
      <c r="Q669" s="16" t="str">
        <f>IF('Data-Plot'!C669="","",MAX('Data-Plot'!$C$11:$C$1010)*(1+$Q$9/100))</f>
        <v/>
      </c>
      <c r="R669" s="16" t="str">
        <f>IF('Data-Plot'!C669="","",('Data-Plot'!C669-'Data-Plot'!D669)*$P$9)</f>
        <v/>
      </c>
    </row>
    <row r="670" spans="16:18" x14ac:dyDescent="0.3">
      <c r="P670" s="16" t="str">
        <f>IF('Data-Plot'!C670="","",$Q$11+('Data-Plot'!C670-'Data-Plot'!D670)*$P$9)</f>
        <v/>
      </c>
      <c r="Q670" s="16" t="str">
        <f>IF('Data-Plot'!C670="","",MAX('Data-Plot'!$C$11:$C$1010)*(1+$Q$9/100))</f>
        <v/>
      </c>
      <c r="R670" s="16" t="str">
        <f>IF('Data-Plot'!C670="","",('Data-Plot'!C670-'Data-Plot'!D670)*$P$9)</f>
        <v/>
      </c>
    </row>
    <row r="671" spans="16:18" x14ac:dyDescent="0.3">
      <c r="P671" s="16" t="str">
        <f>IF('Data-Plot'!C671="","",$Q$11+('Data-Plot'!C671-'Data-Plot'!D671)*$P$9)</f>
        <v/>
      </c>
      <c r="Q671" s="16" t="str">
        <f>IF('Data-Plot'!C671="","",MAX('Data-Plot'!$C$11:$C$1010)*(1+$Q$9/100))</f>
        <v/>
      </c>
      <c r="R671" s="16" t="str">
        <f>IF('Data-Plot'!C671="","",('Data-Plot'!C671-'Data-Plot'!D671)*$P$9)</f>
        <v/>
      </c>
    </row>
    <row r="672" spans="16:18" x14ac:dyDescent="0.3">
      <c r="P672" s="16" t="str">
        <f>IF('Data-Plot'!C672="","",$Q$11+('Data-Plot'!C672-'Data-Plot'!D672)*$P$9)</f>
        <v/>
      </c>
      <c r="Q672" s="16" t="str">
        <f>IF('Data-Plot'!C672="","",MAX('Data-Plot'!$C$11:$C$1010)*(1+$Q$9/100))</f>
        <v/>
      </c>
      <c r="R672" s="16" t="str">
        <f>IF('Data-Plot'!C672="","",('Data-Plot'!C672-'Data-Plot'!D672)*$P$9)</f>
        <v/>
      </c>
    </row>
    <row r="673" spans="16:18" x14ac:dyDescent="0.3">
      <c r="P673" s="16" t="str">
        <f>IF('Data-Plot'!C673="","",$Q$11+('Data-Plot'!C673-'Data-Plot'!D673)*$P$9)</f>
        <v/>
      </c>
      <c r="Q673" s="16" t="str">
        <f>IF('Data-Plot'!C673="","",MAX('Data-Plot'!$C$11:$C$1010)*(1+$Q$9/100))</f>
        <v/>
      </c>
      <c r="R673" s="16" t="str">
        <f>IF('Data-Plot'!C673="","",('Data-Plot'!C673-'Data-Plot'!D673)*$P$9)</f>
        <v/>
      </c>
    </row>
    <row r="674" spans="16:18" x14ac:dyDescent="0.3">
      <c r="P674" s="16" t="str">
        <f>IF('Data-Plot'!C674="","",$Q$11+('Data-Plot'!C674-'Data-Plot'!D674)*$P$9)</f>
        <v/>
      </c>
      <c r="Q674" s="16" t="str">
        <f>IF('Data-Plot'!C674="","",MAX('Data-Plot'!$C$11:$C$1010)*(1+$Q$9/100))</f>
        <v/>
      </c>
      <c r="R674" s="16" t="str">
        <f>IF('Data-Plot'!C674="","",('Data-Plot'!C674-'Data-Plot'!D674)*$P$9)</f>
        <v/>
      </c>
    </row>
    <row r="675" spans="16:18" x14ac:dyDescent="0.3">
      <c r="P675" s="16" t="str">
        <f>IF('Data-Plot'!C675="","",$Q$11+('Data-Plot'!C675-'Data-Plot'!D675)*$P$9)</f>
        <v/>
      </c>
      <c r="Q675" s="16" t="str">
        <f>IF('Data-Plot'!C675="","",MAX('Data-Plot'!$C$11:$C$1010)*(1+$Q$9/100))</f>
        <v/>
      </c>
      <c r="R675" s="16" t="str">
        <f>IF('Data-Plot'!C675="","",('Data-Plot'!C675-'Data-Plot'!D675)*$P$9)</f>
        <v/>
      </c>
    </row>
    <row r="676" spans="16:18" x14ac:dyDescent="0.3">
      <c r="P676" s="16" t="str">
        <f>IF('Data-Plot'!C676="","",$Q$11+('Data-Plot'!C676-'Data-Plot'!D676)*$P$9)</f>
        <v/>
      </c>
      <c r="Q676" s="16" t="str">
        <f>IF('Data-Plot'!C676="","",MAX('Data-Plot'!$C$11:$C$1010)*(1+$Q$9/100))</f>
        <v/>
      </c>
      <c r="R676" s="16" t="str">
        <f>IF('Data-Plot'!C676="","",('Data-Plot'!C676-'Data-Plot'!D676)*$P$9)</f>
        <v/>
      </c>
    </row>
    <row r="677" spans="16:18" x14ac:dyDescent="0.3">
      <c r="P677" s="16" t="str">
        <f>IF('Data-Plot'!C677="","",$Q$11+('Data-Plot'!C677-'Data-Plot'!D677)*$P$9)</f>
        <v/>
      </c>
      <c r="Q677" s="16" t="str">
        <f>IF('Data-Plot'!C677="","",MAX('Data-Plot'!$C$11:$C$1010)*(1+$Q$9/100))</f>
        <v/>
      </c>
      <c r="R677" s="16" t="str">
        <f>IF('Data-Plot'!C677="","",('Data-Plot'!C677-'Data-Plot'!D677)*$P$9)</f>
        <v/>
      </c>
    </row>
    <row r="678" spans="16:18" x14ac:dyDescent="0.3">
      <c r="P678" s="16" t="str">
        <f>IF('Data-Plot'!C678="","",$Q$11+('Data-Plot'!C678-'Data-Plot'!D678)*$P$9)</f>
        <v/>
      </c>
      <c r="Q678" s="16" t="str">
        <f>IF('Data-Plot'!C678="","",MAX('Data-Plot'!$C$11:$C$1010)*(1+$Q$9/100))</f>
        <v/>
      </c>
      <c r="R678" s="16" t="str">
        <f>IF('Data-Plot'!C678="","",('Data-Plot'!C678-'Data-Plot'!D678)*$P$9)</f>
        <v/>
      </c>
    </row>
    <row r="679" spans="16:18" x14ac:dyDescent="0.3">
      <c r="P679" s="16" t="str">
        <f>IF('Data-Plot'!C679="","",$Q$11+('Data-Plot'!C679-'Data-Plot'!D679)*$P$9)</f>
        <v/>
      </c>
      <c r="Q679" s="16" t="str">
        <f>IF('Data-Plot'!C679="","",MAX('Data-Plot'!$C$11:$C$1010)*(1+$Q$9/100))</f>
        <v/>
      </c>
      <c r="R679" s="16" t="str">
        <f>IF('Data-Plot'!C679="","",('Data-Plot'!C679-'Data-Plot'!D679)*$P$9)</f>
        <v/>
      </c>
    </row>
    <row r="680" spans="16:18" x14ac:dyDescent="0.3">
      <c r="P680" s="16" t="str">
        <f>IF('Data-Plot'!C680="","",$Q$11+('Data-Plot'!C680-'Data-Plot'!D680)*$P$9)</f>
        <v/>
      </c>
      <c r="Q680" s="16" t="str">
        <f>IF('Data-Plot'!C680="","",MAX('Data-Plot'!$C$11:$C$1010)*(1+$Q$9/100))</f>
        <v/>
      </c>
      <c r="R680" s="16" t="str">
        <f>IF('Data-Plot'!C680="","",('Data-Plot'!C680-'Data-Plot'!D680)*$P$9)</f>
        <v/>
      </c>
    </row>
    <row r="681" spans="16:18" x14ac:dyDescent="0.3">
      <c r="P681" s="16" t="str">
        <f>IF('Data-Plot'!C681="","",$Q$11+('Data-Plot'!C681-'Data-Plot'!D681)*$P$9)</f>
        <v/>
      </c>
      <c r="Q681" s="16" t="str">
        <f>IF('Data-Plot'!C681="","",MAX('Data-Plot'!$C$11:$C$1010)*(1+$Q$9/100))</f>
        <v/>
      </c>
      <c r="R681" s="16" t="str">
        <f>IF('Data-Plot'!C681="","",('Data-Plot'!C681-'Data-Plot'!D681)*$P$9)</f>
        <v/>
      </c>
    </row>
    <row r="682" spans="16:18" x14ac:dyDescent="0.3">
      <c r="P682" s="16" t="str">
        <f>IF('Data-Plot'!C682="","",$Q$11+('Data-Plot'!C682-'Data-Plot'!D682)*$P$9)</f>
        <v/>
      </c>
      <c r="Q682" s="16" t="str">
        <f>IF('Data-Plot'!C682="","",MAX('Data-Plot'!$C$11:$C$1010)*(1+$Q$9/100))</f>
        <v/>
      </c>
      <c r="R682" s="16" t="str">
        <f>IF('Data-Plot'!C682="","",('Data-Plot'!C682-'Data-Plot'!D682)*$P$9)</f>
        <v/>
      </c>
    </row>
    <row r="683" spans="16:18" x14ac:dyDescent="0.3">
      <c r="P683" s="16" t="str">
        <f>IF('Data-Plot'!C683="","",$Q$11+('Data-Plot'!C683-'Data-Plot'!D683)*$P$9)</f>
        <v/>
      </c>
      <c r="Q683" s="16" t="str">
        <f>IF('Data-Plot'!C683="","",MAX('Data-Plot'!$C$11:$C$1010)*(1+$Q$9/100))</f>
        <v/>
      </c>
      <c r="R683" s="16" t="str">
        <f>IF('Data-Plot'!C683="","",('Data-Plot'!C683-'Data-Plot'!D683)*$P$9)</f>
        <v/>
      </c>
    </row>
    <row r="684" spans="16:18" x14ac:dyDescent="0.3">
      <c r="P684" s="16" t="str">
        <f>IF('Data-Plot'!C684="","",$Q$11+('Data-Plot'!C684-'Data-Plot'!D684)*$P$9)</f>
        <v/>
      </c>
      <c r="Q684" s="16" t="str">
        <f>IF('Data-Plot'!C684="","",MAX('Data-Plot'!$C$11:$C$1010)*(1+$Q$9/100))</f>
        <v/>
      </c>
      <c r="R684" s="16" t="str">
        <f>IF('Data-Plot'!C684="","",('Data-Plot'!C684-'Data-Plot'!D684)*$P$9)</f>
        <v/>
      </c>
    </row>
    <row r="685" spans="16:18" x14ac:dyDescent="0.3">
      <c r="P685" s="16" t="str">
        <f>IF('Data-Plot'!C685="","",$Q$11+('Data-Plot'!C685-'Data-Plot'!D685)*$P$9)</f>
        <v/>
      </c>
      <c r="Q685" s="16" t="str">
        <f>IF('Data-Plot'!C685="","",MAX('Data-Plot'!$C$11:$C$1010)*(1+$Q$9/100))</f>
        <v/>
      </c>
      <c r="R685" s="16" t="str">
        <f>IF('Data-Plot'!C685="","",('Data-Plot'!C685-'Data-Plot'!D685)*$P$9)</f>
        <v/>
      </c>
    </row>
    <row r="686" spans="16:18" x14ac:dyDescent="0.3">
      <c r="P686" s="16" t="str">
        <f>IF('Data-Plot'!C686="","",$Q$11+('Data-Plot'!C686-'Data-Plot'!D686)*$P$9)</f>
        <v/>
      </c>
      <c r="Q686" s="16" t="str">
        <f>IF('Data-Plot'!C686="","",MAX('Data-Plot'!$C$11:$C$1010)*(1+$Q$9/100))</f>
        <v/>
      </c>
      <c r="R686" s="16" t="str">
        <f>IF('Data-Plot'!C686="","",('Data-Plot'!C686-'Data-Plot'!D686)*$P$9)</f>
        <v/>
      </c>
    </row>
    <row r="687" spans="16:18" x14ac:dyDescent="0.3">
      <c r="P687" s="16" t="str">
        <f>IF('Data-Plot'!C687="","",$Q$11+('Data-Plot'!C687-'Data-Plot'!D687)*$P$9)</f>
        <v/>
      </c>
      <c r="Q687" s="16" t="str">
        <f>IF('Data-Plot'!C687="","",MAX('Data-Plot'!$C$11:$C$1010)*(1+$Q$9/100))</f>
        <v/>
      </c>
      <c r="R687" s="16" t="str">
        <f>IF('Data-Plot'!C687="","",('Data-Plot'!C687-'Data-Plot'!D687)*$P$9)</f>
        <v/>
      </c>
    </row>
    <row r="688" spans="16:18" x14ac:dyDescent="0.3">
      <c r="P688" s="16" t="str">
        <f>IF('Data-Plot'!C688="","",$Q$11+('Data-Plot'!C688-'Data-Plot'!D688)*$P$9)</f>
        <v/>
      </c>
      <c r="Q688" s="16" t="str">
        <f>IF('Data-Plot'!C688="","",MAX('Data-Plot'!$C$11:$C$1010)*(1+$Q$9/100))</f>
        <v/>
      </c>
      <c r="R688" s="16" t="str">
        <f>IF('Data-Plot'!C688="","",('Data-Plot'!C688-'Data-Plot'!D688)*$P$9)</f>
        <v/>
      </c>
    </row>
    <row r="689" spans="16:18" x14ac:dyDescent="0.3">
      <c r="P689" s="16" t="str">
        <f>IF('Data-Plot'!C689="","",$Q$11+('Data-Plot'!C689-'Data-Plot'!D689)*$P$9)</f>
        <v/>
      </c>
      <c r="Q689" s="16" t="str">
        <f>IF('Data-Plot'!C689="","",MAX('Data-Plot'!$C$11:$C$1010)*(1+$Q$9/100))</f>
        <v/>
      </c>
      <c r="R689" s="16" t="str">
        <f>IF('Data-Plot'!C689="","",('Data-Plot'!C689-'Data-Plot'!D689)*$P$9)</f>
        <v/>
      </c>
    </row>
    <row r="690" spans="16:18" x14ac:dyDescent="0.3">
      <c r="P690" s="16" t="str">
        <f>IF('Data-Plot'!C690="","",$Q$11+('Data-Plot'!C690-'Data-Plot'!D690)*$P$9)</f>
        <v/>
      </c>
      <c r="Q690" s="16" t="str">
        <f>IF('Data-Plot'!C690="","",MAX('Data-Plot'!$C$11:$C$1010)*(1+$Q$9/100))</f>
        <v/>
      </c>
      <c r="R690" s="16" t="str">
        <f>IF('Data-Plot'!C690="","",('Data-Plot'!C690-'Data-Plot'!D690)*$P$9)</f>
        <v/>
      </c>
    </row>
    <row r="691" spans="16:18" x14ac:dyDescent="0.3">
      <c r="P691" s="16" t="str">
        <f>IF('Data-Plot'!C691="","",$Q$11+('Data-Plot'!C691-'Data-Plot'!D691)*$P$9)</f>
        <v/>
      </c>
      <c r="Q691" s="16" t="str">
        <f>IF('Data-Plot'!C691="","",MAX('Data-Plot'!$C$11:$C$1010)*(1+$Q$9/100))</f>
        <v/>
      </c>
      <c r="R691" s="16" t="str">
        <f>IF('Data-Plot'!C691="","",('Data-Plot'!C691-'Data-Plot'!D691)*$P$9)</f>
        <v/>
      </c>
    </row>
    <row r="692" spans="16:18" x14ac:dyDescent="0.3">
      <c r="P692" s="16" t="str">
        <f>IF('Data-Plot'!C692="","",$Q$11+('Data-Plot'!C692-'Data-Plot'!D692)*$P$9)</f>
        <v/>
      </c>
      <c r="Q692" s="16" t="str">
        <f>IF('Data-Plot'!C692="","",MAX('Data-Plot'!$C$11:$C$1010)*(1+$Q$9/100))</f>
        <v/>
      </c>
      <c r="R692" s="16" t="str">
        <f>IF('Data-Plot'!C692="","",('Data-Plot'!C692-'Data-Plot'!D692)*$P$9)</f>
        <v/>
      </c>
    </row>
    <row r="693" spans="16:18" x14ac:dyDescent="0.3">
      <c r="P693" s="16" t="str">
        <f>IF('Data-Plot'!C693="","",$Q$11+('Data-Plot'!C693-'Data-Plot'!D693)*$P$9)</f>
        <v/>
      </c>
      <c r="Q693" s="16" t="str">
        <f>IF('Data-Plot'!C693="","",MAX('Data-Plot'!$C$11:$C$1010)*(1+$Q$9/100))</f>
        <v/>
      </c>
      <c r="R693" s="16" t="str">
        <f>IF('Data-Plot'!C693="","",('Data-Plot'!C693-'Data-Plot'!D693)*$P$9)</f>
        <v/>
      </c>
    </row>
    <row r="694" spans="16:18" x14ac:dyDescent="0.3">
      <c r="P694" s="16" t="str">
        <f>IF('Data-Plot'!C694="","",$Q$11+('Data-Plot'!C694-'Data-Plot'!D694)*$P$9)</f>
        <v/>
      </c>
      <c r="Q694" s="16" t="str">
        <f>IF('Data-Plot'!C694="","",MAX('Data-Plot'!$C$11:$C$1010)*(1+$Q$9/100))</f>
        <v/>
      </c>
      <c r="R694" s="16" t="str">
        <f>IF('Data-Plot'!C694="","",('Data-Plot'!C694-'Data-Plot'!D694)*$P$9)</f>
        <v/>
      </c>
    </row>
    <row r="695" spans="16:18" x14ac:dyDescent="0.3">
      <c r="P695" s="16" t="str">
        <f>IF('Data-Plot'!C695="","",$Q$11+('Data-Plot'!C695-'Data-Plot'!D695)*$P$9)</f>
        <v/>
      </c>
      <c r="Q695" s="16" t="str">
        <f>IF('Data-Plot'!C695="","",MAX('Data-Plot'!$C$11:$C$1010)*(1+$Q$9/100))</f>
        <v/>
      </c>
      <c r="R695" s="16" t="str">
        <f>IF('Data-Plot'!C695="","",('Data-Plot'!C695-'Data-Plot'!D695)*$P$9)</f>
        <v/>
      </c>
    </row>
    <row r="696" spans="16:18" x14ac:dyDescent="0.3">
      <c r="P696" s="16" t="str">
        <f>IF('Data-Plot'!C696="","",$Q$11+('Data-Plot'!C696-'Data-Plot'!D696)*$P$9)</f>
        <v/>
      </c>
      <c r="Q696" s="16" t="str">
        <f>IF('Data-Plot'!C696="","",MAX('Data-Plot'!$C$11:$C$1010)*(1+$Q$9/100))</f>
        <v/>
      </c>
      <c r="R696" s="16" t="str">
        <f>IF('Data-Plot'!C696="","",('Data-Plot'!C696-'Data-Plot'!D696)*$P$9)</f>
        <v/>
      </c>
    </row>
    <row r="697" spans="16:18" x14ac:dyDescent="0.3">
      <c r="P697" s="16" t="str">
        <f>IF('Data-Plot'!C697="","",$Q$11+('Data-Plot'!C697-'Data-Plot'!D697)*$P$9)</f>
        <v/>
      </c>
      <c r="Q697" s="16" t="str">
        <f>IF('Data-Plot'!C697="","",MAX('Data-Plot'!$C$11:$C$1010)*(1+$Q$9/100))</f>
        <v/>
      </c>
      <c r="R697" s="16" t="str">
        <f>IF('Data-Plot'!C697="","",('Data-Plot'!C697-'Data-Plot'!D697)*$P$9)</f>
        <v/>
      </c>
    </row>
    <row r="698" spans="16:18" x14ac:dyDescent="0.3">
      <c r="P698" s="16" t="str">
        <f>IF('Data-Plot'!C698="","",$Q$11+('Data-Plot'!C698-'Data-Plot'!D698)*$P$9)</f>
        <v/>
      </c>
      <c r="Q698" s="16" t="str">
        <f>IF('Data-Plot'!C698="","",MAX('Data-Plot'!$C$11:$C$1010)*(1+$Q$9/100))</f>
        <v/>
      </c>
      <c r="R698" s="16" t="str">
        <f>IF('Data-Plot'!C698="","",('Data-Plot'!C698-'Data-Plot'!D698)*$P$9)</f>
        <v/>
      </c>
    </row>
    <row r="699" spans="16:18" x14ac:dyDescent="0.3">
      <c r="P699" s="16" t="str">
        <f>IF('Data-Plot'!C699="","",$Q$11+('Data-Plot'!C699-'Data-Plot'!D699)*$P$9)</f>
        <v/>
      </c>
      <c r="Q699" s="16" t="str">
        <f>IF('Data-Plot'!C699="","",MAX('Data-Plot'!$C$11:$C$1010)*(1+$Q$9/100))</f>
        <v/>
      </c>
      <c r="R699" s="16" t="str">
        <f>IF('Data-Plot'!C699="","",('Data-Plot'!C699-'Data-Plot'!D699)*$P$9)</f>
        <v/>
      </c>
    </row>
    <row r="700" spans="16:18" x14ac:dyDescent="0.3">
      <c r="P700" s="16" t="str">
        <f>IF('Data-Plot'!C700="","",$Q$11+('Data-Plot'!C700-'Data-Plot'!D700)*$P$9)</f>
        <v/>
      </c>
      <c r="Q700" s="16" t="str">
        <f>IF('Data-Plot'!C700="","",MAX('Data-Plot'!$C$11:$C$1010)*(1+$Q$9/100))</f>
        <v/>
      </c>
      <c r="R700" s="16" t="str">
        <f>IF('Data-Plot'!C700="","",('Data-Plot'!C700-'Data-Plot'!D700)*$P$9)</f>
        <v/>
      </c>
    </row>
    <row r="701" spans="16:18" x14ac:dyDescent="0.3">
      <c r="P701" s="16" t="str">
        <f>IF('Data-Plot'!C701="","",$Q$11+('Data-Plot'!C701-'Data-Plot'!D701)*$P$9)</f>
        <v/>
      </c>
      <c r="Q701" s="16" t="str">
        <f>IF('Data-Plot'!C701="","",MAX('Data-Plot'!$C$11:$C$1010)*(1+$Q$9/100))</f>
        <v/>
      </c>
      <c r="R701" s="16" t="str">
        <f>IF('Data-Plot'!C701="","",('Data-Plot'!C701-'Data-Plot'!D701)*$P$9)</f>
        <v/>
      </c>
    </row>
    <row r="702" spans="16:18" x14ac:dyDescent="0.3">
      <c r="P702" s="16" t="str">
        <f>IF('Data-Plot'!C702="","",$Q$11+('Data-Plot'!C702-'Data-Plot'!D702)*$P$9)</f>
        <v/>
      </c>
      <c r="Q702" s="16" t="str">
        <f>IF('Data-Plot'!C702="","",MAX('Data-Plot'!$C$11:$C$1010)*(1+$Q$9/100))</f>
        <v/>
      </c>
      <c r="R702" s="16" t="str">
        <f>IF('Data-Plot'!C702="","",('Data-Plot'!C702-'Data-Plot'!D702)*$P$9)</f>
        <v/>
      </c>
    </row>
    <row r="703" spans="16:18" x14ac:dyDescent="0.3">
      <c r="P703" s="16" t="str">
        <f>IF('Data-Plot'!C703="","",$Q$11+('Data-Plot'!C703-'Data-Plot'!D703)*$P$9)</f>
        <v/>
      </c>
      <c r="Q703" s="16" t="str">
        <f>IF('Data-Plot'!C703="","",MAX('Data-Plot'!$C$11:$C$1010)*(1+$Q$9/100))</f>
        <v/>
      </c>
      <c r="R703" s="16" t="str">
        <f>IF('Data-Plot'!C703="","",('Data-Plot'!C703-'Data-Plot'!D703)*$P$9)</f>
        <v/>
      </c>
    </row>
    <row r="704" spans="16:18" x14ac:dyDescent="0.3">
      <c r="P704" s="16" t="str">
        <f>IF('Data-Plot'!C704="","",$Q$11+('Data-Plot'!C704-'Data-Plot'!D704)*$P$9)</f>
        <v/>
      </c>
      <c r="Q704" s="16" t="str">
        <f>IF('Data-Plot'!C704="","",MAX('Data-Plot'!$C$11:$C$1010)*(1+$Q$9/100))</f>
        <v/>
      </c>
      <c r="R704" s="16" t="str">
        <f>IF('Data-Plot'!C704="","",('Data-Plot'!C704-'Data-Plot'!D704)*$P$9)</f>
        <v/>
      </c>
    </row>
    <row r="705" spans="16:18" x14ac:dyDescent="0.3">
      <c r="P705" s="16" t="str">
        <f>IF('Data-Plot'!C705="","",$Q$11+('Data-Plot'!C705-'Data-Plot'!D705)*$P$9)</f>
        <v/>
      </c>
      <c r="Q705" s="16" t="str">
        <f>IF('Data-Plot'!C705="","",MAX('Data-Plot'!$C$11:$C$1010)*(1+$Q$9/100))</f>
        <v/>
      </c>
      <c r="R705" s="16" t="str">
        <f>IF('Data-Plot'!C705="","",('Data-Plot'!C705-'Data-Plot'!D705)*$P$9)</f>
        <v/>
      </c>
    </row>
    <row r="706" spans="16:18" x14ac:dyDescent="0.3">
      <c r="P706" s="16" t="str">
        <f>IF('Data-Plot'!C706="","",$Q$11+('Data-Plot'!C706-'Data-Plot'!D706)*$P$9)</f>
        <v/>
      </c>
      <c r="Q706" s="16" t="str">
        <f>IF('Data-Plot'!C706="","",MAX('Data-Plot'!$C$11:$C$1010)*(1+$Q$9/100))</f>
        <v/>
      </c>
      <c r="R706" s="16" t="str">
        <f>IF('Data-Plot'!C706="","",('Data-Plot'!C706-'Data-Plot'!D706)*$P$9)</f>
        <v/>
      </c>
    </row>
    <row r="707" spans="16:18" x14ac:dyDescent="0.3">
      <c r="P707" s="16" t="str">
        <f>IF('Data-Plot'!C707="","",$Q$11+('Data-Plot'!C707-'Data-Plot'!D707)*$P$9)</f>
        <v/>
      </c>
      <c r="Q707" s="16" t="str">
        <f>IF('Data-Plot'!C707="","",MAX('Data-Plot'!$C$11:$C$1010)*(1+$Q$9/100))</f>
        <v/>
      </c>
      <c r="R707" s="16" t="str">
        <f>IF('Data-Plot'!C707="","",('Data-Plot'!C707-'Data-Plot'!D707)*$P$9)</f>
        <v/>
      </c>
    </row>
    <row r="708" spans="16:18" x14ac:dyDescent="0.3">
      <c r="P708" s="16" t="str">
        <f>IF('Data-Plot'!C708="","",$Q$11+('Data-Plot'!C708-'Data-Plot'!D708)*$P$9)</f>
        <v/>
      </c>
      <c r="Q708" s="16" t="str">
        <f>IF('Data-Plot'!C708="","",MAX('Data-Plot'!$C$11:$C$1010)*(1+$Q$9/100))</f>
        <v/>
      </c>
      <c r="R708" s="16" t="str">
        <f>IF('Data-Plot'!C708="","",('Data-Plot'!C708-'Data-Plot'!D708)*$P$9)</f>
        <v/>
      </c>
    </row>
    <row r="709" spans="16:18" x14ac:dyDescent="0.3">
      <c r="P709" s="16" t="str">
        <f>IF('Data-Plot'!C709="","",$Q$11+('Data-Plot'!C709-'Data-Plot'!D709)*$P$9)</f>
        <v/>
      </c>
      <c r="Q709" s="16" t="str">
        <f>IF('Data-Plot'!C709="","",MAX('Data-Plot'!$C$11:$C$1010)*(1+$Q$9/100))</f>
        <v/>
      </c>
      <c r="R709" s="16" t="str">
        <f>IF('Data-Plot'!C709="","",('Data-Plot'!C709-'Data-Plot'!D709)*$P$9)</f>
        <v/>
      </c>
    </row>
    <row r="710" spans="16:18" x14ac:dyDescent="0.3">
      <c r="P710" s="16" t="str">
        <f>IF('Data-Plot'!C710="","",$Q$11+('Data-Plot'!C710-'Data-Plot'!D710)*$P$9)</f>
        <v/>
      </c>
      <c r="Q710" s="16" t="str">
        <f>IF('Data-Plot'!C710="","",MAX('Data-Plot'!$C$11:$C$1010)*(1+$Q$9/100))</f>
        <v/>
      </c>
      <c r="R710" s="16" t="str">
        <f>IF('Data-Plot'!C710="","",('Data-Plot'!C710-'Data-Plot'!D710)*$P$9)</f>
        <v/>
      </c>
    </row>
    <row r="711" spans="16:18" x14ac:dyDescent="0.3">
      <c r="P711" s="16" t="str">
        <f>IF('Data-Plot'!C711="","",$Q$11+('Data-Plot'!C711-'Data-Plot'!D711)*$P$9)</f>
        <v/>
      </c>
      <c r="Q711" s="16" t="str">
        <f>IF('Data-Plot'!C711="","",MAX('Data-Plot'!$C$11:$C$1010)*(1+$Q$9/100))</f>
        <v/>
      </c>
      <c r="R711" s="16" t="str">
        <f>IF('Data-Plot'!C711="","",('Data-Plot'!C711-'Data-Plot'!D711)*$P$9)</f>
        <v/>
      </c>
    </row>
    <row r="712" spans="16:18" x14ac:dyDescent="0.3">
      <c r="P712" s="16" t="str">
        <f>IF('Data-Plot'!C712="","",$Q$11+('Data-Plot'!C712-'Data-Plot'!D712)*$P$9)</f>
        <v/>
      </c>
      <c r="Q712" s="16" t="str">
        <f>IF('Data-Plot'!C712="","",MAX('Data-Plot'!$C$11:$C$1010)*(1+$Q$9/100))</f>
        <v/>
      </c>
      <c r="R712" s="16" t="str">
        <f>IF('Data-Plot'!C712="","",('Data-Plot'!C712-'Data-Plot'!D712)*$P$9)</f>
        <v/>
      </c>
    </row>
    <row r="713" spans="16:18" x14ac:dyDescent="0.3">
      <c r="P713" s="16" t="str">
        <f>IF('Data-Plot'!C713="","",$Q$11+('Data-Plot'!C713-'Data-Plot'!D713)*$P$9)</f>
        <v/>
      </c>
      <c r="Q713" s="16" t="str">
        <f>IF('Data-Plot'!C713="","",MAX('Data-Plot'!$C$11:$C$1010)*(1+$Q$9/100))</f>
        <v/>
      </c>
      <c r="R713" s="16" t="str">
        <f>IF('Data-Plot'!C713="","",('Data-Plot'!C713-'Data-Plot'!D713)*$P$9)</f>
        <v/>
      </c>
    </row>
    <row r="714" spans="16:18" x14ac:dyDescent="0.3">
      <c r="P714" s="16" t="str">
        <f>IF('Data-Plot'!C714="","",$Q$11+('Data-Plot'!C714-'Data-Plot'!D714)*$P$9)</f>
        <v/>
      </c>
      <c r="Q714" s="16" t="str">
        <f>IF('Data-Plot'!C714="","",MAX('Data-Plot'!$C$11:$C$1010)*(1+$Q$9/100))</f>
        <v/>
      </c>
      <c r="R714" s="16" t="str">
        <f>IF('Data-Plot'!C714="","",('Data-Plot'!C714-'Data-Plot'!D714)*$P$9)</f>
        <v/>
      </c>
    </row>
    <row r="715" spans="16:18" x14ac:dyDescent="0.3">
      <c r="P715" s="16" t="str">
        <f>IF('Data-Plot'!C715="","",$Q$11+('Data-Plot'!C715-'Data-Plot'!D715)*$P$9)</f>
        <v/>
      </c>
      <c r="Q715" s="16" t="str">
        <f>IF('Data-Plot'!C715="","",MAX('Data-Plot'!$C$11:$C$1010)*(1+$Q$9/100))</f>
        <v/>
      </c>
      <c r="R715" s="16" t="str">
        <f>IF('Data-Plot'!C715="","",('Data-Plot'!C715-'Data-Plot'!D715)*$P$9)</f>
        <v/>
      </c>
    </row>
    <row r="716" spans="16:18" x14ac:dyDescent="0.3">
      <c r="P716" s="16" t="str">
        <f>IF('Data-Plot'!C716="","",$Q$11+('Data-Plot'!C716-'Data-Plot'!D716)*$P$9)</f>
        <v/>
      </c>
      <c r="Q716" s="16" t="str">
        <f>IF('Data-Plot'!C716="","",MAX('Data-Plot'!$C$11:$C$1010)*(1+$Q$9/100))</f>
        <v/>
      </c>
      <c r="R716" s="16" t="str">
        <f>IF('Data-Plot'!C716="","",('Data-Plot'!C716-'Data-Plot'!D716)*$P$9)</f>
        <v/>
      </c>
    </row>
    <row r="717" spans="16:18" x14ac:dyDescent="0.3">
      <c r="P717" s="16" t="str">
        <f>IF('Data-Plot'!C717="","",$Q$11+('Data-Plot'!C717-'Data-Plot'!D717)*$P$9)</f>
        <v/>
      </c>
      <c r="Q717" s="16" t="str">
        <f>IF('Data-Plot'!C717="","",MAX('Data-Plot'!$C$11:$C$1010)*(1+$Q$9/100))</f>
        <v/>
      </c>
      <c r="R717" s="16" t="str">
        <f>IF('Data-Plot'!C717="","",('Data-Plot'!C717-'Data-Plot'!D717)*$P$9)</f>
        <v/>
      </c>
    </row>
    <row r="718" spans="16:18" x14ac:dyDescent="0.3">
      <c r="P718" s="16" t="str">
        <f>IF('Data-Plot'!C718="","",$Q$11+('Data-Plot'!C718-'Data-Plot'!D718)*$P$9)</f>
        <v/>
      </c>
      <c r="Q718" s="16" t="str">
        <f>IF('Data-Plot'!C718="","",MAX('Data-Plot'!$C$11:$C$1010)*(1+$Q$9/100))</f>
        <v/>
      </c>
      <c r="R718" s="16" t="str">
        <f>IF('Data-Plot'!C718="","",('Data-Plot'!C718-'Data-Plot'!D718)*$P$9)</f>
        <v/>
      </c>
    </row>
    <row r="719" spans="16:18" x14ac:dyDescent="0.3">
      <c r="P719" s="16" t="str">
        <f>IF('Data-Plot'!C719="","",$Q$11+('Data-Plot'!C719-'Data-Plot'!D719)*$P$9)</f>
        <v/>
      </c>
      <c r="Q719" s="16" t="str">
        <f>IF('Data-Plot'!C719="","",MAX('Data-Plot'!$C$11:$C$1010)*(1+$Q$9/100))</f>
        <v/>
      </c>
      <c r="R719" s="16" t="str">
        <f>IF('Data-Plot'!C719="","",('Data-Plot'!C719-'Data-Plot'!D719)*$P$9)</f>
        <v/>
      </c>
    </row>
    <row r="720" spans="16:18" x14ac:dyDescent="0.3">
      <c r="P720" s="16" t="str">
        <f>IF('Data-Plot'!C720="","",$Q$11+('Data-Plot'!C720-'Data-Plot'!D720)*$P$9)</f>
        <v/>
      </c>
      <c r="Q720" s="16" t="str">
        <f>IF('Data-Plot'!C720="","",MAX('Data-Plot'!$C$11:$C$1010)*(1+$Q$9/100))</f>
        <v/>
      </c>
      <c r="R720" s="16" t="str">
        <f>IF('Data-Plot'!C720="","",('Data-Plot'!C720-'Data-Plot'!D720)*$P$9)</f>
        <v/>
      </c>
    </row>
    <row r="721" spans="16:18" x14ac:dyDescent="0.3">
      <c r="P721" s="16" t="str">
        <f>IF('Data-Plot'!C721="","",$Q$11+('Data-Plot'!C721-'Data-Plot'!D721)*$P$9)</f>
        <v/>
      </c>
      <c r="Q721" s="16" t="str">
        <f>IF('Data-Plot'!C721="","",MAX('Data-Plot'!$C$11:$C$1010)*(1+$Q$9/100))</f>
        <v/>
      </c>
      <c r="R721" s="16" t="str">
        <f>IF('Data-Plot'!C721="","",('Data-Plot'!C721-'Data-Plot'!D721)*$P$9)</f>
        <v/>
      </c>
    </row>
    <row r="722" spans="16:18" x14ac:dyDescent="0.3">
      <c r="P722" s="16" t="str">
        <f>IF('Data-Plot'!C722="","",$Q$11+('Data-Plot'!C722-'Data-Plot'!D722)*$P$9)</f>
        <v/>
      </c>
      <c r="Q722" s="16" t="str">
        <f>IF('Data-Plot'!C722="","",MAX('Data-Plot'!$C$11:$C$1010)*(1+$Q$9/100))</f>
        <v/>
      </c>
      <c r="R722" s="16" t="str">
        <f>IF('Data-Plot'!C722="","",('Data-Plot'!C722-'Data-Plot'!D722)*$P$9)</f>
        <v/>
      </c>
    </row>
    <row r="723" spans="16:18" x14ac:dyDescent="0.3">
      <c r="P723" s="16" t="str">
        <f>IF('Data-Plot'!C723="","",$Q$11+('Data-Plot'!C723-'Data-Plot'!D723)*$P$9)</f>
        <v/>
      </c>
      <c r="Q723" s="16" t="str">
        <f>IF('Data-Plot'!C723="","",MAX('Data-Plot'!$C$11:$C$1010)*(1+$Q$9/100))</f>
        <v/>
      </c>
      <c r="R723" s="16" t="str">
        <f>IF('Data-Plot'!C723="","",('Data-Plot'!C723-'Data-Plot'!D723)*$P$9)</f>
        <v/>
      </c>
    </row>
    <row r="724" spans="16:18" x14ac:dyDescent="0.3">
      <c r="P724" s="16" t="str">
        <f>IF('Data-Plot'!C724="","",$Q$11+('Data-Plot'!C724-'Data-Plot'!D724)*$P$9)</f>
        <v/>
      </c>
      <c r="Q724" s="16" t="str">
        <f>IF('Data-Plot'!C724="","",MAX('Data-Plot'!$C$11:$C$1010)*(1+$Q$9/100))</f>
        <v/>
      </c>
      <c r="R724" s="16" t="str">
        <f>IF('Data-Plot'!C724="","",('Data-Plot'!C724-'Data-Plot'!D724)*$P$9)</f>
        <v/>
      </c>
    </row>
    <row r="725" spans="16:18" x14ac:dyDescent="0.3">
      <c r="P725" s="16" t="str">
        <f>IF('Data-Plot'!C725="","",$Q$11+('Data-Plot'!C725-'Data-Plot'!D725)*$P$9)</f>
        <v/>
      </c>
      <c r="Q725" s="16" t="str">
        <f>IF('Data-Plot'!C725="","",MAX('Data-Plot'!$C$11:$C$1010)*(1+$Q$9/100))</f>
        <v/>
      </c>
      <c r="R725" s="16" t="str">
        <f>IF('Data-Plot'!C725="","",('Data-Plot'!C725-'Data-Plot'!D725)*$P$9)</f>
        <v/>
      </c>
    </row>
    <row r="726" spans="16:18" x14ac:dyDescent="0.3">
      <c r="P726" s="16" t="str">
        <f>IF('Data-Plot'!C726="","",$Q$11+('Data-Plot'!C726-'Data-Plot'!D726)*$P$9)</f>
        <v/>
      </c>
      <c r="Q726" s="16" t="str">
        <f>IF('Data-Plot'!C726="","",MAX('Data-Plot'!$C$11:$C$1010)*(1+$Q$9/100))</f>
        <v/>
      </c>
      <c r="R726" s="16" t="str">
        <f>IF('Data-Plot'!C726="","",('Data-Plot'!C726-'Data-Plot'!D726)*$P$9)</f>
        <v/>
      </c>
    </row>
    <row r="727" spans="16:18" x14ac:dyDescent="0.3">
      <c r="P727" s="16" t="str">
        <f>IF('Data-Plot'!C727="","",$Q$11+('Data-Plot'!C727-'Data-Plot'!D727)*$P$9)</f>
        <v/>
      </c>
      <c r="Q727" s="16" t="str">
        <f>IF('Data-Plot'!C727="","",MAX('Data-Plot'!$C$11:$C$1010)*(1+$Q$9/100))</f>
        <v/>
      </c>
      <c r="R727" s="16" t="str">
        <f>IF('Data-Plot'!C727="","",('Data-Plot'!C727-'Data-Plot'!D727)*$P$9)</f>
        <v/>
      </c>
    </row>
    <row r="728" spans="16:18" x14ac:dyDescent="0.3">
      <c r="P728" s="16" t="str">
        <f>IF('Data-Plot'!C728="","",$Q$11+('Data-Plot'!C728-'Data-Plot'!D728)*$P$9)</f>
        <v/>
      </c>
      <c r="Q728" s="16" t="str">
        <f>IF('Data-Plot'!C728="","",MAX('Data-Plot'!$C$11:$C$1010)*(1+$Q$9/100))</f>
        <v/>
      </c>
      <c r="R728" s="16" t="str">
        <f>IF('Data-Plot'!C728="","",('Data-Plot'!C728-'Data-Plot'!D728)*$P$9)</f>
        <v/>
      </c>
    </row>
    <row r="729" spans="16:18" x14ac:dyDescent="0.3">
      <c r="P729" s="16" t="str">
        <f>IF('Data-Plot'!C729="","",$Q$11+('Data-Plot'!C729-'Data-Plot'!D729)*$P$9)</f>
        <v/>
      </c>
      <c r="Q729" s="16" t="str">
        <f>IF('Data-Plot'!C729="","",MAX('Data-Plot'!$C$11:$C$1010)*(1+$Q$9/100))</f>
        <v/>
      </c>
      <c r="R729" s="16" t="str">
        <f>IF('Data-Plot'!C729="","",('Data-Plot'!C729-'Data-Plot'!D729)*$P$9)</f>
        <v/>
      </c>
    </row>
    <row r="730" spans="16:18" x14ac:dyDescent="0.3">
      <c r="P730" s="16" t="str">
        <f>IF('Data-Plot'!C730="","",$Q$11+('Data-Plot'!C730-'Data-Plot'!D730)*$P$9)</f>
        <v/>
      </c>
      <c r="Q730" s="16" t="str">
        <f>IF('Data-Plot'!C730="","",MAX('Data-Plot'!$C$11:$C$1010)*(1+$Q$9/100))</f>
        <v/>
      </c>
      <c r="R730" s="16" t="str">
        <f>IF('Data-Plot'!C730="","",('Data-Plot'!C730-'Data-Plot'!D730)*$P$9)</f>
        <v/>
      </c>
    </row>
    <row r="731" spans="16:18" x14ac:dyDescent="0.3">
      <c r="P731" s="16" t="str">
        <f>IF('Data-Plot'!C731="","",$Q$11+('Data-Plot'!C731-'Data-Plot'!D731)*$P$9)</f>
        <v/>
      </c>
      <c r="Q731" s="16" t="str">
        <f>IF('Data-Plot'!C731="","",MAX('Data-Plot'!$C$11:$C$1010)*(1+$Q$9/100))</f>
        <v/>
      </c>
      <c r="R731" s="16" t="str">
        <f>IF('Data-Plot'!C731="","",('Data-Plot'!C731-'Data-Plot'!D731)*$P$9)</f>
        <v/>
      </c>
    </row>
    <row r="732" spans="16:18" x14ac:dyDescent="0.3">
      <c r="P732" s="16" t="str">
        <f>IF('Data-Plot'!C732="","",$Q$11+('Data-Plot'!C732-'Data-Plot'!D732)*$P$9)</f>
        <v/>
      </c>
      <c r="Q732" s="16" t="str">
        <f>IF('Data-Plot'!C732="","",MAX('Data-Plot'!$C$11:$C$1010)*(1+$Q$9/100))</f>
        <v/>
      </c>
      <c r="R732" s="16" t="str">
        <f>IF('Data-Plot'!C732="","",('Data-Plot'!C732-'Data-Plot'!D732)*$P$9)</f>
        <v/>
      </c>
    </row>
    <row r="733" spans="16:18" x14ac:dyDescent="0.3">
      <c r="P733" s="16" t="str">
        <f>IF('Data-Plot'!C733="","",$Q$11+('Data-Plot'!C733-'Data-Plot'!D733)*$P$9)</f>
        <v/>
      </c>
      <c r="Q733" s="16" t="str">
        <f>IF('Data-Plot'!C733="","",MAX('Data-Plot'!$C$11:$C$1010)*(1+$Q$9/100))</f>
        <v/>
      </c>
      <c r="R733" s="16" t="str">
        <f>IF('Data-Plot'!C733="","",('Data-Plot'!C733-'Data-Plot'!D733)*$P$9)</f>
        <v/>
      </c>
    </row>
    <row r="734" spans="16:18" x14ac:dyDescent="0.3">
      <c r="P734" s="16" t="str">
        <f>IF('Data-Plot'!C734="","",$Q$11+('Data-Plot'!C734-'Data-Plot'!D734)*$P$9)</f>
        <v/>
      </c>
      <c r="Q734" s="16" t="str">
        <f>IF('Data-Plot'!C734="","",MAX('Data-Plot'!$C$11:$C$1010)*(1+$Q$9/100))</f>
        <v/>
      </c>
      <c r="R734" s="16" t="str">
        <f>IF('Data-Plot'!C734="","",('Data-Plot'!C734-'Data-Plot'!D734)*$P$9)</f>
        <v/>
      </c>
    </row>
    <row r="735" spans="16:18" x14ac:dyDescent="0.3">
      <c r="P735" s="16" t="str">
        <f>IF('Data-Plot'!C735="","",$Q$11+('Data-Plot'!C735-'Data-Plot'!D735)*$P$9)</f>
        <v/>
      </c>
      <c r="Q735" s="16" t="str">
        <f>IF('Data-Plot'!C735="","",MAX('Data-Plot'!$C$11:$C$1010)*(1+$Q$9/100))</f>
        <v/>
      </c>
      <c r="R735" s="16" t="str">
        <f>IF('Data-Plot'!C735="","",('Data-Plot'!C735-'Data-Plot'!D735)*$P$9)</f>
        <v/>
      </c>
    </row>
    <row r="736" spans="16:18" x14ac:dyDescent="0.3">
      <c r="P736" s="16" t="str">
        <f>IF('Data-Plot'!C736="","",$Q$11+('Data-Plot'!C736-'Data-Plot'!D736)*$P$9)</f>
        <v/>
      </c>
      <c r="Q736" s="16" t="str">
        <f>IF('Data-Plot'!C736="","",MAX('Data-Plot'!$C$11:$C$1010)*(1+$Q$9/100))</f>
        <v/>
      </c>
      <c r="R736" s="16" t="str">
        <f>IF('Data-Plot'!C736="","",('Data-Plot'!C736-'Data-Plot'!D736)*$P$9)</f>
        <v/>
      </c>
    </row>
    <row r="737" spans="16:18" x14ac:dyDescent="0.3">
      <c r="P737" s="16" t="str">
        <f>IF('Data-Plot'!C737="","",$Q$11+('Data-Plot'!C737-'Data-Plot'!D737)*$P$9)</f>
        <v/>
      </c>
      <c r="Q737" s="16" t="str">
        <f>IF('Data-Plot'!C737="","",MAX('Data-Plot'!$C$11:$C$1010)*(1+$Q$9/100))</f>
        <v/>
      </c>
      <c r="R737" s="16" t="str">
        <f>IF('Data-Plot'!C737="","",('Data-Plot'!C737-'Data-Plot'!D737)*$P$9)</f>
        <v/>
      </c>
    </row>
    <row r="738" spans="16:18" x14ac:dyDescent="0.3">
      <c r="P738" s="16" t="str">
        <f>IF('Data-Plot'!C738="","",$Q$11+('Data-Plot'!C738-'Data-Plot'!D738)*$P$9)</f>
        <v/>
      </c>
      <c r="Q738" s="16" t="str">
        <f>IF('Data-Plot'!C738="","",MAX('Data-Plot'!$C$11:$C$1010)*(1+$Q$9/100))</f>
        <v/>
      </c>
      <c r="R738" s="16" t="str">
        <f>IF('Data-Plot'!C738="","",('Data-Plot'!C738-'Data-Plot'!D738)*$P$9)</f>
        <v/>
      </c>
    </row>
    <row r="739" spans="16:18" x14ac:dyDescent="0.3">
      <c r="P739" s="16" t="str">
        <f>IF('Data-Plot'!C739="","",$Q$11+('Data-Plot'!C739-'Data-Plot'!D739)*$P$9)</f>
        <v/>
      </c>
      <c r="Q739" s="16" t="str">
        <f>IF('Data-Plot'!C739="","",MAX('Data-Plot'!$C$11:$C$1010)*(1+$Q$9/100))</f>
        <v/>
      </c>
      <c r="R739" s="16" t="str">
        <f>IF('Data-Plot'!C739="","",('Data-Plot'!C739-'Data-Plot'!D739)*$P$9)</f>
        <v/>
      </c>
    </row>
    <row r="740" spans="16:18" x14ac:dyDescent="0.3">
      <c r="P740" s="16" t="str">
        <f>IF('Data-Plot'!C740="","",$Q$11+('Data-Plot'!C740-'Data-Plot'!D740)*$P$9)</f>
        <v/>
      </c>
      <c r="Q740" s="16" t="str">
        <f>IF('Data-Plot'!C740="","",MAX('Data-Plot'!$C$11:$C$1010)*(1+$Q$9/100))</f>
        <v/>
      </c>
      <c r="R740" s="16" t="str">
        <f>IF('Data-Plot'!C740="","",('Data-Plot'!C740-'Data-Plot'!D740)*$P$9)</f>
        <v/>
      </c>
    </row>
    <row r="741" spans="16:18" x14ac:dyDescent="0.3">
      <c r="P741" s="16" t="str">
        <f>IF('Data-Plot'!C741="","",$Q$11+('Data-Plot'!C741-'Data-Plot'!D741)*$P$9)</f>
        <v/>
      </c>
      <c r="Q741" s="16" t="str">
        <f>IF('Data-Plot'!C741="","",MAX('Data-Plot'!$C$11:$C$1010)*(1+$Q$9/100))</f>
        <v/>
      </c>
      <c r="R741" s="16" t="str">
        <f>IF('Data-Plot'!C741="","",('Data-Plot'!C741-'Data-Plot'!D741)*$P$9)</f>
        <v/>
      </c>
    </row>
    <row r="742" spans="16:18" x14ac:dyDescent="0.3">
      <c r="P742" s="16" t="str">
        <f>IF('Data-Plot'!C742="","",$Q$11+('Data-Plot'!C742-'Data-Plot'!D742)*$P$9)</f>
        <v/>
      </c>
      <c r="Q742" s="16" t="str">
        <f>IF('Data-Plot'!C742="","",MAX('Data-Plot'!$C$11:$C$1010)*(1+$Q$9/100))</f>
        <v/>
      </c>
      <c r="R742" s="16" t="str">
        <f>IF('Data-Plot'!C742="","",('Data-Plot'!C742-'Data-Plot'!D742)*$P$9)</f>
        <v/>
      </c>
    </row>
    <row r="743" spans="16:18" x14ac:dyDescent="0.3">
      <c r="P743" s="16" t="str">
        <f>IF('Data-Plot'!C743="","",$Q$11+('Data-Plot'!C743-'Data-Plot'!D743)*$P$9)</f>
        <v/>
      </c>
      <c r="Q743" s="16" t="str">
        <f>IF('Data-Plot'!C743="","",MAX('Data-Plot'!$C$11:$C$1010)*(1+$Q$9/100))</f>
        <v/>
      </c>
      <c r="R743" s="16" t="str">
        <f>IF('Data-Plot'!C743="","",('Data-Plot'!C743-'Data-Plot'!D743)*$P$9)</f>
        <v/>
      </c>
    </row>
    <row r="744" spans="16:18" x14ac:dyDescent="0.3">
      <c r="P744" s="16" t="str">
        <f>IF('Data-Plot'!C744="","",$Q$11+('Data-Plot'!C744-'Data-Plot'!D744)*$P$9)</f>
        <v/>
      </c>
      <c r="Q744" s="16" t="str">
        <f>IF('Data-Plot'!C744="","",MAX('Data-Plot'!$C$11:$C$1010)*(1+$Q$9/100))</f>
        <v/>
      </c>
      <c r="R744" s="16" t="str">
        <f>IF('Data-Plot'!C744="","",('Data-Plot'!C744-'Data-Plot'!D744)*$P$9)</f>
        <v/>
      </c>
    </row>
    <row r="745" spans="16:18" x14ac:dyDescent="0.3">
      <c r="P745" s="16" t="str">
        <f>IF('Data-Plot'!C745="","",$Q$11+('Data-Plot'!C745-'Data-Plot'!D745)*$P$9)</f>
        <v/>
      </c>
      <c r="Q745" s="16" t="str">
        <f>IF('Data-Plot'!C745="","",MAX('Data-Plot'!$C$11:$C$1010)*(1+$Q$9/100))</f>
        <v/>
      </c>
      <c r="R745" s="16" t="str">
        <f>IF('Data-Plot'!C745="","",('Data-Plot'!C745-'Data-Plot'!D745)*$P$9)</f>
        <v/>
      </c>
    </row>
    <row r="746" spans="16:18" x14ac:dyDescent="0.3">
      <c r="P746" s="16" t="str">
        <f>IF('Data-Plot'!C746="","",$Q$11+('Data-Plot'!C746-'Data-Plot'!D746)*$P$9)</f>
        <v/>
      </c>
      <c r="Q746" s="16" t="str">
        <f>IF('Data-Plot'!C746="","",MAX('Data-Plot'!$C$11:$C$1010)*(1+$Q$9/100))</f>
        <v/>
      </c>
      <c r="R746" s="16" t="str">
        <f>IF('Data-Plot'!C746="","",('Data-Plot'!C746-'Data-Plot'!D746)*$P$9)</f>
        <v/>
      </c>
    </row>
    <row r="747" spans="16:18" x14ac:dyDescent="0.3">
      <c r="P747" s="16" t="str">
        <f>IF('Data-Plot'!C747="","",$Q$11+('Data-Plot'!C747-'Data-Plot'!D747)*$P$9)</f>
        <v/>
      </c>
      <c r="Q747" s="16" t="str">
        <f>IF('Data-Plot'!C747="","",MAX('Data-Plot'!$C$11:$C$1010)*(1+$Q$9/100))</f>
        <v/>
      </c>
      <c r="R747" s="16" t="str">
        <f>IF('Data-Plot'!C747="","",('Data-Plot'!C747-'Data-Plot'!D747)*$P$9)</f>
        <v/>
      </c>
    </row>
    <row r="748" spans="16:18" x14ac:dyDescent="0.3">
      <c r="P748" s="16" t="str">
        <f>IF('Data-Plot'!C748="","",$Q$11+('Data-Plot'!C748-'Data-Plot'!D748)*$P$9)</f>
        <v/>
      </c>
      <c r="Q748" s="16" t="str">
        <f>IF('Data-Plot'!C748="","",MAX('Data-Plot'!$C$11:$C$1010)*(1+$Q$9/100))</f>
        <v/>
      </c>
      <c r="R748" s="16" t="str">
        <f>IF('Data-Plot'!C748="","",('Data-Plot'!C748-'Data-Plot'!D748)*$P$9)</f>
        <v/>
      </c>
    </row>
    <row r="749" spans="16:18" x14ac:dyDescent="0.3">
      <c r="P749" s="16" t="str">
        <f>IF('Data-Plot'!C749="","",$Q$11+('Data-Plot'!C749-'Data-Plot'!D749)*$P$9)</f>
        <v/>
      </c>
      <c r="Q749" s="16" t="str">
        <f>IF('Data-Plot'!C749="","",MAX('Data-Plot'!$C$11:$C$1010)*(1+$Q$9/100))</f>
        <v/>
      </c>
      <c r="R749" s="16" t="str">
        <f>IF('Data-Plot'!C749="","",('Data-Plot'!C749-'Data-Plot'!D749)*$P$9)</f>
        <v/>
      </c>
    </row>
    <row r="750" spans="16:18" x14ac:dyDescent="0.3">
      <c r="P750" s="16" t="str">
        <f>IF('Data-Plot'!C750="","",$Q$11+('Data-Plot'!C750-'Data-Plot'!D750)*$P$9)</f>
        <v/>
      </c>
      <c r="Q750" s="16" t="str">
        <f>IF('Data-Plot'!C750="","",MAX('Data-Plot'!$C$11:$C$1010)*(1+$Q$9/100))</f>
        <v/>
      </c>
      <c r="R750" s="16" t="str">
        <f>IF('Data-Plot'!C750="","",('Data-Plot'!C750-'Data-Plot'!D750)*$P$9)</f>
        <v/>
      </c>
    </row>
    <row r="751" spans="16:18" x14ac:dyDescent="0.3">
      <c r="P751" s="16" t="str">
        <f>IF('Data-Plot'!C751="","",$Q$11+('Data-Plot'!C751-'Data-Plot'!D751)*$P$9)</f>
        <v/>
      </c>
      <c r="Q751" s="16" t="str">
        <f>IF('Data-Plot'!C751="","",MAX('Data-Plot'!$C$11:$C$1010)*(1+$Q$9/100))</f>
        <v/>
      </c>
      <c r="R751" s="16" t="str">
        <f>IF('Data-Plot'!C751="","",('Data-Plot'!C751-'Data-Plot'!D751)*$P$9)</f>
        <v/>
      </c>
    </row>
    <row r="752" spans="16:18" x14ac:dyDescent="0.3">
      <c r="P752" s="16" t="str">
        <f>IF('Data-Plot'!C752="","",$Q$11+('Data-Plot'!C752-'Data-Plot'!D752)*$P$9)</f>
        <v/>
      </c>
      <c r="Q752" s="16" t="str">
        <f>IF('Data-Plot'!C752="","",MAX('Data-Plot'!$C$11:$C$1010)*(1+$Q$9/100))</f>
        <v/>
      </c>
      <c r="R752" s="16" t="str">
        <f>IF('Data-Plot'!C752="","",('Data-Plot'!C752-'Data-Plot'!D752)*$P$9)</f>
        <v/>
      </c>
    </row>
    <row r="753" spans="16:18" x14ac:dyDescent="0.3">
      <c r="P753" s="16" t="str">
        <f>IF('Data-Plot'!C753="","",$Q$11+('Data-Plot'!C753-'Data-Plot'!D753)*$P$9)</f>
        <v/>
      </c>
      <c r="Q753" s="16" t="str">
        <f>IF('Data-Plot'!C753="","",MAX('Data-Plot'!$C$11:$C$1010)*(1+$Q$9/100))</f>
        <v/>
      </c>
      <c r="R753" s="16" t="str">
        <f>IF('Data-Plot'!C753="","",('Data-Plot'!C753-'Data-Plot'!D753)*$P$9)</f>
        <v/>
      </c>
    </row>
    <row r="754" spans="16:18" x14ac:dyDescent="0.3">
      <c r="P754" s="16" t="str">
        <f>IF('Data-Plot'!C754="","",$Q$11+('Data-Plot'!C754-'Data-Plot'!D754)*$P$9)</f>
        <v/>
      </c>
      <c r="Q754" s="16" t="str">
        <f>IF('Data-Plot'!C754="","",MAX('Data-Plot'!$C$11:$C$1010)*(1+$Q$9/100))</f>
        <v/>
      </c>
      <c r="R754" s="16" t="str">
        <f>IF('Data-Plot'!C754="","",('Data-Plot'!C754-'Data-Plot'!D754)*$P$9)</f>
        <v/>
      </c>
    </row>
    <row r="755" spans="16:18" x14ac:dyDescent="0.3">
      <c r="P755" s="16" t="str">
        <f>IF('Data-Plot'!C755="","",$Q$11+('Data-Plot'!C755-'Data-Plot'!D755)*$P$9)</f>
        <v/>
      </c>
      <c r="Q755" s="16" t="str">
        <f>IF('Data-Plot'!C755="","",MAX('Data-Plot'!$C$11:$C$1010)*(1+$Q$9/100))</f>
        <v/>
      </c>
      <c r="R755" s="16" t="str">
        <f>IF('Data-Plot'!C755="","",('Data-Plot'!C755-'Data-Plot'!D755)*$P$9)</f>
        <v/>
      </c>
    </row>
    <row r="756" spans="16:18" x14ac:dyDescent="0.3">
      <c r="P756" s="16" t="str">
        <f>IF('Data-Plot'!C756="","",$Q$11+('Data-Plot'!C756-'Data-Plot'!D756)*$P$9)</f>
        <v/>
      </c>
      <c r="Q756" s="16" t="str">
        <f>IF('Data-Plot'!C756="","",MAX('Data-Plot'!$C$11:$C$1010)*(1+$Q$9/100))</f>
        <v/>
      </c>
      <c r="R756" s="16" t="str">
        <f>IF('Data-Plot'!C756="","",('Data-Plot'!C756-'Data-Plot'!D756)*$P$9)</f>
        <v/>
      </c>
    </row>
    <row r="757" spans="16:18" x14ac:dyDescent="0.3">
      <c r="P757" s="16" t="str">
        <f>IF('Data-Plot'!C757="","",$Q$11+('Data-Plot'!C757-'Data-Plot'!D757)*$P$9)</f>
        <v/>
      </c>
      <c r="Q757" s="16" t="str">
        <f>IF('Data-Plot'!C757="","",MAX('Data-Plot'!$C$11:$C$1010)*(1+$Q$9/100))</f>
        <v/>
      </c>
      <c r="R757" s="16" t="str">
        <f>IF('Data-Plot'!C757="","",('Data-Plot'!C757-'Data-Plot'!D757)*$P$9)</f>
        <v/>
      </c>
    </row>
    <row r="758" spans="16:18" x14ac:dyDescent="0.3">
      <c r="P758" s="16" t="str">
        <f>IF('Data-Plot'!C758="","",$Q$11+('Data-Plot'!C758-'Data-Plot'!D758)*$P$9)</f>
        <v/>
      </c>
      <c r="Q758" s="16" t="str">
        <f>IF('Data-Plot'!C758="","",MAX('Data-Plot'!$C$11:$C$1010)*(1+$Q$9/100))</f>
        <v/>
      </c>
      <c r="R758" s="16" t="str">
        <f>IF('Data-Plot'!C758="","",('Data-Plot'!C758-'Data-Plot'!D758)*$P$9)</f>
        <v/>
      </c>
    </row>
    <row r="759" spans="16:18" x14ac:dyDescent="0.3">
      <c r="P759" s="16" t="str">
        <f>IF('Data-Plot'!C759="","",$Q$11+('Data-Plot'!C759-'Data-Plot'!D759)*$P$9)</f>
        <v/>
      </c>
      <c r="Q759" s="16" t="str">
        <f>IF('Data-Plot'!C759="","",MAX('Data-Plot'!$C$11:$C$1010)*(1+$Q$9/100))</f>
        <v/>
      </c>
      <c r="R759" s="16" t="str">
        <f>IF('Data-Plot'!C759="","",('Data-Plot'!C759-'Data-Plot'!D759)*$P$9)</f>
        <v/>
      </c>
    </row>
    <row r="760" spans="16:18" x14ac:dyDescent="0.3">
      <c r="P760" s="16" t="str">
        <f>IF('Data-Plot'!C760="","",$Q$11+('Data-Plot'!C760-'Data-Plot'!D760)*$P$9)</f>
        <v/>
      </c>
      <c r="Q760" s="16" t="str">
        <f>IF('Data-Plot'!C760="","",MAX('Data-Plot'!$C$11:$C$1010)*(1+$Q$9/100))</f>
        <v/>
      </c>
      <c r="R760" s="16" t="str">
        <f>IF('Data-Plot'!C760="","",('Data-Plot'!C760-'Data-Plot'!D760)*$P$9)</f>
        <v/>
      </c>
    </row>
    <row r="761" spans="16:18" x14ac:dyDescent="0.3">
      <c r="P761" s="16" t="str">
        <f>IF('Data-Plot'!C761="","",$Q$11+('Data-Plot'!C761-'Data-Plot'!D761)*$P$9)</f>
        <v/>
      </c>
      <c r="Q761" s="16" t="str">
        <f>IF('Data-Plot'!C761="","",MAX('Data-Plot'!$C$11:$C$1010)*(1+$Q$9/100))</f>
        <v/>
      </c>
      <c r="R761" s="16" t="str">
        <f>IF('Data-Plot'!C761="","",('Data-Plot'!C761-'Data-Plot'!D761)*$P$9)</f>
        <v/>
      </c>
    </row>
    <row r="762" spans="16:18" x14ac:dyDescent="0.3">
      <c r="P762" s="16" t="str">
        <f>IF('Data-Plot'!C762="","",$Q$11+('Data-Plot'!C762-'Data-Plot'!D762)*$P$9)</f>
        <v/>
      </c>
      <c r="Q762" s="16" t="str">
        <f>IF('Data-Plot'!C762="","",MAX('Data-Plot'!$C$11:$C$1010)*(1+$Q$9/100))</f>
        <v/>
      </c>
      <c r="R762" s="16" t="str">
        <f>IF('Data-Plot'!C762="","",('Data-Plot'!C762-'Data-Plot'!D762)*$P$9)</f>
        <v/>
      </c>
    </row>
    <row r="763" spans="16:18" x14ac:dyDescent="0.3">
      <c r="P763" s="16" t="str">
        <f>IF('Data-Plot'!C763="","",$Q$11+('Data-Plot'!C763-'Data-Plot'!D763)*$P$9)</f>
        <v/>
      </c>
      <c r="Q763" s="16" t="str">
        <f>IF('Data-Plot'!C763="","",MAX('Data-Plot'!$C$11:$C$1010)*(1+$Q$9/100))</f>
        <v/>
      </c>
      <c r="R763" s="16" t="str">
        <f>IF('Data-Plot'!C763="","",('Data-Plot'!C763-'Data-Plot'!D763)*$P$9)</f>
        <v/>
      </c>
    </row>
    <row r="764" spans="16:18" x14ac:dyDescent="0.3">
      <c r="P764" s="16" t="str">
        <f>IF('Data-Plot'!C764="","",$Q$11+('Data-Plot'!C764-'Data-Plot'!D764)*$P$9)</f>
        <v/>
      </c>
      <c r="Q764" s="16" t="str">
        <f>IF('Data-Plot'!C764="","",MAX('Data-Plot'!$C$11:$C$1010)*(1+$Q$9/100))</f>
        <v/>
      </c>
      <c r="R764" s="16" t="str">
        <f>IF('Data-Plot'!C764="","",('Data-Plot'!C764-'Data-Plot'!D764)*$P$9)</f>
        <v/>
      </c>
    </row>
    <row r="765" spans="16:18" x14ac:dyDescent="0.3">
      <c r="P765" s="16" t="str">
        <f>IF('Data-Plot'!C765="","",$Q$11+('Data-Plot'!C765-'Data-Plot'!D765)*$P$9)</f>
        <v/>
      </c>
      <c r="Q765" s="16" t="str">
        <f>IF('Data-Plot'!C765="","",MAX('Data-Plot'!$C$11:$C$1010)*(1+$Q$9/100))</f>
        <v/>
      </c>
      <c r="R765" s="16" t="str">
        <f>IF('Data-Plot'!C765="","",('Data-Plot'!C765-'Data-Plot'!D765)*$P$9)</f>
        <v/>
      </c>
    </row>
    <row r="766" spans="16:18" x14ac:dyDescent="0.3">
      <c r="P766" s="16" t="str">
        <f>IF('Data-Plot'!C766="","",$Q$11+('Data-Plot'!C766-'Data-Plot'!D766)*$P$9)</f>
        <v/>
      </c>
      <c r="Q766" s="16" t="str">
        <f>IF('Data-Plot'!C766="","",MAX('Data-Plot'!$C$11:$C$1010)*(1+$Q$9/100))</f>
        <v/>
      </c>
      <c r="R766" s="16" t="str">
        <f>IF('Data-Plot'!C766="","",('Data-Plot'!C766-'Data-Plot'!D766)*$P$9)</f>
        <v/>
      </c>
    </row>
    <row r="767" spans="16:18" x14ac:dyDescent="0.3">
      <c r="P767" s="16" t="str">
        <f>IF('Data-Plot'!C767="","",$Q$11+('Data-Plot'!C767-'Data-Plot'!D767)*$P$9)</f>
        <v/>
      </c>
      <c r="Q767" s="16" t="str">
        <f>IF('Data-Plot'!C767="","",MAX('Data-Plot'!$C$11:$C$1010)*(1+$Q$9/100))</f>
        <v/>
      </c>
      <c r="R767" s="16" t="str">
        <f>IF('Data-Plot'!C767="","",('Data-Plot'!C767-'Data-Plot'!D767)*$P$9)</f>
        <v/>
      </c>
    </row>
    <row r="768" spans="16:18" x14ac:dyDescent="0.3">
      <c r="P768" s="16" t="str">
        <f>IF('Data-Plot'!C768="","",$Q$11+('Data-Plot'!C768-'Data-Plot'!D768)*$P$9)</f>
        <v/>
      </c>
      <c r="Q768" s="16" t="str">
        <f>IF('Data-Plot'!C768="","",MAX('Data-Plot'!$C$11:$C$1010)*(1+$Q$9/100))</f>
        <v/>
      </c>
      <c r="R768" s="16" t="str">
        <f>IF('Data-Plot'!C768="","",('Data-Plot'!C768-'Data-Plot'!D768)*$P$9)</f>
        <v/>
      </c>
    </row>
    <row r="769" spans="16:18" x14ac:dyDescent="0.3">
      <c r="P769" s="16" t="str">
        <f>IF('Data-Plot'!C769="","",$Q$11+('Data-Plot'!C769-'Data-Plot'!D769)*$P$9)</f>
        <v/>
      </c>
      <c r="Q769" s="16" t="str">
        <f>IF('Data-Plot'!C769="","",MAX('Data-Plot'!$C$11:$C$1010)*(1+$Q$9/100))</f>
        <v/>
      </c>
      <c r="R769" s="16" t="str">
        <f>IF('Data-Plot'!C769="","",('Data-Plot'!C769-'Data-Plot'!D769)*$P$9)</f>
        <v/>
      </c>
    </row>
    <row r="770" spans="16:18" x14ac:dyDescent="0.3">
      <c r="P770" s="16" t="str">
        <f>IF('Data-Plot'!C770="","",$Q$11+('Data-Plot'!C770-'Data-Plot'!D770)*$P$9)</f>
        <v/>
      </c>
      <c r="Q770" s="16" t="str">
        <f>IF('Data-Plot'!C770="","",MAX('Data-Plot'!$C$11:$C$1010)*(1+$Q$9/100))</f>
        <v/>
      </c>
      <c r="R770" s="16" t="str">
        <f>IF('Data-Plot'!C770="","",('Data-Plot'!C770-'Data-Plot'!D770)*$P$9)</f>
        <v/>
      </c>
    </row>
    <row r="771" spans="16:18" x14ac:dyDescent="0.3">
      <c r="P771" s="16" t="str">
        <f>IF('Data-Plot'!C771="","",$Q$11+('Data-Plot'!C771-'Data-Plot'!D771)*$P$9)</f>
        <v/>
      </c>
      <c r="Q771" s="16" t="str">
        <f>IF('Data-Plot'!C771="","",MAX('Data-Plot'!$C$11:$C$1010)*(1+$Q$9/100))</f>
        <v/>
      </c>
      <c r="R771" s="16" t="str">
        <f>IF('Data-Plot'!C771="","",('Data-Plot'!C771-'Data-Plot'!D771)*$P$9)</f>
        <v/>
      </c>
    </row>
    <row r="772" spans="16:18" x14ac:dyDescent="0.3">
      <c r="P772" s="16" t="str">
        <f>IF('Data-Plot'!C772="","",$Q$11+('Data-Plot'!C772-'Data-Plot'!D772)*$P$9)</f>
        <v/>
      </c>
      <c r="Q772" s="16" t="str">
        <f>IF('Data-Plot'!C772="","",MAX('Data-Plot'!$C$11:$C$1010)*(1+$Q$9/100))</f>
        <v/>
      </c>
      <c r="R772" s="16" t="str">
        <f>IF('Data-Plot'!C772="","",('Data-Plot'!C772-'Data-Plot'!D772)*$P$9)</f>
        <v/>
      </c>
    </row>
    <row r="773" spans="16:18" x14ac:dyDescent="0.3">
      <c r="P773" s="16" t="str">
        <f>IF('Data-Plot'!C773="","",$Q$11+('Data-Plot'!C773-'Data-Plot'!D773)*$P$9)</f>
        <v/>
      </c>
      <c r="Q773" s="16" t="str">
        <f>IF('Data-Plot'!C773="","",MAX('Data-Plot'!$C$11:$C$1010)*(1+$Q$9/100))</f>
        <v/>
      </c>
      <c r="R773" s="16" t="str">
        <f>IF('Data-Plot'!C773="","",('Data-Plot'!C773-'Data-Plot'!D773)*$P$9)</f>
        <v/>
      </c>
    </row>
    <row r="774" spans="16:18" x14ac:dyDescent="0.3">
      <c r="P774" s="16" t="str">
        <f>IF('Data-Plot'!C774="","",$Q$11+('Data-Plot'!C774-'Data-Plot'!D774)*$P$9)</f>
        <v/>
      </c>
      <c r="Q774" s="16" t="str">
        <f>IF('Data-Plot'!C774="","",MAX('Data-Plot'!$C$11:$C$1010)*(1+$Q$9/100))</f>
        <v/>
      </c>
      <c r="R774" s="16" t="str">
        <f>IF('Data-Plot'!C774="","",('Data-Plot'!C774-'Data-Plot'!D774)*$P$9)</f>
        <v/>
      </c>
    </row>
    <row r="775" spans="16:18" x14ac:dyDescent="0.3">
      <c r="P775" s="16" t="str">
        <f>IF('Data-Plot'!C775="","",$Q$11+('Data-Plot'!C775-'Data-Plot'!D775)*$P$9)</f>
        <v/>
      </c>
      <c r="Q775" s="16" t="str">
        <f>IF('Data-Plot'!C775="","",MAX('Data-Plot'!$C$11:$C$1010)*(1+$Q$9/100))</f>
        <v/>
      </c>
      <c r="R775" s="16" t="str">
        <f>IF('Data-Plot'!C775="","",('Data-Plot'!C775-'Data-Plot'!D775)*$P$9)</f>
        <v/>
      </c>
    </row>
    <row r="776" spans="16:18" x14ac:dyDescent="0.3">
      <c r="P776" s="16" t="str">
        <f>IF('Data-Plot'!C776="","",$Q$11+('Data-Plot'!C776-'Data-Plot'!D776)*$P$9)</f>
        <v/>
      </c>
      <c r="Q776" s="16" t="str">
        <f>IF('Data-Plot'!C776="","",MAX('Data-Plot'!$C$11:$C$1010)*(1+$Q$9/100))</f>
        <v/>
      </c>
      <c r="R776" s="16" t="str">
        <f>IF('Data-Plot'!C776="","",('Data-Plot'!C776-'Data-Plot'!D776)*$P$9)</f>
        <v/>
      </c>
    </row>
    <row r="777" spans="16:18" x14ac:dyDescent="0.3">
      <c r="P777" s="16" t="str">
        <f>IF('Data-Plot'!C777="","",$Q$11+('Data-Plot'!C777-'Data-Plot'!D777)*$P$9)</f>
        <v/>
      </c>
      <c r="Q777" s="16" t="str">
        <f>IF('Data-Plot'!C777="","",MAX('Data-Plot'!$C$11:$C$1010)*(1+$Q$9/100))</f>
        <v/>
      </c>
      <c r="R777" s="16" t="str">
        <f>IF('Data-Plot'!C777="","",('Data-Plot'!C777-'Data-Plot'!D777)*$P$9)</f>
        <v/>
      </c>
    </row>
    <row r="778" spans="16:18" x14ac:dyDescent="0.3">
      <c r="P778" s="16" t="str">
        <f>IF('Data-Plot'!C778="","",$Q$11+('Data-Plot'!C778-'Data-Plot'!D778)*$P$9)</f>
        <v/>
      </c>
      <c r="Q778" s="16" t="str">
        <f>IF('Data-Plot'!C778="","",MAX('Data-Plot'!$C$11:$C$1010)*(1+$Q$9/100))</f>
        <v/>
      </c>
      <c r="R778" s="16" t="str">
        <f>IF('Data-Plot'!C778="","",('Data-Plot'!C778-'Data-Plot'!D778)*$P$9)</f>
        <v/>
      </c>
    </row>
    <row r="779" spans="16:18" x14ac:dyDescent="0.3">
      <c r="P779" s="16" t="str">
        <f>IF('Data-Plot'!C779="","",$Q$11+('Data-Plot'!C779-'Data-Plot'!D779)*$P$9)</f>
        <v/>
      </c>
      <c r="Q779" s="16" t="str">
        <f>IF('Data-Plot'!C779="","",MAX('Data-Plot'!$C$11:$C$1010)*(1+$Q$9/100))</f>
        <v/>
      </c>
      <c r="R779" s="16" t="str">
        <f>IF('Data-Plot'!C779="","",('Data-Plot'!C779-'Data-Plot'!D779)*$P$9)</f>
        <v/>
      </c>
    </row>
    <row r="780" spans="16:18" x14ac:dyDescent="0.3">
      <c r="P780" s="16" t="str">
        <f>IF('Data-Plot'!C780="","",$Q$11+('Data-Plot'!C780-'Data-Plot'!D780)*$P$9)</f>
        <v/>
      </c>
      <c r="Q780" s="16" t="str">
        <f>IF('Data-Plot'!C780="","",MAX('Data-Plot'!$C$11:$C$1010)*(1+$Q$9/100))</f>
        <v/>
      </c>
      <c r="R780" s="16" t="str">
        <f>IF('Data-Plot'!C780="","",('Data-Plot'!C780-'Data-Plot'!D780)*$P$9)</f>
        <v/>
      </c>
    </row>
    <row r="781" spans="16:18" x14ac:dyDescent="0.3">
      <c r="P781" s="16" t="str">
        <f>IF('Data-Plot'!C781="","",$Q$11+('Data-Plot'!C781-'Data-Plot'!D781)*$P$9)</f>
        <v/>
      </c>
      <c r="Q781" s="16" t="str">
        <f>IF('Data-Plot'!C781="","",MAX('Data-Plot'!$C$11:$C$1010)*(1+$Q$9/100))</f>
        <v/>
      </c>
      <c r="R781" s="16" t="str">
        <f>IF('Data-Plot'!C781="","",('Data-Plot'!C781-'Data-Plot'!D781)*$P$9)</f>
        <v/>
      </c>
    </row>
    <row r="782" spans="16:18" x14ac:dyDescent="0.3">
      <c r="P782" s="16" t="str">
        <f>IF('Data-Plot'!C782="","",$Q$11+('Data-Plot'!C782-'Data-Plot'!D782)*$P$9)</f>
        <v/>
      </c>
      <c r="Q782" s="16" t="str">
        <f>IF('Data-Plot'!C782="","",MAX('Data-Plot'!$C$11:$C$1010)*(1+$Q$9/100))</f>
        <v/>
      </c>
      <c r="R782" s="16" t="str">
        <f>IF('Data-Plot'!C782="","",('Data-Plot'!C782-'Data-Plot'!D782)*$P$9)</f>
        <v/>
      </c>
    </row>
    <row r="783" spans="16:18" x14ac:dyDescent="0.3">
      <c r="P783" s="16" t="str">
        <f>IF('Data-Plot'!C783="","",$Q$11+('Data-Plot'!C783-'Data-Plot'!D783)*$P$9)</f>
        <v/>
      </c>
      <c r="Q783" s="16" t="str">
        <f>IF('Data-Plot'!C783="","",MAX('Data-Plot'!$C$11:$C$1010)*(1+$Q$9/100))</f>
        <v/>
      </c>
      <c r="R783" s="16" t="str">
        <f>IF('Data-Plot'!C783="","",('Data-Plot'!C783-'Data-Plot'!D783)*$P$9)</f>
        <v/>
      </c>
    </row>
    <row r="784" spans="16:18" x14ac:dyDescent="0.3">
      <c r="P784" s="16" t="str">
        <f>IF('Data-Plot'!C784="","",$Q$11+('Data-Plot'!C784-'Data-Plot'!D784)*$P$9)</f>
        <v/>
      </c>
      <c r="Q784" s="16" t="str">
        <f>IF('Data-Plot'!C784="","",MAX('Data-Plot'!$C$11:$C$1010)*(1+$Q$9/100))</f>
        <v/>
      </c>
      <c r="R784" s="16" t="str">
        <f>IF('Data-Plot'!C784="","",('Data-Plot'!C784-'Data-Plot'!D784)*$P$9)</f>
        <v/>
      </c>
    </row>
    <row r="785" spans="16:18" x14ac:dyDescent="0.3">
      <c r="P785" s="16" t="str">
        <f>IF('Data-Plot'!C785="","",$Q$11+('Data-Plot'!C785-'Data-Plot'!D785)*$P$9)</f>
        <v/>
      </c>
      <c r="Q785" s="16" t="str">
        <f>IF('Data-Plot'!C785="","",MAX('Data-Plot'!$C$11:$C$1010)*(1+$Q$9/100))</f>
        <v/>
      </c>
      <c r="R785" s="16" t="str">
        <f>IF('Data-Plot'!C785="","",('Data-Plot'!C785-'Data-Plot'!D785)*$P$9)</f>
        <v/>
      </c>
    </row>
    <row r="786" spans="16:18" x14ac:dyDescent="0.3">
      <c r="P786" s="16" t="str">
        <f>IF('Data-Plot'!C786="","",$Q$11+('Data-Plot'!C786-'Data-Plot'!D786)*$P$9)</f>
        <v/>
      </c>
      <c r="Q786" s="16" t="str">
        <f>IF('Data-Plot'!C786="","",MAX('Data-Plot'!$C$11:$C$1010)*(1+$Q$9/100))</f>
        <v/>
      </c>
      <c r="R786" s="16" t="str">
        <f>IF('Data-Plot'!C786="","",('Data-Plot'!C786-'Data-Plot'!D786)*$P$9)</f>
        <v/>
      </c>
    </row>
    <row r="787" spans="16:18" x14ac:dyDescent="0.3">
      <c r="P787" s="16" t="str">
        <f>IF('Data-Plot'!C787="","",$Q$11+('Data-Plot'!C787-'Data-Plot'!D787)*$P$9)</f>
        <v/>
      </c>
      <c r="Q787" s="16" t="str">
        <f>IF('Data-Plot'!C787="","",MAX('Data-Plot'!$C$11:$C$1010)*(1+$Q$9/100))</f>
        <v/>
      </c>
      <c r="R787" s="16" t="str">
        <f>IF('Data-Plot'!C787="","",('Data-Plot'!C787-'Data-Plot'!D787)*$P$9)</f>
        <v/>
      </c>
    </row>
    <row r="788" spans="16:18" x14ac:dyDescent="0.3">
      <c r="P788" s="16" t="str">
        <f>IF('Data-Plot'!C788="","",$Q$11+('Data-Plot'!C788-'Data-Plot'!D788)*$P$9)</f>
        <v/>
      </c>
      <c r="Q788" s="16" t="str">
        <f>IF('Data-Plot'!C788="","",MAX('Data-Plot'!$C$11:$C$1010)*(1+$Q$9/100))</f>
        <v/>
      </c>
      <c r="R788" s="16" t="str">
        <f>IF('Data-Plot'!C788="","",('Data-Plot'!C788-'Data-Plot'!D788)*$P$9)</f>
        <v/>
      </c>
    </row>
    <row r="789" spans="16:18" x14ac:dyDescent="0.3">
      <c r="P789" s="16" t="str">
        <f>IF('Data-Plot'!C789="","",$Q$11+('Data-Plot'!C789-'Data-Plot'!D789)*$P$9)</f>
        <v/>
      </c>
      <c r="Q789" s="16" t="str">
        <f>IF('Data-Plot'!C789="","",MAX('Data-Plot'!$C$11:$C$1010)*(1+$Q$9/100))</f>
        <v/>
      </c>
      <c r="R789" s="16" t="str">
        <f>IF('Data-Plot'!C789="","",('Data-Plot'!C789-'Data-Plot'!D789)*$P$9)</f>
        <v/>
      </c>
    </row>
    <row r="790" spans="16:18" x14ac:dyDescent="0.3">
      <c r="P790" s="16" t="str">
        <f>IF('Data-Plot'!C790="","",$Q$11+('Data-Plot'!C790-'Data-Plot'!D790)*$P$9)</f>
        <v/>
      </c>
      <c r="Q790" s="16" t="str">
        <f>IF('Data-Plot'!C790="","",MAX('Data-Plot'!$C$11:$C$1010)*(1+$Q$9/100))</f>
        <v/>
      </c>
      <c r="R790" s="16" t="str">
        <f>IF('Data-Plot'!C790="","",('Data-Plot'!C790-'Data-Plot'!D790)*$P$9)</f>
        <v/>
      </c>
    </row>
    <row r="791" spans="16:18" x14ac:dyDescent="0.3">
      <c r="P791" s="16" t="str">
        <f>IF('Data-Plot'!C791="","",$Q$11+('Data-Plot'!C791-'Data-Plot'!D791)*$P$9)</f>
        <v/>
      </c>
      <c r="Q791" s="16" t="str">
        <f>IF('Data-Plot'!C791="","",MAX('Data-Plot'!$C$11:$C$1010)*(1+$Q$9/100))</f>
        <v/>
      </c>
      <c r="R791" s="16" t="str">
        <f>IF('Data-Plot'!C791="","",('Data-Plot'!C791-'Data-Plot'!D791)*$P$9)</f>
        <v/>
      </c>
    </row>
    <row r="792" spans="16:18" x14ac:dyDescent="0.3">
      <c r="P792" s="16" t="str">
        <f>IF('Data-Plot'!C792="","",$Q$11+('Data-Plot'!C792-'Data-Plot'!D792)*$P$9)</f>
        <v/>
      </c>
      <c r="Q792" s="16" t="str">
        <f>IF('Data-Plot'!C792="","",MAX('Data-Plot'!$C$11:$C$1010)*(1+$Q$9/100))</f>
        <v/>
      </c>
      <c r="R792" s="16" t="str">
        <f>IF('Data-Plot'!C792="","",('Data-Plot'!C792-'Data-Plot'!D792)*$P$9)</f>
        <v/>
      </c>
    </row>
    <row r="793" spans="16:18" x14ac:dyDescent="0.3">
      <c r="P793" s="16" t="str">
        <f>IF('Data-Plot'!C793="","",$Q$11+('Data-Plot'!C793-'Data-Plot'!D793)*$P$9)</f>
        <v/>
      </c>
      <c r="Q793" s="16" t="str">
        <f>IF('Data-Plot'!C793="","",MAX('Data-Plot'!$C$11:$C$1010)*(1+$Q$9/100))</f>
        <v/>
      </c>
      <c r="R793" s="16" t="str">
        <f>IF('Data-Plot'!C793="","",('Data-Plot'!C793-'Data-Plot'!D793)*$P$9)</f>
        <v/>
      </c>
    </row>
    <row r="794" spans="16:18" x14ac:dyDescent="0.3">
      <c r="P794" s="16" t="str">
        <f>IF('Data-Plot'!C794="","",$Q$11+('Data-Plot'!C794-'Data-Plot'!D794)*$P$9)</f>
        <v/>
      </c>
      <c r="Q794" s="16" t="str">
        <f>IF('Data-Plot'!C794="","",MAX('Data-Plot'!$C$11:$C$1010)*(1+$Q$9/100))</f>
        <v/>
      </c>
      <c r="R794" s="16" t="str">
        <f>IF('Data-Plot'!C794="","",('Data-Plot'!C794-'Data-Plot'!D794)*$P$9)</f>
        <v/>
      </c>
    </row>
    <row r="795" spans="16:18" x14ac:dyDescent="0.3">
      <c r="P795" s="16" t="str">
        <f>IF('Data-Plot'!C795="","",$Q$11+('Data-Plot'!C795-'Data-Plot'!D795)*$P$9)</f>
        <v/>
      </c>
      <c r="Q795" s="16" t="str">
        <f>IF('Data-Plot'!C795="","",MAX('Data-Plot'!$C$11:$C$1010)*(1+$Q$9/100))</f>
        <v/>
      </c>
      <c r="R795" s="16" t="str">
        <f>IF('Data-Plot'!C795="","",('Data-Plot'!C795-'Data-Plot'!D795)*$P$9)</f>
        <v/>
      </c>
    </row>
    <row r="796" spans="16:18" x14ac:dyDescent="0.3">
      <c r="P796" s="16" t="str">
        <f>IF('Data-Plot'!C796="","",$Q$11+('Data-Plot'!C796-'Data-Plot'!D796)*$P$9)</f>
        <v/>
      </c>
      <c r="Q796" s="16" t="str">
        <f>IF('Data-Plot'!C796="","",MAX('Data-Plot'!$C$11:$C$1010)*(1+$Q$9/100))</f>
        <v/>
      </c>
      <c r="R796" s="16" t="str">
        <f>IF('Data-Plot'!C796="","",('Data-Plot'!C796-'Data-Plot'!D796)*$P$9)</f>
        <v/>
      </c>
    </row>
    <row r="797" spans="16:18" x14ac:dyDescent="0.3">
      <c r="P797" s="16" t="str">
        <f>IF('Data-Plot'!C797="","",$Q$11+('Data-Plot'!C797-'Data-Plot'!D797)*$P$9)</f>
        <v/>
      </c>
      <c r="Q797" s="16" t="str">
        <f>IF('Data-Plot'!C797="","",MAX('Data-Plot'!$C$11:$C$1010)*(1+$Q$9/100))</f>
        <v/>
      </c>
      <c r="R797" s="16" t="str">
        <f>IF('Data-Plot'!C797="","",('Data-Plot'!C797-'Data-Plot'!D797)*$P$9)</f>
        <v/>
      </c>
    </row>
    <row r="798" spans="16:18" x14ac:dyDescent="0.3">
      <c r="P798" s="16" t="str">
        <f>IF('Data-Plot'!C798="","",$Q$11+('Data-Plot'!C798-'Data-Plot'!D798)*$P$9)</f>
        <v/>
      </c>
      <c r="Q798" s="16" t="str">
        <f>IF('Data-Plot'!C798="","",MAX('Data-Plot'!$C$11:$C$1010)*(1+$Q$9/100))</f>
        <v/>
      </c>
      <c r="R798" s="16" t="str">
        <f>IF('Data-Plot'!C798="","",('Data-Plot'!C798-'Data-Plot'!D798)*$P$9)</f>
        <v/>
      </c>
    </row>
    <row r="799" spans="16:18" x14ac:dyDescent="0.3">
      <c r="P799" s="16" t="str">
        <f>IF('Data-Plot'!C799="","",$Q$11+('Data-Plot'!C799-'Data-Plot'!D799)*$P$9)</f>
        <v/>
      </c>
      <c r="Q799" s="16" t="str">
        <f>IF('Data-Plot'!C799="","",MAX('Data-Plot'!$C$11:$C$1010)*(1+$Q$9/100))</f>
        <v/>
      </c>
      <c r="R799" s="16" t="str">
        <f>IF('Data-Plot'!C799="","",('Data-Plot'!C799-'Data-Plot'!D799)*$P$9)</f>
        <v/>
      </c>
    </row>
    <row r="800" spans="16:18" x14ac:dyDescent="0.3">
      <c r="P800" s="16" t="str">
        <f>IF('Data-Plot'!C800="","",$Q$11+('Data-Plot'!C800-'Data-Plot'!D800)*$P$9)</f>
        <v/>
      </c>
      <c r="Q800" s="16" t="str">
        <f>IF('Data-Plot'!C800="","",MAX('Data-Plot'!$C$11:$C$1010)*(1+$Q$9/100))</f>
        <v/>
      </c>
      <c r="R800" s="16" t="str">
        <f>IF('Data-Plot'!C800="","",('Data-Plot'!C800-'Data-Plot'!D800)*$P$9)</f>
        <v/>
      </c>
    </row>
    <row r="801" spans="16:18" x14ac:dyDescent="0.3">
      <c r="P801" s="16" t="str">
        <f>IF('Data-Plot'!C801="","",$Q$11+('Data-Plot'!C801-'Data-Plot'!D801)*$P$9)</f>
        <v/>
      </c>
      <c r="Q801" s="16" t="str">
        <f>IF('Data-Plot'!C801="","",MAX('Data-Plot'!$C$11:$C$1010)*(1+$Q$9/100))</f>
        <v/>
      </c>
      <c r="R801" s="16" t="str">
        <f>IF('Data-Plot'!C801="","",('Data-Plot'!C801-'Data-Plot'!D801)*$P$9)</f>
        <v/>
      </c>
    </row>
    <row r="802" spans="16:18" x14ac:dyDescent="0.3">
      <c r="P802" s="16" t="str">
        <f>IF('Data-Plot'!C802="","",$Q$11+('Data-Plot'!C802-'Data-Plot'!D802)*$P$9)</f>
        <v/>
      </c>
      <c r="Q802" s="16" t="str">
        <f>IF('Data-Plot'!C802="","",MAX('Data-Plot'!$C$11:$C$1010)*(1+$Q$9/100))</f>
        <v/>
      </c>
      <c r="R802" s="16" t="str">
        <f>IF('Data-Plot'!C802="","",('Data-Plot'!C802-'Data-Plot'!D802)*$P$9)</f>
        <v/>
      </c>
    </row>
    <row r="803" spans="16:18" x14ac:dyDescent="0.3">
      <c r="P803" s="16" t="str">
        <f>IF('Data-Plot'!C803="","",$Q$11+('Data-Plot'!C803-'Data-Plot'!D803)*$P$9)</f>
        <v/>
      </c>
      <c r="Q803" s="16" t="str">
        <f>IF('Data-Plot'!C803="","",MAX('Data-Plot'!$C$11:$C$1010)*(1+$Q$9/100))</f>
        <v/>
      </c>
      <c r="R803" s="16" t="str">
        <f>IF('Data-Plot'!C803="","",('Data-Plot'!C803-'Data-Plot'!D803)*$P$9)</f>
        <v/>
      </c>
    </row>
    <row r="804" spans="16:18" x14ac:dyDescent="0.3">
      <c r="P804" s="16" t="str">
        <f>IF('Data-Plot'!C804="","",$Q$11+('Data-Plot'!C804-'Data-Plot'!D804)*$P$9)</f>
        <v/>
      </c>
      <c r="Q804" s="16" t="str">
        <f>IF('Data-Plot'!C804="","",MAX('Data-Plot'!$C$11:$C$1010)*(1+$Q$9/100))</f>
        <v/>
      </c>
      <c r="R804" s="16" t="str">
        <f>IF('Data-Plot'!C804="","",('Data-Plot'!C804-'Data-Plot'!D804)*$P$9)</f>
        <v/>
      </c>
    </row>
    <row r="805" spans="16:18" x14ac:dyDescent="0.3">
      <c r="P805" s="16" t="str">
        <f>IF('Data-Plot'!C805="","",$Q$11+('Data-Plot'!C805-'Data-Plot'!D805)*$P$9)</f>
        <v/>
      </c>
      <c r="Q805" s="16" t="str">
        <f>IF('Data-Plot'!C805="","",MAX('Data-Plot'!$C$11:$C$1010)*(1+$Q$9/100))</f>
        <v/>
      </c>
      <c r="R805" s="16" t="str">
        <f>IF('Data-Plot'!C805="","",('Data-Plot'!C805-'Data-Plot'!D805)*$P$9)</f>
        <v/>
      </c>
    </row>
    <row r="806" spans="16:18" x14ac:dyDescent="0.3">
      <c r="P806" s="16" t="str">
        <f>IF('Data-Plot'!C806="","",$Q$11+('Data-Plot'!C806-'Data-Plot'!D806)*$P$9)</f>
        <v/>
      </c>
      <c r="Q806" s="16" t="str">
        <f>IF('Data-Plot'!C806="","",MAX('Data-Plot'!$C$11:$C$1010)*(1+$Q$9/100))</f>
        <v/>
      </c>
      <c r="R806" s="16" t="str">
        <f>IF('Data-Plot'!C806="","",('Data-Plot'!C806-'Data-Plot'!D806)*$P$9)</f>
        <v/>
      </c>
    </row>
    <row r="807" spans="16:18" x14ac:dyDescent="0.3">
      <c r="P807" s="16" t="str">
        <f>IF('Data-Plot'!C807="","",$Q$11+('Data-Plot'!C807-'Data-Plot'!D807)*$P$9)</f>
        <v/>
      </c>
      <c r="Q807" s="16" t="str">
        <f>IF('Data-Plot'!C807="","",MAX('Data-Plot'!$C$11:$C$1010)*(1+$Q$9/100))</f>
        <v/>
      </c>
      <c r="R807" s="16" t="str">
        <f>IF('Data-Plot'!C807="","",('Data-Plot'!C807-'Data-Plot'!D807)*$P$9)</f>
        <v/>
      </c>
    </row>
    <row r="808" spans="16:18" x14ac:dyDescent="0.3">
      <c r="P808" s="16" t="str">
        <f>IF('Data-Plot'!C808="","",$Q$11+('Data-Plot'!C808-'Data-Plot'!D808)*$P$9)</f>
        <v/>
      </c>
      <c r="Q808" s="16" t="str">
        <f>IF('Data-Plot'!C808="","",MAX('Data-Plot'!$C$11:$C$1010)*(1+$Q$9/100))</f>
        <v/>
      </c>
      <c r="R808" s="16" t="str">
        <f>IF('Data-Plot'!C808="","",('Data-Plot'!C808-'Data-Plot'!D808)*$P$9)</f>
        <v/>
      </c>
    </row>
    <row r="809" spans="16:18" x14ac:dyDescent="0.3">
      <c r="P809" s="16" t="str">
        <f>IF('Data-Plot'!C809="","",$Q$11+('Data-Plot'!C809-'Data-Plot'!D809)*$P$9)</f>
        <v/>
      </c>
      <c r="Q809" s="16" t="str">
        <f>IF('Data-Plot'!C809="","",MAX('Data-Plot'!$C$11:$C$1010)*(1+$Q$9/100))</f>
        <v/>
      </c>
      <c r="R809" s="16" t="str">
        <f>IF('Data-Plot'!C809="","",('Data-Plot'!C809-'Data-Plot'!D809)*$P$9)</f>
        <v/>
      </c>
    </row>
    <row r="810" spans="16:18" x14ac:dyDescent="0.3">
      <c r="P810" s="16" t="str">
        <f>IF('Data-Plot'!C810="","",$Q$11+('Data-Plot'!C810-'Data-Plot'!D810)*$P$9)</f>
        <v/>
      </c>
      <c r="Q810" s="16" t="str">
        <f>IF('Data-Plot'!C810="","",MAX('Data-Plot'!$C$11:$C$1010)*(1+$Q$9/100))</f>
        <v/>
      </c>
      <c r="R810" s="16" t="str">
        <f>IF('Data-Plot'!C810="","",('Data-Plot'!C810-'Data-Plot'!D810)*$P$9)</f>
        <v/>
      </c>
    </row>
    <row r="811" spans="16:18" x14ac:dyDescent="0.3">
      <c r="P811" s="16" t="str">
        <f>IF('Data-Plot'!C811="","",$Q$11+('Data-Plot'!C811-'Data-Plot'!D811)*$P$9)</f>
        <v/>
      </c>
      <c r="Q811" s="16" t="str">
        <f>IF('Data-Plot'!C811="","",MAX('Data-Plot'!$C$11:$C$1010)*(1+$Q$9/100))</f>
        <v/>
      </c>
      <c r="R811" s="16" t="str">
        <f>IF('Data-Plot'!C811="","",('Data-Plot'!C811-'Data-Plot'!D811)*$P$9)</f>
        <v/>
      </c>
    </row>
    <row r="812" spans="16:18" x14ac:dyDescent="0.3">
      <c r="P812" s="16" t="str">
        <f>IF('Data-Plot'!C812="","",$Q$11+('Data-Plot'!C812-'Data-Plot'!D812)*$P$9)</f>
        <v/>
      </c>
      <c r="Q812" s="16" t="str">
        <f>IF('Data-Plot'!C812="","",MAX('Data-Plot'!$C$11:$C$1010)*(1+$Q$9/100))</f>
        <v/>
      </c>
      <c r="R812" s="16" t="str">
        <f>IF('Data-Plot'!C812="","",('Data-Plot'!C812-'Data-Plot'!D812)*$P$9)</f>
        <v/>
      </c>
    </row>
    <row r="813" spans="16:18" x14ac:dyDescent="0.3">
      <c r="P813" s="16" t="str">
        <f>IF('Data-Plot'!C813="","",$Q$11+('Data-Plot'!C813-'Data-Plot'!D813)*$P$9)</f>
        <v/>
      </c>
      <c r="Q813" s="16" t="str">
        <f>IF('Data-Plot'!C813="","",MAX('Data-Plot'!$C$11:$C$1010)*(1+$Q$9/100))</f>
        <v/>
      </c>
      <c r="R813" s="16" t="str">
        <f>IF('Data-Plot'!C813="","",('Data-Plot'!C813-'Data-Plot'!D813)*$P$9)</f>
        <v/>
      </c>
    </row>
    <row r="814" spans="16:18" x14ac:dyDescent="0.3">
      <c r="P814" s="16" t="str">
        <f>IF('Data-Plot'!C814="","",$Q$11+('Data-Plot'!C814-'Data-Plot'!D814)*$P$9)</f>
        <v/>
      </c>
      <c r="Q814" s="16" t="str">
        <f>IF('Data-Plot'!C814="","",MAX('Data-Plot'!$C$11:$C$1010)*(1+$Q$9/100))</f>
        <v/>
      </c>
      <c r="R814" s="16" t="str">
        <f>IF('Data-Plot'!C814="","",('Data-Plot'!C814-'Data-Plot'!D814)*$P$9)</f>
        <v/>
      </c>
    </row>
    <row r="815" spans="16:18" x14ac:dyDescent="0.3">
      <c r="P815" s="16" t="str">
        <f>IF('Data-Plot'!C815="","",$Q$11+('Data-Plot'!C815-'Data-Plot'!D815)*$P$9)</f>
        <v/>
      </c>
      <c r="Q815" s="16" t="str">
        <f>IF('Data-Plot'!C815="","",MAX('Data-Plot'!$C$11:$C$1010)*(1+$Q$9/100))</f>
        <v/>
      </c>
      <c r="R815" s="16" t="str">
        <f>IF('Data-Plot'!C815="","",('Data-Plot'!C815-'Data-Plot'!D815)*$P$9)</f>
        <v/>
      </c>
    </row>
    <row r="816" spans="16:18" x14ac:dyDescent="0.3">
      <c r="P816" s="16" t="str">
        <f>IF('Data-Plot'!C816="","",$Q$11+('Data-Plot'!C816-'Data-Plot'!D816)*$P$9)</f>
        <v/>
      </c>
      <c r="Q816" s="16" t="str">
        <f>IF('Data-Plot'!C816="","",MAX('Data-Plot'!$C$11:$C$1010)*(1+$Q$9/100))</f>
        <v/>
      </c>
      <c r="R816" s="16" t="str">
        <f>IF('Data-Plot'!C816="","",('Data-Plot'!C816-'Data-Plot'!D816)*$P$9)</f>
        <v/>
      </c>
    </row>
    <row r="817" spans="16:18" x14ac:dyDescent="0.3">
      <c r="P817" s="16" t="str">
        <f>IF('Data-Plot'!C817="","",$Q$11+('Data-Plot'!C817-'Data-Plot'!D817)*$P$9)</f>
        <v/>
      </c>
      <c r="Q817" s="16" t="str">
        <f>IF('Data-Plot'!C817="","",MAX('Data-Plot'!$C$11:$C$1010)*(1+$Q$9/100))</f>
        <v/>
      </c>
      <c r="R817" s="16" t="str">
        <f>IF('Data-Plot'!C817="","",('Data-Plot'!C817-'Data-Plot'!D817)*$P$9)</f>
        <v/>
      </c>
    </row>
    <row r="818" spans="16:18" x14ac:dyDescent="0.3">
      <c r="P818" s="16" t="str">
        <f>IF('Data-Plot'!C818="","",$Q$11+('Data-Plot'!C818-'Data-Plot'!D818)*$P$9)</f>
        <v/>
      </c>
      <c r="Q818" s="16" t="str">
        <f>IF('Data-Plot'!C818="","",MAX('Data-Plot'!$C$11:$C$1010)*(1+$Q$9/100))</f>
        <v/>
      </c>
      <c r="R818" s="16" t="str">
        <f>IF('Data-Plot'!C818="","",('Data-Plot'!C818-'Data-Plot'!D818)*$P$9)</f>
        <v/>
      </c>
    </row>
    <row r="819" spans="16:18" x14ac:dyDescent="0.3">
      <c r="P819" s="16" t="str">
        <f>IF('Data-Plot'!C819="","",$Q$11+('Data-Plot'!C819-'Data-Plot'!D819)*$P$9)</f>
        <v/>
      </c>
      <c r="Q819" s="16" t="str">
        <f>IF('Data-Plot'!C819="","",MAX('Data-Plot'!$C$11:$C$1010)*(1+$Q$9/100))</f>
        <v/>
      </c>
      <c r="R819" s="16" t="str">
        <f>IF('Data-Plot'!C819="","",('Data-Plot'!C819-'Data-Plot'!D819)*$P$9)</f>
        <v/>
      </c>
    </row>
    <row r="820" spans="16:18" x14ac:dyDescent="0.3">
      <c r="P820" s="16" t="str">
        <f>IF('Data-Plot'!C820="","",$Q$11+('Data-Plot'!C820-'Data-Plot'!D820)*$P$9)</f>
        <v/>
      </c>
      <c r="Q820" s="16" t="str">
        <f>IF('Data-Plot'!C820="","",MAX('Data-Plot'!$C$11:$C$1010)*(1+$Q$9/100))</f>
        <v/>
      </c>
      <c r="R820" s="16" t="str">
        <f>IF('Data-Plot'!C820="","",('Data-Plot'!C820-'Data-Plot'!D820)*$P$9)</f>
        <v/>
      </c>
    </row>
    <row r="821" spans="16:18" x14ac:dyDescent="0.3">
      <c r="P821" s="16" t="str">
        <f>IF('Data-Plot'!C821="","",$Q$11+('Data-Plot'!C821-'Data-Plot'!D821)*$P$9)</f>
        <v/>
      </c>
      <c r="Q821" s="16" t="str">
        <f>IF('Data-Plot'!C821="","",MAX('Data-Plot'!$C$11:$C$1010)*(1+$Q$9/100))</f>
        <v/>
      </c>
      <c r="R821" s="16" t="str">
        <f>IF('Data-Plot'!C821="","",('Data-Plot'!C821-'Data-Plot'!D821)*$P$9)</f>
        <v/>
      </c>
    </row>
    <row r="822" spans="16:18" x14ac:dyDescent="0.3">
      <c r="P822" s="16" t="str">
        <f>IF('Data-Plot'!C822="","",$Q$11+('Data-Plot'!C822-'Data-Plot'!D822)*$P$9)</f>
        <v/>
      </c>
      <c r="Q822" s="16" t="str">
        <f>IF('Data-Plot'!C822="","",MAX('Data-Plot'!$C$11:$C$1010)*(1+$Q$9/100))</f>
        <v/>
      </c>
      <c r="R822" s="16" t="str">
        <f>IF('Data-Plot'!C822="","",('Data-Plot'!C822-'Data-Plot'!D822)*$P$9)</f>
        <v/>
      </c>
    </row>
    <row r="823" spans="16:18" x14ac:dyDescent="0.3">
      <c r="P823" s="16" t="str">
        <f>IF('Data-Plot'!C823="","",$Q$11+('Data-Plot'!C823-'Data-Plot'!D823)*$P$9)</f>
        <v/>
      </c>
      <c r="Q823" s="16" t="str">
        <f>IF('Data-Plot'!C823="","",MAX('Data-Plot'!$C$11:$C$1010)*(1+$Q$9/100))</f>
        <v/>
      </c>
      <c r="R823" s="16" t="str">
        <f>IF('Data-Plot'!C823="","",('Data-Plot'!C823-'Data-Plot'!D823)*$P$9)</f>
        <v/>
      </c>
    </row>
    <row r="824" spans="16:18" x14ac:dyDescent="0.3">
      <c r="P824" s="16" t="str">
        <f>IF('Data-Plot'!C824="","",$Q$11+('Data-Plot'!C824-'Data-Plot'!D824)*$P$9)</f>
        <v/>
      </c>
      <c r="Q824" s="16" t="str">
        <f>IF('Data-Plot'!C824="","",MAX('Data-Plot'!$C$11:$C$1010)*(1+$Q$9/100))</f>
        <v/>
      </c>
      <c r="R824" s="16" t="str">
        <f>IF('Data-Plot'!C824="","",('Data-Plot'!C824-'Data-Plot'!D824)*$P$9)</f>
        <v/>
      </c>
    </row>
    <row r="825" spans="16:18" x14ac:dyDescent="0.3">
      <c r="P825" s="16" t="str">
        <f>IF('Data-Plot'!C825="","",$Q$11+('Data-Plot'!C825-'Data-Plot'!D825)*$P$9)</f>
        <v/>
      </c>
      <c r="Q825" s="16" t="str">
        <f>IF('Data-Plot'!C825="","",MAX('Data-Plot'!$C$11:$C$1010)*(1+$Q$9/100))</f>
        <v/>
      </c>
      <c r="R825" s="16" t="str">
        <f>IF('Data-Plot'!C825="","",('Data-Plot'!C825-'Data-Plot'!D825)*$P$9)</f>
        <v/>
      </c>
    </row>
    <row r="826" spans="16:18" x14ac:dyDescent="0.3">
      <c r="P826" s="16" t="str">
        <f>IF('Data-Plot'!C826="","",$Q$11+('Data-Plot'!C826-'Data-Plot'!D826)*$P$9)</f>
        <v/>
      </c>
      <c r="Q826" s="16" t="str">
        <f>IF('Data-Plot'!C826="","",MAX('Data-Plot'!$C$11:$C$1010)*(1+$Q$9/100))</f>
        <v/>
      </c>
      <c r="R826" s="16" t="str">
        <f>IF('Data-Plot'!C826="","",('Data-Plot'!C826-'Data-Plot'!D826)*$P$9)</f>
        <v/>
      </c>
    </row>
    <row r="827" spans="16:18" x14ac:dyDescent="0.3">
      <c r="P827" s="16" t="str">
        <f>IF('Data-Plot'!C827="","",$Q$11+('Data-Plot'!C827-'Data-Plot'!D827)*$P$9)</f>
        <v/>
      </c>
      <c r="Q827" s="16" t="str">
        <f>IF('Data-Plot'!C827="","",MAX('Data-Plot'!$C$11:$C$1010)*(1+$Q$9/100))</f>
        <v/>
      </c>
      <c r="R827" s="16" t="str">
        <f>IF('Data-Plot'!C827="","",('Data-Plot'!C827-'Data-Plot'!D827)*$P$9)</f>
        <v/>
      </c>
    </row>
    <row r="828" spans="16:18" x14ac:dyDescent="0.3">
      <c r="P828" s="16" t="str">
        <f>IF('Data-Plot'!C828="","",$Q$11+('Data-Plot'!C828-'Data-Plot'!D828)*$P$9)</f>
        <v/>
      </c>
      <c r="Q828" s="16" t="str">
        <f>IF('Data-Plot'!C828="","",MAX('Data-Plot'!$C$11:$C$1010)*(1+$Q$9/100))</f>
        <v/>
      </c>
      <c r="R828" s="16" t="str">
        <f>IF('Data-Plot'!C828="","",('Data-Plot'!C828-'Data-Plot'!D828)*$P$9)</f>
        <v/>
      </c>
    </row>
    <row r="829" spans="16:18" x14ac:dyDescent="0.3">
      <c r="P829" s="16" t="str">
        <f>IF('Data-Plot'!C829="","",$Q$11+('Data-Plot'!C829-'Data-Plot'!D829)*$P$9)</f>
        <v/>
      </c>
      <c r="Q829" s="16" t="str">
        <f>IF('Data-Plot'!C829="","",MAX('Data-Plot'!$C$11:$C$1010)*(1+$Q$9/100))</f>
        <v/>
      </c>
      <c r="R829" s="16" t="str">
        <f>IF('Data-Plot'!C829="","",('Data-Plot'!C829-'Data-Plot'!D829)*$P$9)</f>
        <v/>
      </c>
    </row>
    <row r="830" spans="16:18" x14ac:dyDescent="0.3">
      <c r="P830" s="16" t="str">
        <f>IF('Data-Plot'!C830="","",$Q$11+('Data-Plot'!C830-'Data-Plot'!D830)*$P$9)</f>
        <v/>
      </c>
      <c r="Q830" s="16" t="str">
        <f>IF('Data-Plot'!C830="","",MAX('Data-Plot'!$C$11:$C$1010)*(1+$Q$9/100))</f>
        <v/>
      </c>
      <c r="R830" s="16" t="str">
        <f>IF('Data-Plot'!C830="","",('Data-Plot'!C830-'Data-Plot'!D830)*$P$9)</f>
        <v/>
      </c>
    </row>
    <row r="831" spans="16:18" x14ac:dyDescent="0.3">
      <c r="P831" s="16" t="str">
        <f>IF('Data-Plot'!C831="","",$Q$11+('Data-Plot'!C831-'Data-Plot'!D831)*$P$9)</f>
        <v/>
      </c>
      <c r="Q831" s="16" t="str">
        <f>IF('Data-Plot'!C831="","",MAX('Data-Plot'!$C$11:$C$1010)*(1+$Q$9/100))</f>
        <v/>
      </c>
      <c r="R831" s="16" t="str">
        <f>IF('Data-Plot'!C831="","",('Data-Plot'!C831-'Data-Plot'!D831)*$P$9)</f>
        <v/>
      </c>
    </row>
    <row r="832" spans="16:18" x14ac:dyDescent="0.3">
      <c r="P832" s="16" t="str">
        <f>IF('Data-Plot'!C832="","",$Q$11+('Data-Plot'!C832-'Data-Plot'!D832)*$P$9)</f>
        <v/>
      </c>
      <c r="Q832" s="16" t="str">
        <f>IF('Data-Plot'!C832="","",MAX('Data-Plot'!$C$11:$C$1010)*(1+$Q$9/100))</f>
        <v/>
      </c>
      <c r="R832" s="16" t="str">
        <f>IF('Data-Plot'!C832="","",('Data-Plot'!C832-'Data-Plot'!D832)*$P$9)</f>
        <v/>
      </c>
    </row>
    <row r="833" spans="16:18" x14ac:dyDescent="0.3">
      <c r="P833" s="16" t="str">
        <f>IF('Data-Plot'!C833="","",$Q$11+('Data-Plot'!C833-'Data-Plot'!D833)*$P$9)</f>
        <v/>
      </c>
      <c r="Q833" s="16" t="str">
        <f>IF('Data-Plot'!C833="","",MAX('Data-Plot'!$C$11:$C$1010)*(1+$Q$9/100))</f>
        <v/>
      </c>
      <c r="R833" s="16" t="str">
        <f>IF('Data-Plot'!C833="","",('Data-Plot'!C833-'Data-Plot'!D833)*$P$9)</f>
        <v/>
      </c>
    </row>
    <row r="834" spans="16:18" x14ac:dyDescent="0.3">
      <c r="P834" s="16" t="str">
        <f>IF('Data-Plot'!C834="","",$Q$11+('Data-Plot'!C834-'Data-Plot'!D834)*$P$9)</f>
        <v/>
      </c>
      <c r="Q834" s="16" t="str">
        <f>IF('Data-Plot'!C834="","",MAX('Data-Plot'!$C$11:$C$1010)*(1+$Q$9/100))</f>
        <v/>
      </c>
      <c r="R834" s="16" t="str">
        <f>IF('Data-Plot'!C834="","",('Data-Plot'!C834-'Data-Plot'!D834)*$P$9)</f>
        <v/>
      </c>
    </row>
    <row r="835" spans="16:18" x14ac:dyDescent="0.3">
      <c r="P835" s="16" t="str">
        <f>IF('Data-Plot'!C835="","",$Q$11+('Data-Plot'!C835-'Data-Plot'!D835)*$P$9)</f>
        <v/>
      </c>
      <c r="Q835" s="16" t="str">
        <f>IF('Data-Plot'!C835="","",MAX('Data-Plot'!$C$11:$C$1010)*(1+$Q$9/100))</f>
        <v/>
      </c>
      <c r="R835" s="16" t="str">
        <f>IF('Data-Plot'!C835="","",('Data-Plot'!C835-'Data-Plot'!D835)*$P$9)</f>
        <v/>
      </c>
    </row>
    <row r="836" spans="16:18" x14ac:dyDescent="0.3">
      <c r="P836" s="16" t="str">
        <f>IF('Data-Plot'!C836="","",$Q$11+('Data-Plot'!C836-'Data-Plot'!D836)*$P$9)</f>
        <v/>
      </c>
      <c r="Q836" s="16" t="str">
        <f>IF('Data-Plot'!C836="","",MAX('Data-Plot'!$C$11:$C$1010)*(1+$Q$9/100))</f>
        <v/>
      </c>
      <c r="R836" s="16" t="str">
        <f>IF('Data-Plot'!C836="","",('Data-Plot'!C836-'Data-Plot'!D836)*$P$9)</f>
        <v/>
      </c>
    </row>
    <row r="837" spans="16:18" x14ac:dyDescent="0.3">
      <c r="P837" s="16" t="str">
        <f>IF('Data-Plot'!C837="","",$Q$11+('Data-Plot'!C837-'Data-Plot'!D837)*$P$9)</f>
        <v/>
      </c>
      <c r="Q837" s="16" t="str">
        <f>IF('Data-Plot'!C837="","",MAX('Data-Plot'!$C$11:$C$1010)*(1+$Q$9/100))</f>
        <v/>
      </c>
      <c r="R837" s="16" t="str">
        <f>IF('Data-Plot'!C837="","",('Data-Plot'!C837-'Data-Plot'!D837)*$P$9)</f>
        <v/>
      </c>
    </row>
    <row r="838" spans="16:18" x14ac:dyDescent="0.3">
      <c r="P838" s="16" t="str">
        <f>IF('Data-Plot'!C838="","",$Q$11+('Data-Plot'!C838-'Data-Plot'!D838)*$P$9)</f>
        <v/>
      </c>
      <c r="Q838" s="16" t="str">
        <f>IF('Data-Plot'!C838="","",MAX('Data-Plot'!$C$11:$C$1010)*(1+$Q$9/100))</f>
        <v/>
      </c>
      <c r="R838" s="16" t="str">
        <f>IF('Data-Plot'!C838="","",('Data-Plot'!C838-'Data-Plot'!D838)*$P$9)</f>
        <v/>
      </c>
    </row>
    <row r="839" spans="16:18" x14ac:dyDescent="0.3">
      <c r="P839" s="16" t="str">
        <f>IF('Data-Plot'!C839="","",$Q$11+('Data-Plot'!C839-'Data-Plot'!D839)*$P$9)</f>
        <v/>
      </c>
      <c r="Q839" s="16" t="str">
        <f>IF('Data-Plot'!C839="","",MAX('Data-Plot'!$C$11:$C$1010)*(1+$Q$9/100))</f>
        <v/>
      </c>
      <c r="R839" s="16" t="str">
        <f>IF('Data-Plot'!C839="","",('Data-Plot'!C839-'Data-Plot'!D839)*$P$9)</f>
        <v/>
      </c>
    </row>
    <row r="840" spans="16:18" x14ac:dyDescent="0.3">
      <c r="P840" s="16" t="str">
        <f>IF('Data-Plot'!C840="","",$Q$11+('Data-Plot'!C840-'Data-Plot'!D840)*$P$9)</f>
        <v/>
      </c>
      <c r="Q840" s="16" t="str">
        <f>IF('Data-Plot'!C840="","",MAX('Data-Plot'!$C$11:$C$1010)*(1+$Q$9/100))</f>
        <v/>
      </c>
      <c r="R840" s="16" t="str">
        <f>IF('Data-Plot'!C840="","",('Data-Plot'!C840-'Data-Plot'!D840)*$P$9)</f>
        <v/>
      </c>
    </row>
    <row r="841" spans="16:18" x14ac:dyDescent="0.3">
      <c r="P841" s="16" t="str">
        <f>IF('Data-Plot'!C841="","",$Q$11+('Data-Plot'!C841-'Data-Plot'!D841)*$P$9)</f>
        <v/>
      </c>
      <c r="Q841" s="16" t="str">
        <f>IF('Data-Plot'!C841="","",MAX('Data-Plot'!$C$11:$C$1010)*(1+$Q$9/100))</f>
        <v/>
      </c>
      <c r="R841" s="16" t="str">
        <f>IF('Data-Plot'!C841="","",('Data-Plot'!C841-'Data-Plot'!D841)*$P$9)</f>
        <v/>
      </c>
    </row>
    <row r="842" spans="16:18" x14ac:dyDescent="0.3">
      <c r="P842" s="16" t="str">
        <f>IF('Data-Plot'!C842="","",$Q$11+('Data-Plot'!C842-'Data-Plot'!D842)*$P$9)</f>
        <v/>
      </c>
      <c r="Q842" s="16" t="str">
        <f>IF('Data-Plot'!C842="","",MAX('Data-Plot'!$C$11:$C$1010)*(1+$Q$9/100))</f>
        <v/>
      </c>
      <c r="R842" s="16" t="str">
        <f>IF('Data-Plot'!C842="","",('Data-Plot'!C842-'Data-Plot'!D842)*$P$9)</f>
        <v/>
      </c>
    </row>
    <row r="843" spans="16:18" x14ac:dyDescent="0.3">
      <c r="P843" s="16" t="str">
        <f>IF('Data-Plot'!C843="","",$Q$11+('Data-Plot'!C843-'Data-Plot'!D843)*$P$9)</f>
        <v/>
      </c>
      <c r="Q843" s="16" t="str">
        <f>IF('Data-Plot'!C843="","",MAX('Data-Plot'!$C$11:$C$1010)*(1+$Q$9/100))</f>
        <v/>
      </c>
      <c r="R843" s="16" t="str">
        <f>IF('Data-Plot'!C843="","",('Data-Plot'!C843-'Data-Plot'!D843)*$P$9)</f>
        <v/>
      </c>
    </row>
    <row r="844" spans="16:18" x14ac:dyDescent="0.3">
      <c r="P844" s="16" t="str">
        <f>IF('Data-Plot'!C844="","",$Q$11+('Data-Plot'!C844-'Data-Plot'!D844)*$P$9)</f>
        <v/>
      </c>
      <c r="Q844" s="16" t="str">
        <f>IF('Data-Plot'!C844="","",MAX('Data-Plot'!$C$11:$C$1010)*(1+$Q$9/100))</f>
        <v/>
      </c>
      <c r="R844" s="16" t="str">
        <f>IF('Data-Plot'!C844="","",('Data-Plot'!C844-'Data-Plot'!D844)*$P$9)</f>
        <v/>
      </c>
    </row>
    <row r="845" spans="16:18" x14ac:dyDescent="0.3">
      <c r="P845" s="16" t="str">
        <f>IF('Data-Plot'!C845="","",$Q$11+('Data-Plot'!C845-'Data-Plot'!D845)*$P$9)</f>
        <v/>
      </c>
      <c r="Q845" s="16" t="str">
        <f>IF('Data-Plot'!C845="","",MAX('Data-Plot'!$C$11:$C$1010)*(1+$Q$9/100))</f>
        <v/>
      </c>
      <c r="R845" s="16" t="str">
        <f>IF('Data-Plot'!C845="","",('Data-Plot'!C845-'Data-Plot'!D845)*$P$9)</f>
        <v/>
      </c>
    </row>
    <row r="846" spans="16:18" x14ac:dyDescent="0.3">
      <c r="P846" s="16" t="str">
        <f>IF('Data-Plot'!C846="","",$Q$11+('Data-Plot'!C846-'Data-Plot'!D846)*$P$9)</f>
        <v/>
      </c>
      <c r="Q846" s="16" t="str">
        <f>IF('Data-Plot'!C846="","",MAX('Data-Plot'!$C$11:$C$1010)*(1+$Q$9/100))</f>
        <v/>
      </c>
      <c r="R846" s="16" t="str">
        <f>IF('Data-Plot'!C846="","",('Data-Plot'!C846-'Data-Plot'!D846)*$P$9)</f>
        <v/>
      </c>
    </row>
    <row r="847" spans="16:18" x14ac:dyDescent="0.3">
      <c r="P847" s="16" t="str">
        <f>IF('Data-Plot'!C847="","",$Q$11+('Data-Plot'!C847-'Data-Plot'!D847)*$P$9)</f>
        <v/>
      </c>
      <c r="Q847" s="16" t="str">
        <f>IF('Data-Plot'!C847="","",MAX('Data-Plot'!$C$11:$C$1010)*(1+$Q$9/100))</f>
        <v/>
      </c>
      <c r="R847" s="16" t="str">
        <f>IF('Data-Plot'!C847="","",('Data-Plot'!C847-'Data-Plot'!D847)*$P$9)</f>
        <v/>
      </c>
    </row>
    <row r="848" spans="16:18" x14ac:dyDescent="0.3">
      <c r="P848" s="16" t="str">
        <f>IF('Data-Plot'!C848="","",$Q$11+('Data-Plot'!C848-'Data-Plot'!D848)*$P$9)</f>
        <v/>
      </c>
      <c r="Q848" s="16" t="str">
        <f>IF('Data-Plot'!C848="","",MAX('Data-Plot'!$C$11:$C$1010)*(1+$Q$9/100))</f>
        <v/>
      </c>
      <c r="R848" s="16" t="str">
        <f>IF('Data-Plot'!C848="","",('Data-Plot'!C848-'Data-Plot'!D848)*$P$9)</f>
        <v/>
      </c>
    </row>
    <row r="849" spans="16:18" x14ac:dyDescent="0.3">
      <c r="P849" s="16" t="str">
        <f>IF('Data-Plot'!C849="","",$Q$11+('Data-Plot'!C849-'Data-Plot'!D849)*$P$9)</f>
        <v/>
      </c>
      <c r="Q849" s="16" t="str">
        <f>IF('Data-Plot'!C849="","",MAX('Data-Plot'!$C$11:$C$1010)*(1+$Q$9/100))</f>
        <v/>
      </c>
      <c r="R849" s="16" t="str">
        <f>IF('Data-Plot'!C849="","",('Data-Plot'!C849-'Data-Plot'!D849)*$P$9)</f>
        <v/>
      </c>
    </row>
    <row r="850" spans="16:18" x14ac:dyDescent="0.3">
      <c r="P850" s="16" t="str">
        <f>IF('Data-Plot'!C850="","",$Q$11+('Data-Plot'!C850-'Data-Plot'!D850)*$P$9)</f>
        <v/>
      </c>
      <c r="Q850" s="16" t="str">
        <f>IF('Data-Plot'!C850="","",MAX('Data-Plot'!$C$11:$C$1010)*(1+$Q$9/100))</f>
        <v/>
      </c>
      <c r="R850" s="16" t="str">
        <f>IF('Data-Plot'!C850="","",('Data-Plot'!C850-'Data-Plot'!D850)*$P$9)</f>
        <v/>
      </c>
    </row>
    <row r="851" spans="16:18" x14ac:dyDescent="0.3">
      <c r="P851" s="16" t="str">
        <f>IF('Data-Plot'!C851="","",$Q$11+('Data-Plot'!C851-'Data-Plot'!D851)*$P$9)</f>
        <v/>
      </c>
      <c r="Q851" s="16" t="str">
        <f>IF('Data-Plot'!C851="","",MAX('Data-Plot'!$C$11:$C$1010)*(1+$Q$9/100))</f>
        <v/>
      </c>
      <c r="R851" s="16" t="str">
        <f>IF('Data-Plot'!C851="","",('Data-Plot'!C851-'Data-Plot'!D851)*$P$9)</f>
        <v/>
      </c>
    </row>
    <row r="852" spans="16:18" x14ac:dyDescent="0.3">
      <c r="P852" s="16" t="str">
        <f>IF('Data-Plot'!C852="","",$Q$11+('Data-Plot'!C852-'Data-Plot'!D852)*$P$9)</f>
        <v/>
      </c>
      <c r="Q852" s="16" t="str">
        <f>IF('Data-Plot'!C852="","",MAX('Data-Plot'!$C$11:$C$1010)*(1+$Q$9/100))</f>
        <v/>
      </c>
      <c r="R852" s="16" t="str">
        <f>IF('Data-Plot'!C852="","",('Data-Plot'!C852-'Data-Plot'!D852)*$P$9)</f>
        <v/>
      </c>
    </row>
    <row r="853" spans="16:18" x14ac:dyDescent="0.3">
      <c r="P853" s="16" t="str">
        <f>IF('Data-Plot'!C853="","",$Q$11+('Data-Plot'!C853-'Data-Plot'!D853)*$P$9)</f>
        <v/>
      </c>
      <c r="Q853" s="16" t="str">
        <f>IF('Data-Plot'!C853="","",MAX('Data-Plot'!$C$11:$C$1010)*(1+$Q$9/100))</f>
        <v/>
      </c>
      <c r="R853" s="16" t="str">
        <f>IF('Data-Plot'!C853="","",('Data-Plot'!C853-'Data-Plot'!D853)*$P$9)</f>
        <v/>
      </c>
    </row>
    <row r="854" spans="16:18" x14ac:dyDescent="0.3">
      <c r="P854" s="16" t="str">
        <f>IF('Data-Plot'!C854="","",$Q$11+('Data-Plot'!C854-'Data-Plot'!D854)*$P$9)</f>
        <v/>
      </c>
      <c r="Q854" s="16" t="str">
        <f>IF('Data-Plot'!C854="","",MAX('Data-Plot'!$C$11:$C$1010)*(1+$Q$9/100))</f>
        <v/>
      </c>
      <c r="R854" s="16" t="str">
        <f>IF('Data-Plot'!C854="","",('Data-Plot'!C854-'Data-Plot'!D854)*$P$9)</f>
        <v/>
      </c>
    </row>
    <row r="855" spans="16:18" x14ac:dyDescent="0.3">
      <c r="P855" s="16" t="str">
        <f>IF('Data-Plot'!C855="","",$Q$11+('Data-Plot'!C855-'Data-Plot'!D855)*$P$9)</f>
        <v/>
      </c>
      <c r="Q855" s="16" t="str">
        <f>IF('Data-Plot'!C855="","",MAX('Data-Plot'!$C$11:$C$1010)*(1+$Q$9/100))</f>
        <v/>
      </c>
      <c r="R855" s="16" t="str">
        <f>IF('Data-Plot'!C855="","",('Data-Plot'!C855-'Data-Plot'!D855)*$P$9)</f>
        <v/>
      </c>
    </row>
    <row r="856" spans="16:18" x14ac:dyDescent="0.3">
      <c r="P856" s="16" t="str">
        <f>IF('Data-Plot'!C856="","",$Q$11+('Data-Plot'!C856-'Data-Plot'!D856)*$P$9)</f>
        <v/>
      </c>
      <c r="Q856" s="16" t="str">
        <f>IF('Data-Plot'!C856="","",MAX('Data-Plot'!$C$11:$C$1010)*(1+$Q$9/100))</f>
        <v/>
      </c>
      <c r="R856" s="16" t="str">
        <f>IF('Data-Plot'!C856="","",('Data-Plot'!C856-'Data-Plot'!D856)*$P$9)</f>
        <v/>
      </c>
    </row>
    <row r="857" spans="16:18" x14ac:dyDescent="0.3">
      <c r="P857" s="16" t="str">
        <f>IF('Data-Plot'!C857="","",$Q$11+('Data-Plot'!C857-'Data-Plot'!D857)*$P$9)</f>
        <v/>
      </c>
      <c r="Q857" s="16" t="str">
        <f>IF('Data-Plot'!C857="","",MAX('Data-Plot'!$C$11:$C$1010)*(1+$Q$9/100))</f>
        <v/>
      </c>
      <c r="R857" s="16" t="str">
        <f>IF('Data-Plot'!C857="","",('Data-Plot'!C857-'Data-Plot'!D857)*$P$9)</f>
        <v/>
      </c>
    </row>
    <row r="858" spans="16:18" x14ac:dyDescent="0.3">
      <c r="P858" s="16" t="str">
        <f>IF('Data-Plot'!C858="","",$Q$11+('Data-Plot'!C858-'Data-Plot'!D858)*$P$9)</f>
        <v/>
      </c>
      <c r="Q858" s="16" t="str">
        <f>IF('Data-Plot'!C858="","",MAX('Data-Plot'!$C$11:$C$1010)*(1+$Q$9/100))</f>
        <v/>
      </c>
      <c r="R858" s="16" t="str">
        <f>IF('Data-Plot'!C858="","",('Data-Plot'!C858-'Data-Plot'!D858)*$P$9)</f>
        <v/>
      </c>
    </row>
    <row r="859" spans="16:18" x14ac:dyDescent="0.3">
      <c r="P859" s="16" t="str">
        <f>IF('Data-Plot'!C859="","",$Q$11+('Data-Plot'!C859-'Data-Plot'!D859)*$P$9)</f>
        <v/>
      </c>
      <c r="Q859" s="16" t="str">
        <f>IF('Data-Plot'!C859="","",MAX('Data-Plot'!$C$11:$C$1010)*(1+$Q$9/100))</f>
        <v/>
      </c>
      <c r="R859" s="16" t="str">
        <f>IF('Data-Plot'!C859="","",('Data-Plot'!C859-'Data-Plot'!D859)*$P$9)</f>
        <v/>
      </c>
    </row>
    <row r="860" spans="16:18" x14ac:dyDescent="0.3">
      <c r="P860" s="16" t="str">
        <f>IF('Data-Plot'!C860="","",$Q$11+('Data-Plot'!C860-'Data-Plot'!D860)*$P$9)</f>
        <v/>
      </c>
      <c r="Q860" s="16" t="str">
        <f>IF('Data-Plot'!C860="","",MAX('Data-Plot'!$C$11:$C$1010)*(1+$Q$9/100))</f>
        <v/>
      </c>
      <c r="R860" s="16" t="str">
        <f>IF('Data-Plot'!C860="","",('Data-Plot'!C860-'Data-Plot'!D860)*$P$9)</f>
        <v/>
      </c>
    </row>
    <row r="861" spans="16:18" x14ac:dyDescent="0.3">
      <c r="P861" s="16" t="str">
        <f>IF('Data-Plot'!C861="","",$Q$11+('Data-Plot'!C861-'Data-Plot'!D861)*$P$9)</f>
        <v/>
      </c>
      <c r="Q861" s="16" t="str">
        <f>IF('Data-Plot'!C861="","",MAX('Data-Plot'!$C$11:$C$1010)*(1+$Q$9/100))</f>
        <v/>
      </c>
      <c r="R861" s="16" t="str">
        <f>IF('Data-Plot'!C861="","",('Data-Plot'!C861-'Data-Plot'!D861)*$P$9)</f>
        <v/>
      </c>
    </row>
    <row r="862" spans="16:18" x14ac:dyDescent="0.3">
      <c r="P862" s="16" t="str">
        <f>IF('Data-Plot'!C862="","",$Q$11+('Data-Plot'!C862-'Data-Plot'!D862)*$P$9)</f>
        <v/>
      </c>
      <c r="Q862" s="16" t="str">
        <f>IF('Data-Plot'!C862="","",MAX('Data-Plot'!$C$11:$C$1010)*(1+$Q$9/100))</f>
        <v/>
      </c>
      <c r="R862" s="16" t="str">
        <f>IF('Data-Plot'!C862="","",('Data-Plot'!C862-'Data-Plot'!D862)*$P$9)</f>
        <v/>
      </c>
    </row>
    <row r="863" spans="16:18" x14ac:dyDescent="0.3">
      <c r="P863" s="16" t="str">
        <f>IF('Data-Plot'!C863="","",$Q$11+('Data-Plot'!C863-'Data-Plot'!D863)*$P$9)</f>
        <v/>
      </c>
      <c r="Q863" s="16" t="str">
        <f>IF('Data-Plot'!C863="","",MAX('Data-Plot'!$C$11:$C$1010)*(1+$Q$9/100))</f>
        <v/>
      </c>
      <c r="R863" s="16" t="str">
        <f>IF('Data-Plot'!C863="","",('Data-Plot'!C863-'Data-Plot'!D863)*$P$9)</f>
        <v/>
      </c>
    </row>
    <row r="864" spans="16:18" x14ac:dyDescent="0.3">
      <c r="P864" s="16" t="str">
        <f>IF('Data-Plot'!C864="","",$Q$11+('Data-Plot'!C864-'Data-Plot'!D864)*$P$9)</f>
        <v/>
      </c>
      <c r="Q864" s="16" t="str">
        <f>IF('Data-Plot'!C864="","",MAX('Data-Plot'!$C$11:$C$1010)*(1+$Q$9/100))</f>
        <v/>
      </c>
      <c r="R864" s="16" t="str">
        <f>IF('Data-Plot'!C864="","",('Data-Plot'!C864-'Data-Plot'!D864)*$P$9)</f>
        <v/>
      </c>
    </row>
    <row r="865" spans="16:18" x14ac:dyDescent="0.3">
      <c r="P865" s="16" t="str">
        <f>IF('Data-Plot'!C865="","",$Q$11+('Data-Plot'!C865-'Data-Plot'!D865)*$P$9)</f>
        <v/>
      </c>
      <c r="Q865" s="16" t="str">
        <f>IF('Data-Plot'!C865="","",MAX('Data-Plot'!$C$11:$C$1010)*(1+$Q$9/100))</f>
        <v/>
      </c>
      <c r="R865" s="16" t="str">
        <f>IF('Data-Plot'!C865="","",('Data-Plot'!C865-'Data-Plot'!D865)*$P$9)</f>
        <v/>
      </c>
    </row>
    <row r="866" spans="16:18" x14ac:dyDescent="0.3">
      <c r="P866" s="16" t="str">
        <f>IF('Data-Plot'!C866="","",$Q$11+('Data-Plot'!C866-'Data-Plot'!D866)*$P$9)</f>
        <v/>
      </c>
      <c r="Q866" s="16" t="str">
        <f>IF('Data-Plot'!C866="","",MAX('Data-Plot'!$C$11:$C$1010)*(1+$Q$9/100))</f>
        <v/>
      </c>
      <c r="R866" s="16" t="str">
        <f>IF('Data-Plot'!C866="","",('Data-Plot'!C866-'Data-Plot'!D866)*$P$9)</f>
        <v/>
      </c>
    </row>
    <row r="867" spans="16:18" x14ac:dyDescent="0.3">
      <c r="P867" s="16" t="str">
        <f>IF('Data-Plot'!C867="","",$Q$11+('Data-Plot'!C867-'Data-Plot'!D867)*$P$9)</f>
        <v/>
      </c>
      <c r="Q867" s="16" t="str">
        <f>IF('Data-Plot'!C867="","",MAX('Data-Plot'!$C$11:$C$1010)*(1+$Q$9/100))</f>
        <v/>
      </c>
      <c r="R867" s="16" t="str">
        <f>IF('Data-Plot'!C867="","",('Data-Plot'!C867-'Data-Plot'!D867)*$P$9)</f>
        <v/>
      </c>
    </row>
    <row r="868" spans="16:18" x14ac:dyDescent="0.3">
      <c r="P868" s="16" t="str">
        <f>IF('Data-Plot'!C868="","",$Q$11+('Data-Plot'!C868-'Data-Plot'!D868)*$P$9)</f>
        <v/>
      </c>
      <c r="Q868" s="16" t="str">
        <f>IF('Data-Plot'!C868="","",MAX('Data-Plot'!$C$11:$C$1010)*(1+$Q$9/100))</f>
        <v/>
      </c>
      <c r="R868" s="16" t="str">
        <f>IF('Data-Plot'!C868="","",('Data-Plot'!C868-'Data-Plot'!D868)*$P$9)</f>
        <v/>
      </c>
    </row>
    <row r="869" spans="16:18" x14ac:dyDescent="0.3">
      <c r="P869" s="16" t="str">
        <f>IF('Data-Plot'!C869="","",$Q$11+('Data-Plot'!C869-'Data-Plot'!D869)*$P$9)</f>
        <v/>
      </c>
      <c r="Q869" s="16" t="str">
        <f>IF('Data-Plot'!C869="","",MAX('Data-Plot'!$C$11:$C$1010)*(1+$Q$9/100))</f>
        <v/>
      </c>
      <c r="R869" s="16" t="str">
        <f>IF('Data-Plot'!C869="","",('Data-Plot'!C869-'Data-Plot'!D869)*$P$9)</f>
        <v/>
      </c>
    </row>
    <row r="870" spans="16:18" x14ac:dyDescent="0.3">
      <c r="P870" s="16" t="str">
        <f>IF('Data-Plot'!C870="","",$Q$11+('Data-Plot'!C870-'Data-Plot'!D870)*$P$9)</f>
        <v/>
      </c>
      <c r="Q870" s="16" t="str">
        <f>IF('Data-Plot'!C870="","",MAX('Data-Plot'!$C$11:$C$1010)*(1+$Q$9/100))</f>
        <v/>
      </c>
      <c r="R870" s="16" t="str">
        <f>IF('Data-Plot'!C870="","",('Data-Plot'!C870-'Data-Plot'!D870)*$P$9)</f>
        <v/>
      </c>
    </row>
    <row r="871" spans="16:18" x14ac:dyDescent="0.3">
      <c r="P871" s="16" t="str">
        <f>IF('Data-Plot'!C871="","",$Q$11+('Data-Plot'!C871-'Data-Plot'!D871)*$P$9)</f>
        <v/>
      </c>
      <c r="Q871" s="16" t="str">
        <f>IF('Data-Plot'!C871="","",MAX('Data-Plot'!$C$11:$C$1010)*(1+$Q$9/100))</f>
        <v/>
      </c>
      <c r="R871" s="16" t="str">
        <f>IF('Data-Plot'!C871="","",('Data-Plot'!C871-'Data-Plot'!D871)*$P$9)</f>
        <v/>
      </c>
    </row>
    <row r="872" spans="16:18" x14ac:dyDescent="0.3">
      <c r="P872" s="16" t="str">
        <f>IF('Data-Plot'!C872="","",$Q$11+('Data-Plot'!C872-'Data-Plot'!D872)*$P$9)</f>
        <v/>
      </c>
      <c r="Q872" s="16" t="str">
        <f>IF('Data-Plot'!C872="","",MAX('Data-Plot'!$C$11:$C$1010)*(1+$Q$9/100))</f>
        <v/>
      </c>
      <c r="R872" s="16" t="str">
        <f>IF('Data-Plot'!C872="","",('Data-Plot'!C872-'Data-Plot'!D872)*$P$9)</f>
        <v/>
      </c>
    </row>
    <row r="873" spans="16:18" x14ac:dyDescent="0.3">
      <c r="P873" s="16" t="str">
        <f>IF('Data-Plot'!C873="","",$Q$11+('Data-Plot'!C873-'Data-Plot'!D873)*$P$9)</f>
        <v/>
      </c>
      <c r="Q873" s="16" t="str">
        <f>IF('Data-Plot'!C873="","",MAX('Data-Plot'!$C$11:$C$1010)*(1+$Q$9/100))</f>
        <v/>
      </c>
      <c r="R873" s="16" t="str">
        <f>IF('Data-Plot'!C873="","",('Data-Plot'!C873-'Data-Plot'!D873)*$P$9)</f>
        <v/>
      </c>
    </row>
    <row r="874" spans="16:18" x14ac:dyDescent="0.3">
      <c r="P874" s="16" t="str">
        <f>IF('Data-Plot'!C874="","",$Q$11+('Data-Plot'!C874-'Data-Plot'!D874)*$P$9)</f>
        <v/>
      </c>
      <c r="Q874" s="16" t="str">
        <f>IF('Data-Plot'!C874="","",MAX('Data-Plot'!$C$11:$C$1010)*(1+$Q$9/100))</f>
        <v/>
      </c>
      <c r="R874" s="16" t="str">
        <f>IF('Data-Plot'!C874="","",('Data-Plot'!C874-'Data-Plot'!D874)*$P$9)</f>
        <v/>
      </c>
    </row>
    <row r="875" spans="16:18" x14ac:dyDescent="0.3">
      <c r="P875" s="16" t="str">
        <f>IF('Data-Plot'!C875="","",$Q$11+('Data-Plot'!C875-'Data-Plot'!D875)*$P$9)</f>
        <v/>
      </c>
      <c r="Q875" s="16" t="str">
        <f>IF('Data-Plot'!C875="","",MAX('Data-Plot'!$C$11:$C$1010)*(1+$Q$9/100))</f>
        <v/>
      </c>
      <c r="R875" s="16" t="str">
        <f>IF('Data-Plot'!C875="","",('Data-Plot'!C875-'Data-Plot'!D875)*$P$9)</f>
        <v/>
      </c>
    </row>
    <row r="876" spans="16:18" x14ac:dyDescent="0.3">
      <c r="P876" s="16" t="str">
        <f>IF('Data-Plot'!C876="","",$Q$11+('Data-Plot'!C876-'Data-Plot'!D876)*$P$9)</f>
        <v/>
      </c>
      <c r="Q876" s="16" t="str">
        <f>IF('Data-Plot'!C876="","",MAX('Data-Plot'!$C$11:$C$1010)*(1+$Q$9/100))</f>
        <v/>
      </c>
      <c r="R876" s="16" t="str">
        <f>IF('Data-Plot'!C876="","",('Data-Plot'!C876-'Data-Plot'!D876)*$P$9)</f>
        <v/>
      </c>
    </row>
    <row r="877" spans="16:18" x14ac:dyDescent="0.3">
      <c r="P877" s="16" t="str">
        <f>IF('Data-Plot'!C877="","",$Q$11+('Data-Plot'!C877-'Data-Plot'!D877)*$P$9)</f>
        <v/>
      </c>
      <c r="Q877" s="16" t="str">
        <f>IF('Data-Plot'!C877="","",MAX('Data-Plot'!$C$11:$C$1010)*(1+$Q$9/100))</f>
        <v/>
      </c>
      <c r="R877" s="16" t="str">
        <f>IF('Data-Plot'!C877="","",('Data-Plot'!C877-'Data-Plot'!D877)*$P$9)</f>
        <v/>
      </c>
    </row>
    <row r="878" spans="16:18" x14ac:dyDescent="0.3">
      <c r="P878" s="16" t="str">
        <f>IF('Data-Plot'!C878="","",$Q$11+('Data-Plot'!C878-'Data-Plot'!D878)*$P$9)</f>
        <v/>
      </c>
      <c r="Q878" s="16" t="str">
        <f>IF('Data-Plot'!C878="","",MAX('Data-Plot'!$C$11:$C$1010)*(1+$Q$9/100))</f>
        <v/>
      </c>
      <c r="R878" s="16" t="str">
        <f>IF('Data-Plot'!C878="","",('Data-Plot'!C878-'Data-Plot'!D878)*$P$9)</f>
        <v/>
      </c>
    </row>
    <row r="879" spans="16:18" x14ac:dyDescent="0.3">
      <c r="P879" s="16" t="str">
        <f>IF('Data-Plot'!C879="","",$Q$11+('Data-Plot'!C879-'Data-Plot'!D879)*$P$9)</f>
        <v/>
      </c>
      <c r="Q879" s="16" t="str">
        <f>IF('Data-Plot'!C879="","",MAX('Data-Plot'!$C$11:$C$1010)*(1+$Q$9/100))</f>
        <v/>
      </c>
      <c r="R879" s="16" t="str">
        <f>IF('Data-Plot'!C879="","",('Data-Plot'!C879-'Data-Plot'!D879)*$P$9)</f>
        <v/>
      </c>
    </row>
    <row r="880" spans="16:18" x14ac:dyDescent="0.3">
      <c r="P880" s="16" t="str">
        <f>IF('Data-Plot'!C880="","",$Q$11+('Data-Plot'!C880-'Data-Plot'!D880)*$P$9)</f>
        <v/>
      </c>
      <c r="Q880" s="16" t="str">
        <f>IF('Data-Plot'!C880="","",MAX('Data-Plot'!$C$11:$C$1010)*(1+$Q$9/100))</f>
        <v/>
      </c>
      <c r="R880" s="16" t="str">
        <f>IF('Data-Plot'!C880="","",('Data-Plot'!C880-'Data-Plot'!D880)*$P$9)</f>
        <v/>
      </c>
    </row>
    <row r="881" spans="16:18" x14ac:dyDescent="0.3">
      <c r="P881" s="16" t="str">
        <f>IF('Data-Plot'!C881="","",$Q$11+('Data-Plot'!C881-'Data-Plot'!D881)*$P$9)</f>
        <v/>
      </c>
      <c r="Q881" s="16" t="str">
        <f>IF('Data-Plot'!C881="","",MAX('Data-Plot'!$C$11:$C$1010)*(1+$Q$9/100))</f>
        <v/>
      </c>
      <c r="R881" s="16" t="str">
        <f>IF('Data-Plot'!C881="","",('Data-Plot'!C881-'Data-Plot'!D881)*$P$9)</f>
        <v/>
      </c>
    </row>
    <row r="882" spans="16:18" x14ac:dyDescent="0.3">
      <c r="P882" s="16" t="str">
        <f>IF('Data-Plot'!C882="","",$Q$11+('Data-Plot'!C882-'Data-Plot'!D882)*$P$9)</f>
        <v/>
      </c>
      <c r="Q882" s="16" t="str">
        <f>IF('Data-Plot'!C882="","",MAX('Data-Plot'!$C$11:$C$1010)*(1+$Q$9/100))</f>
        <v/>
      </c>
      <c r="R882" s="16" t="str">
        <f>IF('Data-Plot'!C882="","",('Data-Plot'!C882-'Data-Plot'!D882)*$P$9)</f>
        <v/>
      </c>
    </row>
    <row r="883" spans="16:18" x14ac:dyDescent="0.3">
      <c r="P883" s="16" t="str">
        <f>IF('Data-Plot'!C883="","",$Q$11+('Data-Plot'!C883-'Data-Plot'!D883)*$P$9)</f>
        <v/>
      </c>
      <c r="Q883" s="16" t="str">
        <f>IF('Data-Plot'!C883="","",MAX('Data-Plot'!$C$11:$C$1010)*(1+$Q$9/100))</f>
        <v/>
      </c>
      <c r="R883" s="16" t="str">
        <f>IF('Data-Plot'!C883="","",('Data-Plot'!C883-'Data-Plot'!D883)*$P$9)</f>
        <v/>
      </c>
    </row>
    <row r="884" spans="16:18" x14ac:dyDescent="0.3">
      <c r="P884" s="16" t="str">
        <f>IF('Data-Plot'!C884="","",$Q$11+('Data-Plot'!C884-'Data-Plot'!D884)*$P$9)</f>
        <v/>
      </c>
      <c r="Q884" s="16" t="str">
        <f>IF('Data-Plot'!C884="","",MAX('Data-Plot'!$C$11:$C$1010)*(1+$Q$9/100))</f>
        <v/>
      </c>
      <c r="R884" s="16" t="str">
        <f>IF('Data-Plot'!C884="","",('Data-Plot'!C884-'Data-Plot'!D884)*$P$9)</f>
        <v/>
      </c>
    </row>
    <row r="885" spans="16:18" x14ac:dyDescent="0.3">
      <c r="P885" s="16" t="str">
        <f>IF('Data-Plot'!C885="","",$Q$11+('Data-Plot'!C885-'Data-Plot'!D885)*$P$9)</f>
        <v/>
      </c>
      <c r="Q885" s="16" t="str">
        <f>IF('Data-Plot'!C885="","",MAX('Data-Plot'!$C$11:$C$1010)*(1+$Q$9/100))</f>
        <v/>
      </c>
      <c r="R885" s="16" t="str">
        <f>IF('Data-Plot'!C885="","",('Data-Plot'!C885-'Data-Plot'!D885)*$P$9)</f>
        <v/>
      </c>
    </row>
    <row r="886" spans="16:18" x14ac:dyDescent="0.3">
      <c r="P886" s="16" t="str">
        <f>IF('Data-Plot'!C886="","",$Q$11+('Data-Plot'!C886-'Data-Plot'!D886)*$P$9)</f>
        <v/>
      </c>
      <c r="Q886" s="16" t="str">
        <f>IF('Data-Plot'!C886="","",MAX('Data-Plot'!$C$11:$C$1010)*(1+$Q$9/100))</f>
        <v/>
      </c>
      <c r="R886" s="16" t="str">
        <f>IF('Data-Plot'!C886="","",('Data-Plot'!C886-'Data-Plot'!D886)*$P$9)</f>
        <v/>
      </c>
    </row>
    <row r="887" spans="16:18" x14ac:dyDescent="0.3">
      <c r="P887" s="16" t="str">
        <f>IF('Data-Plot'!C887="","",$Q$11+('Data-Plot'!C887-'Data-Plot'!D887)*$P$9)</f>
        <v/>
      </c>
      <c r="Q887" s="16" t="str">
        <f>IF('Data-Plot'!C887="","",MAX('Data-Plot'!$C$11:$C$1010)*(1+$Q$9/100))</f>
        <v/>
      </c>
      <c r="R887" s="16" t="str">
        <f>IF('Data-Plot'!C887="","",('Data-Plot'!C887-'Data-Plot'!D887)*$P$9)</f>
        <v/>
      </c>
    </row>
    <row r="888" spans="16:18" x14ac:dyDescent="0.3">
      <c r="P888" s="16" t="str">
        <f>IF('Data-Plot'!C888="","",$Q$11+('Data-Plot'!C888-'Data-Plot'!D888)*$P$9)</f>
        <v/>
      </c>
      <c r="Q888" s="16" t="str">
        <f>IF('Data-Plot'!C888="","",MAX('Data-Plot'!$C$11:$C$1010)*(1+$Q$9/100))</f>
        <v/>
      </c>
      <c r="R888" s="16" t="str">
        <f>IF('Data-Plot'!C888="","",('Data-Plot'!C888-'Data-Plot'!D888)*$P$9)</f>
        <v/>
      </c>
    </row>
    <row r="889" spans="16:18" x14ac:dyDescent="0.3">
      <c r="P889" s="16" t="str">
        <f>IF('Data-Plot'!C889="","",$Q$11+('Data-Plot'!C889-'Data-Plot'!D889)*$P$9)</f>
        <v/>
      </c>
      <c r="Q889" s="16" t="str">
        <f>IF('Data-Plot'!C889="","",MAX('Data-Plot'!$C$11:$C$1010)*(1+$Q$9/100))</f>
        <v/>
      </c>
      <c r="R889" s="16" t="str">
        <f>IF('Data-Plot'!C889="","",('Data-Plot'!C889-'Data-Plot'!D889)*$P$9)</f>
        <v/>
      </c>
    </row>
    <row r="890" spans="16:18" x14ac:dyDescent="0.3">
      <c r="P890" s="16" t="str">
        <f>IF('Data-Plot'!C890="","",$Q$11+('Data-Plot'!C890-'Data-Plot'!D890)*$P$9)</f>
        <v/>
      </c>
      <c r="Q890" s="16" t="str">
        <f>IF('Data-Plot'!C890="","",MAX('Data-Plot'!$C$11:$C$1010)*(1+$Q$9/100))</f>
        <v/>
      </c>
      <c r="R890" s="16" t="str">
        <f>IF('Data-Plot'!C890="","",('Data-Plot'!C890-'Data-Plot'!D890)*$P$9)</f>
        <v/>
      </c>
    </row>
    <row r="891" spans="16:18" x14ac:dyDescent="0.3">
      <c r="P891" s="16" t="str">
        <f>IF('Data-Plot'!C891="","",$Q$11+('Data-Plot'!C891-'Data-Plot'!D891)*$P$9)</f>
        <v/>
      </c>
      <c r="Q891" s="16" t="str">
        <f>IF('Data-Plot'!C891="","",MAX('Data-Plot'!$C$11:$C$1010)*(1+$Q$9/100))</f>
        <v/>
      </c>
      <c r="R891" s="16" t="str">
        <f>IF('Data-Plot'!C891="","",('Data-Plot'!C891-'Data-Plot'!D891)*$P$9)</f>
        <v/>
      </c>
    </row>
    <row r="892" spans="16:18" x14ac:dyDescent="0.3">
      <c r="P892" s="16" t="str">
        <f>IF('Data-Plot'!C892="","",$Q$11+('Data-Plot'!C892-'Data-Plot'!D892)*$P$9)</f>
        <v/>
      </c>
      <c r="Q892" s="16" t="str">
        <f>IF('Data-Plot'!C892="","",MAX('Data-Plot'!$C$11:$C$1010)*(1+$Q$9/100))</f>
        <v/>
      </c>
      <c r="R892" s="16" t="str">
        <f>IF('Data-Plot'!C892="","",('Data-Plot'!C892-'Data-Plot'!D892)*$P$9)</f>
        <v/>
      </c>
    </row>
    <row r="893" spans="16:18" x14ac:dyDescent="0.3">
      <c r="P893" s="16" t="str">
        <f>IF('Data-Plot'!C893="","",$Q$11+('Data-Plot'!C893-'Data-Plot'!D893)*$P$9)</f>
        <v/>
      </c>
      <c r="Q893" s="16" t="str">
        <f>IF('Data-Plot'!C893="","",MAX('Data-Plot'!$C$11:$C$1010)*(1+$Q$9/100))</f>
        <v/>
      </c>
      <c r="R893" s="16" t="str">
        <f>IF('Data-Plot'!C893="","",('Data-Plot'!C893-'Data-Plot'!D893)*$P$9)</f>
        <v/>
      </c>
    </row>
    <row r="894" spans="16:18" x14ac:dyDescent="0.3">
      <c r="P894" s="16" t="str">
        <f>IF('Data-Plot'!C894="","",$Q$11+('Data-Plot'!C894-'Data-Plot'!D894)*$P$9)</f>
        <v/>
      </c>
      <c r="Q894" s="16" t="str">
        <f>IF('Data-Plot'!C894="","",MAX('Data-Plot'!$C$11:$C$1010)*(1+$Q$9/100))</f>
        <v/>
      </c>
      <c r="R894" s="16" t="str">
        <f>IF('Data-Plot'!C894="","",('Data-Plot'!C894-'Data-Plot'!D894)*$P$9)</f>
        <v/>
      </c>
    </row>
    <row r="895" spans="16:18" x14ac:dyDescent="0.3">
      <c r="P895" s="16" t="str">
        <f>IF('Data-Plot'!C895="","",$Q$11+('Data-Plot'!C895-'Data-Plot'!D895)*$P$9)</f>
        <v/>
      </c>
      <c r="Q895" s="16" t="str">
        <f>IF('Data-Plot'!C895="","",MAX('Data-Plot'!$C$11:$C$1010)*(1+$Q$9/100))</f>
        <v/>
      </c>
      <c r="R895" s="16" t="str">
        <f>IF('Data-Plot'!C895="","",('Data-Plot'!C895-'Data-Plot'!D895)*$P$9)</f>
        <v/>
      </c>
    </row>
    <row r="896" spans="16:18" x14ac:dyDescent="0.3">
      <c r="P896" s="16" t="str">
        <f>IF('Data-Plot'!C896="","",$Q$11+('Data-Plot'!C896-'Data-Plot'!D896)*$P$9)</f>
        <v/>
      </c>
      <c r="Q896" s="16" t="str">
        <f>IF('Data-Plot'!C896="","",MAX('Data-Plot'!$C$11:$C$1010)*(1+$Q$9/100))</f>
        <v/>
      </c>
      <c r="R896" s="16" t="str">
        <f>IF('Data-Plot'!C896="","",('Data-Plot'!C896-'Data-Plot'!D896)*$P$9)</f>
        <v/>
      </c>
    </row>
    <row r="897" spans="16:18" x14ac:dyDescent="0.3">
      <c r="P897" s="16" t="str">
        <f>IF('Data-Plot'!C897="","",$Q$11+('Data-Plot'!C897-'Data-Plot'!D897)*$P$9)</f>
        <v/>
      </c>
      <c r="Q897" s="16" t="str">
        <f>IF('Data-Plot'!C897="","",MAX('Data-Plot'!$C$11:$C$1010)*(1+$Q$9/100))</f>
        <v/>
      </c>
      <c r="R897" s="16" t="str">
        <f>IF('Data-Plot'!C897="","",('Data-Plot'!C897-'Data-Plot'!D897)*$P$9)</f>
        <v/>
      </c>
    </row>
    <row r="898" spans="16:18" x14ac:dyDescent="0.3">
      <c r="P898" s="16" t="str">
        <f>IF('Data-Plot'!C898="","",$Q$11+('Data-Plot'!C898-'Data-Plot'!D898)*$P$9)</f>
        <v/>
      </c>
      <c r="Q898" s="16" t="str">
        <f>IF('Data-Plot'!C898="","",MAX('Data-Plot'!$C$11:$C$1010)*(1+$Q$9/100))</f>
        <v/>
      </c>
      <c r="R898" s="16" t="str">
        <f>IF('Data-Plot'!C898="","",('Data-Plot'!C898-'Data-Plot'!D898)*$P$9)</f>
        <v/>
      </c>
    </row>
    <row r="899" spans="16:18" x14ac:dyDescent="0.3">
      <c r="P899" s="16" t="str">
        <f>IF('Data-Plot'!C899="","",$Q$11+('Data-Plot'!C899-'Data-Plot'!D899)*$P$9)</f>
        <v/>
      </c>
      <c r="Q899" s="16" t="str">
        <f>IF('Data-Plot'!C899="","",MAX('Data-Plot'!$C$11:$C$1010)*(1+$Q$9/100))</f>
        <v/>
      </c>
      <c r="R899" s="16" t="str">
        <f>IF('Data-Plot'!C899="","",('Data-Plot'!C899-'Data-Plot'!D899)*$P$9)</f>
        <v/>
      </c>
    </row>
    <row r="900" spans="16:18" x14ac:dyDescent="0.3">
      <c r="P900" s="16" t="str">
        <f>IF('Data-Plot'!C900="","",$Q$11+('Data-Plot'!C900-'Data-Plot'!D900)*$P$9)</f>
        <v/>
      </c>
      <c r="Q900" s="16" t="str">
        <f>IF('Data-Plot'!C900="","",MAX('Data-Plot'!$C$11:$C$1010)*(1+$Q$9/100))</f>
        <v/>
      </c>
      <c r="R900" s="16" t="str">
        <f>IF('Data-Plot'!C900="","",('Data-Plot'!C900-'Data-Plot'!D900)*$P$9)</f>
        <v/>
      </c>
    </row>
    <row r="901" spans="16:18" x14ac:dyDescent="0.3">
      <c r="P901" s="16" t="str">
        <f>IF('Data-Plot'!C901="","",$Q$11+('Data-Plot'!C901-'Data-Plot'!D901)*$P$9)</f>
        <v/>
      </c>
      <c r="Q901" s="16" t="str">
        <f>IF('Data-Plot'!C901="","",MAX('Data-Plot'!$C$11:$C$1010)*(1+$Q$9/100))</f>
        <v/>
      </c>
      <c r="R901" s="16" t="str">
        <f>IF('Data-Plot'!C901="","",('Data-Plot'!C901-'Data-Plot'!D901)*$P$9)</f>
        <v/>
      </c>
    </row>
    <row r="902" spans="16:18" x14ac:dyDescent="0.3">
      <c r="P902" s="16" t="str">
        <f>IF('Data-Plot'!C902="","",$Q$11+('Data-Plot'!C902-'Data-Plot'!D902)*$P$9)</f>
        <v/>
      </c>
      <c r="Q902" s="16" t="str">
        <f>IF('Data-Plot'!C902="","",MAX('Data-Plot'!$C$11:$C$1010)*(1+$Q$9/100))</f>
        <v/>
      </c>
      <c r="R902" s="16" t="str">
        <f>IF('Data-Plot'!C902="","",('Data-Plot'!C902-'Data-Plot'!D902)*$P$9)</f>
        <v/>
      </c>
    </row>
    <row r="903" spans="16:18" x14ac:dyDescent="0.3">
      <c r="P903" s="16" t="str">
        <f>IF('Data-Plot'!C903="","",$Q$11+('Data-Plot'!C903-'Data-Plot'!D903)*$P$9)</f>
        <v/>
      </c>
      <c r="Q903" s="16" t="str">
        <f>IF('Data-Plot'!C903="","",MAX('Data-Plot'!$C$11:$C$1010)*(1+$Q$9/100))</f>
        <v/>
      </c>
      <c r="R903" s="16" t="str">
        <f>IF('Data-Plot'!C903="","",('Data-Plot'!C903-'Data-Plot'!D903)*$P$9)</f>
        <v/>
      </c>
    </row>
    <row r="904" spans="16:18" x14ac:dyDescent="0.3">
      <c r="P904" s="16" t="str">
        <f>IF('Data-Plot'!C904="","",$Q$11+('Data-Plot'!C904-'Data-Plot'!D904)*$P$9)</f>
        <v/>
      </c>
      <c r="Q904" s="16" t="str">
        <f>IF('Data-Plot'!C904="","",MAX('Data-Plot'!$C$11:$C$1010)*(1+$Q$9/100))</f>
        <v/>
      </c>
      <c r="R904" s="16" t="str">
        <f>IF('Data-Plot'!C904="","",('Data-Plot'!C904-'Data-Plot'!D904)*$P$9)</f>
        <v/>
      </c>
    </row>
    <row r="905" spans="16:18" x14ac:dyDescent="0.3">
      <c r="P905" s="16" t="str">
        <f>IF('Data-Plot'!C905="","",$Q$11+('Data-Plot'!C905-'Data-Plot'!D905)*$P$9)</f>
        <v/>
      </c>
      <c r="Q905" s="16" t="str">
        <f>IF('Data-Plot'!C905="","",MAX('Data-Plot'!$C$11:$C$1010)*(1+$Q$9/100))</f>
        <v/>
      </c>
      <c r="R905" s="16" t="str">
        <f>IF('Data-Plot'!C905="","",('Data-Plot'!C905-'Data-Plot'!D905)*$P$9)</f>
        <v/>
      </c>
    </row>
    <row r="906" spans="16:18" x14ac:dyDescent="0.3">
      <c r="P906" s="16" t="str">
        <f>IF('Data-Plot'!C906="","",$Q$11+('Data-Plot'!C906-'Data-Plot'!D906)*$P$9)</f>
        <v/>
      </c>
      <c r="Q906" s="16" t="str">
        <f>IF('Data-Plot'!C906="","",MAX('Data-Plot'!$C$11:$C$1010)*(1+$Q$9/100))</f>
        <v/>
      </c>
      <c r="R906" s="16" t="str">
        <f>IF('Data-Plot'!C906="","",('Data-Plot'!C906-'Data-Plot'!D906)*$P$9)</f>
        <v/>
      </c>
    </row>
    <row r="907" spans="16:18" x14ac:dyDescent="0.3">
      <c r="P907" s="16" t="str">
        <f>IF('Data-Plot'!C907="","",$Q$11+('Data-Plot'!C907-'Data-Plot'!D907)*$P$9)</f>
        <v/>
      </c>
      <c r="Q907" s="16" t="str">
        <f>IF('Data-Plot'!C907="","",MAX('Data-Plot'!$C$11:$C$1010)*(1+$Q$9/100))</f>
        <v/>
      </c>
      <c r="R907" s="16" t="str">
        <f>IF('Data-Plot'!C907="","",('Data-Plot'!C907-'Data-Plot'!D907)*$P$9)</f>
        <v/>
      </c>
    </row>
    <row r="908" spans="16:18" x14ac:dyDescent="0.3">
      <c r="P908" s="16" t="str">
        <f>IF('Data-Plot'!C908="","",$Q$11+('Data-Plot'!C908-'Data-Plot'!D908)*$P$9)</f>
        <v/>
      </c>
      <c r="Q908" s="16" t="str">
        <f>IF('Data-Plot'!C908="","",MAX('Data-Plot'!$C$11:$C$1010)*(1+$Q$9/100))</f>
        <v/>
      </c>
      <c r="R908" s="16" t="str">
        <f>IF('Data-Plot'!C908="","",('Data-Plot'!C908-'Data-Plot'!D908)*$P$9)</f>
        <v/>
      </c>
    </row>
    <row r="909" spans="16:18" x14ac:dyDescent="0.3">
      <c r="P909" s="16" t="str">
        <f>IF('Data-Plot'!C909="","",$Q$11+('Data-Plot'!C909-'Data-Plot'!D909)*$P$9)</f>
        <v/>
      </c>
      <c r="Q909" s="16" t="str">
        <f>IF('Data-Plot'!C909="","",MAX('Data-Plot'!$C$11:$C$1010)*(1+$Q$9/100))</f>
        <v/>
      </c>
      <c r="R909" s="16" t="str">
        <f>IF('Data-Plot'!C909="","",('Data-Plot'!C909-'Data-Plot'!D909)*$P$9)</f>
        <v/>
      </c>
    </row>
    <row r="910" spans="16:18" x14ac:dyDescent="0.3">
      <c r="P910" s="16" t="str">
        <f>IF('Data-Plot'!C910="","",$Q$11+('Data-Plot'!C910-'Data-Plot'!D910)*$P$9)</f>
        <v/>
      </c>
      <c r="Q910" s="16" t="str">
        <f>IF('Data-Plot'!C910="","",MAX('Data-Plot'!$C$11:$C$1010)*(1+$Q$9/100))</f>
        <v/>
      </c>
      <c r="R910" s="16" t="str">
        <f>IF('Data-Plot'!C910="","",('Data-Plot'!C910-'Data-Plot'!D910)*$P$9)</f>
        <v/>
      </c>
    </row>
    <row r="911" spans="16:18" x14ac:dyDescent="0.3">
      <c r="P911" s="16" t="str">
        <f>IF('Data-Plot'!C911="","",$Q$11+('Data-Plot'!C911-'Data-Plot'!D911)*$P$9)</f>
        <v/>
      </c>
      <c r="Q911" s="16" t="str">
        <f>IF('Data-Plot'!C911="","",MAX('Data-Plot'!$C$11:$C$1010)*(1+$Q$9/100))</f>
        <v/>
      </c>
      <c r="R911" s="16" t="str">
        <f>IF('Data-Plot'!C911="","",('Data-Plot'!C911-'Data-Plot'!D911)*$P$9)</f>
        <v/>
      </c>
    </row>
    <row r="912" spans="16:18" x14ac:dyDescent="0.3">
      <c r="P912" s="16" t="str">
        <f>IF('Data-Plot'!C912="","",$Q$11+('Data-Plot'!C912-'Data-Plot'!D912)*$P$9)</f>
        <v/>
      </c>
      <c r="Q912" s="16" t="str">
        <f>IF('Data-Plot'!C912="","",MAX('Data-Plot'!$C$11:$C$1010)*(1+$Q$9/100))</f>
        <v/>
      </c>
      <c r="R912" s="16" t="str">
        <f>IF('Data-Plot'!C912="","",('Data-Plot'!C912-'Data-Plot'!D912)*$P$9)</f>
        <v/>
      </c>
    </row>
    <row r="913" spans="16:18" x14ac:dyDescent="0.3">
      <c r="P913" s="16" t="str">
        <f>IF('Data-Plot'!C913="","",$Q$11+('Data-Plot'!C913-'Data-Plot'!D913)*$P$9)</f>
        <v/>
      </c>
      <c r="Q913" s="16" t="str">
        <f>IF('Data-Plot'!C913="","",MAX('Data-Plot'!$C$11:$C$1010)*(1+$Q$9/100))</f>
        <v/>
      </c>
      <c r="R913" s="16" t="str">
        <f>IF('Data-Plot'!C913="","",('Data-Plot'!C913-'Data-Plot'!D913)*$P$9)</f>
        <v/>
      </c>
    </row>
    <row r="914" spans="16:18" x14ac:dyDescent="0.3">
      <c r="P914" s="16" t="str">
        <f>IF('Data-Plot'!C914="","",$Q$11+('Data-Plot'!C914-'Data-Plot'!D914)*$P$9)</f>
        <v/>
      </c>
      <c r="Q914" s="16" t="str">
        <f>IF('Data-Plot'!C914="","",MAX('Data-Plot'!$C$11:$C$1010)*(1+$Q$9/100))</f>
        <v/>
      </c>
      <c r="R914" s="16" t="str">
        <f>IF('Data-Plot'!C914="","",('Data-Plot'!C914-'Data-Plot'!D914)*$P$9)</f>
        <v/>
      </c>
    </row>
    <row r="915" spans="16:18" x14ac:dyDescent="0.3">
      <c r="P915" s="16" t="str">
        <f>IF('Data-Plot'!C915="","",$Q$11+('Data-Plot'!C915-'Data-Plot'!D915)*$P$9)</f>
        <v/>
      </c>
      <c r="Q915" s="16" t="str">
        <f>IF('Data-Plot'!C915="","",MAX('Data-Plot'!$C$11:$C$1010)*(1+$Q$9/100))</f>
        <v/>
      </c>
      <c r="R915" s="16" t="str">
        <f>IF('Data-Plot'!C915="","",('Data-Plot'!C915-'Data-Plot'!D915)*$P$9)</f>
        <v/>
      </c>
    </row>
    <row r="916" spans="16:18" x14ac:dyDescent="0.3">
      <c r="P916" s="16" t="str">
        <f>IF('Data-Plot'!C916="","",$Q$11+('Data-Plot'!C916-'Data-Plot'!D916)*$P$9)</f>
        <v/>
      </c>
      <c r="Q916" s="16" t="str">
        <f>IF('Data-Plot'!C916="","",MAX('Data-Plot'!$C$11:$C$1010)*(1+$Q$9/100))</f>
        <v/>
      </c>
      <c r="R916" s="16" t="str">
        <f>IF('Data-Plot'!C916="","",('Data-Plot'!C916-'Data-Plot'!D916)*$P$9)</f>
        <v/>
      </c>
    </row>
    <row r="917" spans="16:18" x14ac:dyDescent="0.3">
      <c r="P917" s="16" t="str">
        <f>IF('Data-Plot'!C917="","",$Q$11+('Data-Plot'!C917-'Data-Plot'!D917)*$P$9)</f>
        <v/>
      </c>
      <c r="Q917" s="16" t="str">
        <f>IF('Data-Plot'!C917="","",MAX('Data-Plot'!$C$11:$C$1010)*(1+$Q$9/100))</f>
        <v/>
      </c>
      <c r="R917" s="16" t="str">
        <f>IF('Data-Plot'!C917="","",('Data-Plot'!C917-'Data-Plot'!D917)*$P$9)</f>
        <v/>
      </c>
    </row>
    <row r="918" spans="16:18" x14ac:dyDescent="0.3">
      <c r="P918" s="16" t="str">
        <f>IF('Data-Plot'!C918="","",$Q$11+('Data-Plot'!C918-'Data-Plot'!D918)*$P$9)</f>
        <v/>
      </c>
      <c r="Q918" s="16" t="str">
        <f>IF('Data-Plot'!C918="","",MAX('Data-Plot'!$C$11:$C$1010)*(1+$Q$9/100))</f>
        <v/>
      </c>
      <c r="R918" s="16" t="str">
        <f>IF('Data-Plot'!C918="","",('Data-Plot'!C918-'Data-Plot'!D918)*$P$9)</f>
        <v/>
      </c>
    </row>
    <row r="919" spans="16:18" x14ac:dyDescent="0.3">
      <c r="P919" s="16" t="str">
        <f>IF('Data-Plot'!C919="","",$Q$11+('Data-Plot'!C919-'Data-Plot'!D919)*$P$9)</f>
        <v/>
      </c>
      <c r="Q919" s="16" t="str">
        <f>IF('Data-Plot'!C919="","",MAX('Data-Plot'!$C$11:$C$1010)*(1+$Q$9/100))</f>
        <v/>
      </c>
      <c r="R919" s="16" t="str">
        <f>IF('Data-Plot'!C919="","",('Data-Plot'!C919-'Data-Plot'!D919)*$P$9)</f>
        <v/>
      </c>
    </row>
    <row r="920" spans="16:18" x14ac:dyDescent="0.3">
      <c r="P920" s="16" t="str">
        <f>IF('Data-Plot'!C920="","",$Q$11+('Data-Plot'!C920-'Data-Plot'!D920)*$P$9)</f>
        <v/>
      </c>
      <c r="Q920" s="16" t="str">
        <f>IF('Data-Plot'!C920="","",MAX('Data-Plot'!$C$11:$C$1010)*(1+$Q$9/100))</f>
        <v/>
      </c>
      <c r="R920" s="16" t="str">
        <f>IF('Data-Plot'!C920="","",('Data-Plot'!C920-'Data-Plot'!D920)*$P$9)</f>
        <v/>
      </c>
    </row>
    <row r="921" spans="16:18" x14ac:dyDescent="0.3">
      <c r="P921" s="16" t="str">
        <f>IF('Data-Plot'!C921="","",$Q$11+('Data-Plot'!C921-'Data-Plot'!D921)*$P$9)</f>
        <v/>
      </c>
      <c r="Q921" s="16" t="str">
        <f>IF('Data-Plot'!C921="","",MAX('Data-Plot'!$C$11:$C$1010)*(1+$Q$9/100))</f>
        <v/>
      </c>
      <c r="R921" s="16" t="str">
        <f>IF('Data-Plot'!C921="","",('Data-Plot'!C921-'Data-Plot'!D921)*$P$9)</f>
        <v/>
      </c>
    </row>
    <row r="922" spans="16:18" x14ac:dyDescent="0.3">
      <c r="P922" s="16" t="str">
        <f>IF('Data-Plot'!C922="","",$Q$11+('Data-Plot'!C922-'Data-Plot'!D922)*$P$9)</f>
        <v/>
      </c>
      <c r="Q922" s="16" t="str">
        <f>IF('Data-Plot'!C922="","",MAX('Data-Plot'!$C$11:$C$1010)*(1+$Q$9/100))</f>
        <v/>
      </c>
      <c r="R922" s="16" t="str">
        <f>IF('Data-Plot'!C922="","",('Data-Plot'!C922-'Data-Plot'!D922)*$P$9)</f>
        <v/>
      </c>
    </row>
    <row r="923" spans="16:18" x14ac:dyDescent="0.3">
      <c r="P923" s="16" t="str">
        <f>IF('Data-Plot'!C923="","",$Q$11+('Data-Plot'!C923-'Data-Plot'!D923)*$P$9)</f>
        <v/>
      </c>
      <c r="Q923" s="16" t="str">
        <f>IF('Data-Plot'!C923="","",MAX('Data-Plot'!$C$11:$C$1010)*(1+$Q$9/100))</f>
        <v/>
      </c>
      <c r="R923" s="16" t="str">
        <f>IF('Data-Plot'!C923="","",('Data-Plot'!C923-'Data-Plot'!D923)*$P$9)</f>
        <v/>
      </c>
    </row>
    <row r="924" spans="16:18" x14ac:dyDescent="0.3">
      <c r="P924" s="16" t="str">
        <f>IF('Data-Plot'!C924="","",$Q$11+('Data-Plot'!C924-'Data-Plot'!D924)*$P$9)</f>
        <v/>
      </c>
      <c r="Q924" s="16" t="str">
        <f>IF('Data-Plot'!C924="","",MAX('Data-Plot'!$C$11:$C$1010)*(1+$Q$9/100))</f>
        <v/>
      </c>
      <c r="R924" s="16" t="str">
        <f>IF('Data-Plot'!C924="","",('Data-Plot'!C924-'Data-Plot'!D924)*$P$9)</f>
        <v/>
      </c>
    </row>
    <row r="925" spans="16:18" x14ac:dyDescent="0.3">
      <c r="P925" s="16" t="str">
        <f>IF('Data-Plot'!C925="","",$Q$11+('Data-Plot'!C925-'Data-Plot'!D925)*$P$9)</f>
        <v/>
      </c>
      <c r="Q925" s="16" t="str">
        <f>IF('Data-Plot'!C925="","",MAX('Data-Plot'!$C$11:$C$1010)*(1+$Q$9/100))</f>
        <v/>
      </c>
      <c r="R925" s="16" t="str">
        <f>IF('Data-Plot'!C925="","",('Data-Plot'!C925-'Data-Plot'!D925)*$P$9)</f>
        <v/>
      </c>
    </row>
    <row r="926" spans="16:18" x14ac:dyDescent="0.3">
      <c r="P926" s="16" t="str">
        <f>IF('Data-Plot'!C926="","",$Q$11+('Data-Plot'!C926-'Data-Plot'!D926)*$P$9)</f>
        <v/>
      </c>
      <c r="Q926" s="16" t="str">
        <f>IF('Data-Plot'!C926="","",MAX('Data-Plot'!$C$11:$C$1010)*(1+$Q$9/100))</f>
        <v/>
      </c>
      <c r="R926" s="16" t="str">
        <f>IF('Data-Plot'!C926="","",('Data-Plot'!C926-'Data-Plot'!D926)*$P$9)</f>
        <v/>
      </c>
    </row>
    <row r="927" spans="16:18" x14ac:dyDescent="0.3">
      <c r="P927" s="16" t="str">
        <f>IF('Data-Plot'!C927="","",$Q$11+('Data-Plot'!C927-'Data-Plot'!D927)*$P$9)</f>
        <v/>
      </c>
      <c r="Q927" s="16" t="str">
        <f>IF('Data-Plot'!C927="","",MAX('Data-Plot'!$C$11:$C$1010)*(1+$Q$9/100))</f>
        <v/>
      </c>
      <c r="R927" s="16" t="str">
        <f>IF('Data-Plot'!C927="","",('Data-Plot'!C927-'Data-Plot'!D927)*$P$9)</f>
        <v/>
      </c>
    </row>
    <row r="928" spans="16:18" x14ac:dyDescent="0.3">
      <c r="P928" s="16" t="str">
        <f>IF('Data-Plot'!C928="","",$Q$11+('Data-Plot'!C928-'Data-Plot'!D928)*$P$9)</f>
        <v/>
      </c>
      <c r="Q928" s="16" t="str">
        <f>IF('Data-Plot'!C928="","",MAX('Data-Plot'!$C$11:$C$1010)*(1+$Q$9/100))</f>
        <v/>
      </c>
      <c r="R928" s="16" t="str">
        <f>IF('Data-Plot'!C928="","",('Data-Plot'!C928-'Data-Plot'!D928)*$P$9)</f>
        <v/>
      </c>
    </row>
    <row r="929" spans="16:18" x14ac:dyDescent="0.3">
      <c r="P929" s="16" t="str">
        <f>IF('Data-Plot'!C929="","",$Q$11+('Data-Plot'!C929-'Data-Plot'!D929)*$P$9)</f>
        <v/>
      </c>
      <c r="Q929" s="16" t="str">
        <f>IF('Data-Plot'!C929="","",MAX('Data-Plot'!$C$11:$C$1010)*(1+$Q$9/100))</f>
        <v/>
      </c>
      <c r="R929" s="16" t="str">
        <f>IF('Data-Plot'!C929="","",('Data-Plot'!C929-'Data-Plot'!D929)*$P$9)</f>
        <v/>
      </c>
    </row>
    <row r="930" spans="16:18" x14ac:dyDescent="0.3">
      <c r="P930" s="16" t="str">
        <f>IF('Data-Plot'!C930="","",$Q$11+('Data-Plot'!C930-'Data-Plot'!D930)*$P$9)</f>
        <v/>
      </c>
      <c r="Q930" s="16" t="str">
        <f>IF('Data-Plot'!C930="","",MAX('Data-Plot'!$C$11:$C$1010)*(1+$Q$9/100))</f>
        <v/>
      </c>
      <c r="R930" s="16" t="str">
        <f>IF('Data-Plot'!C930="","",('Data-Plot'!C930-'Data-Plot'!D930)*$P$9)</f>
        <v/>
      </c>
    </row>
    <row r="931" spans="16:18" x14ac:dyDescent="0.3">
      <c r="P931" s="16" t="str">
        <f>IF('Data-Plot'!C931="","",$Q$11+('Data-Plot'!C931-'Data-Plot'!D931)*$P$9)</f>
        <v/>
      </c>
      <c r="Q931" s="16" t="str">
        <f>IF('Data-Plot'!C931="","",MAX('Data-Plot'!$C$11:$C$1010)*(1+$Q$9/100))</f>
        <v/>
      </c>
      <c r="R931" s="16" t="str">
        <f>IF('Data-Plot'!C931="","",('Data-Plot'!C931-'Data-Plot'!D931)*$P$9)</f>
        <v/>
      </c>
    </row>
    <row r="932" spans="16:18" x14ac:dyDescent="0.3">
      <c r="P932" s="16" t="str">
        <f>IF('Data-Plot'!C932="","",$Q$11+('Data-Plot'!C932-'Data-Plot'!D932)*$P$9)</f>
        <v/>
      </c>
      <c r="Q932" s="16" t="str">
        <f>IF('Data-Plot'!C932="","",MAX('Data-Plot'!$C$11:$C$1010)*(1+$Q$9/100))</f>
        <v/>
      </c>
      <c r="R932" s="16" t="str">
        <f>IF('Data-Plot'!C932="","",('Data-Plot'!C932-'Data-Plot'!D932)*$P$9)</f>
        <v/>
      </c>
    </row>
    <row r="933" spans="16:18" x14ac:dyDescent="0.3">
      <c r="P933" s="16" t="str">
        <f>IF('Data-Plot'!C933="","",$Q$11+('Data-Plot'!C933-'Data-Plot'!D933)*$P$9)</f>
        <v/>
      </c>
      <c r="Q933" s="16" t="str">
        <f>IF('Data-Plot'!C933="","",MAX('Data-Plot'!$C$11:$C$1010)*(1+$Q$9/100))</f>
        <v/>
      </c>
      <c r="R933" s="16" t="str">
        <f>IF('Data-Plot'!C933="","",('Data-Plot'!C933-'Data-Plot'!D933)*$P$9)</f>
        <v/>
      </c>
    </row>
    <row r="934" spans="16:18" x14ac:dyDescent="0.3">
      <c r="P934" s="16" t="str">
        <f>IF('Data-Plot'!C934="","",$Q$11+('Data-Plot'!C934-'Data-Plot'!D934)*$P$9)</f>
        <v/>
      </c>
      <c r="Q934" s="16" t="str">
        <f>IF('Data-Plot'!C934="","",MAX('Data-Plot'!$C$11:$C$1010)*(1+$Q$9/100))</f>
        <v/>
      </c>
      <c r="R934" s="16" t="str">
        <f>IF('Data-Plot'!C934="","",('Data-Plot'!C934-'Data-Plot'!D934)*$P$9)</f>
        <v/>
      </c>
    </row>
    <row r="935" spans="16:18" x14ac:dyDescent="0.3">
      <c r="P935" s="16" t="str">
        <f>IF('Data-Plot'!C935="","",$Q$11+('Data-Plot'!C935-'Data-Plot'!D935)*$P$9)</f>
        <v/>
      </c>
      <c r="Q935" s="16" t="str">
        <f>IF('Data-Plot'!C935="","",MAX('Data-Plot'!$C$11:$C$1010)*(1+$Q$9/100))</f>
        <v/>
      </c>
      <c r="R935" s="16" t="str">
        <f>IF('Data-Plot'!C935="","",('Data-Plot'!C935-'Data-Plot'!D935)*$P$9)</f>
        <v/>
      </c>
    </row>
    <row r="936" spans="16:18" x14ac:dyDescent="0.3">
      <c r="P936" s="16" t="str">
        <f>IF('Data-Plot'!C936="","",$Q$11+('Data-Plot'!C936-'Data-Plot'!D936)*$P$9)</f>
        <v/>
      </c>
      <c r="Q936" s="16" t="str">
        <f>IF('Data-Plot'!C936="","",MAX('Data-Plot'!$C$11:$C$1010)*(1+$Q$9/100))</f>
        <v/>
      </c>
      <c r="R936" s="16" t="str">
        <f>IF('Data-Plot'!C936="","",('Data-Plot'!C936-'Data-Plot'!D936)*$P$9)</f>
        <v/>
      </c>
    </row>
    <row r="937" spans="16:18" x14ac:dyDescent="0.3">
      <c r="P937" s="16" t="str">
        <f>IF('Data-Plot'!C937="","",$Q$11+('Data-Plot'!C937-'Data-Plot'!D937)*$P$9)</f>
        <v/>
      </c>
      <c r="Q937" s="16" t="str">
        <f>IF('Data-Plot'!C937="","",MAX('Data-Plot'!$C$11:$C$1010)*(1+$Q$9/100))</f>
        <v/>
      </c>
      <c r="R937" s="16" t="str">
        <f>IF('Data-Plot'!C937="","",('Data-Plot'!C937-'Data-Plot'!D937)*$P$9)</f>
        <v/>
      </c>
    </row>
    <row r="938" spans="16:18" x14ac:dyDescent="0.3">
      <c r="P938" s="16" t="str">
        <f>IF('Data-Plot'!C938="","",$Q$11+('Data-Plot'!C938-'Data-Plot'!D938)*$P$9)</f>
        <v/>
      </c>
      <c r="Q938" s="16" t="str">
        <f>IF('Data-Plot'!C938="","",MAX('Data-Plot'!$C$11:$C$1010)*(1+$Q$9/100))</f>
        <v/>
      </c>
      <c r="R938" s="16" t="str">
        <f>IF('Data-Plot'!C938="","",('Data-Plot'!C938-'Data-Plot'!D938)*$P$9)</f>
        <v/>
      </c>
    </row>
    <row r="939" spans="16:18" x14ac:dyDescent="0.3">
      <c r="P939" s="16" t="str">
        <f>IF('Data-Plot'!C939="","",$Q$11+('Data-Plot'!C939-'Data-Plot'!D939)*$P$9)</f>
        <v/>
      </c>
      <c r="Q939" s="16" t="str">
        <f>IF('Data-Plot'!C939="","",MAX('Data-Plot'!$C$11:$C$1010)*(1+$Q$9/100))</f>
        <v/>
      </c>
      <c r="R939" s="16" t="str">
        <f>IF('Data-Plot'!C939="","",('Data-Plot'!C939-'Data-Plot'!D939)*$P$9)</f>
        <v/>
      </c>
    </row>
    <row r="940" spans="16:18" x14ac:dyDescent="0.3">
      <c r="P940" s="16" t="str">
        <f>IF('Data-Plot'!C940="","",$Q$11+('Data-Plot'!C940-'Data-Plot'!D940)*$P$9)</f>
        <v/>
      </c>
      <c r="Q940" s="16" t="str">
        <f>IF('Data-Plot'!C940="","",MAX('Data-Plot'!$C$11:$C$1010)*(1+$Q$9/100))</f>
        <v/>
      </c>
      <c r="R940" s="16" t="str">
        <f>IF('Data-Plot'!C940="","",('Data-Plot'!C940-'Data-Plot'!D940)*$P$9)</f>
        <v/>
      </c>
    </row>
    <row r="941" spans="16:18" x14ac:dyDescent="0.3">
      <c r="P941" s="16" t="str">
        <f>IF('Data-Plot'!C941="","",$Q$11+('Data-Plot'!C941-'Data-Plot'!D941)*$P$9)</f>
        <v/>
      </c>
      <c r="Q941" s="16" t="str">
        <f>IF('Data-Plot'!C941="","",MAX('Data-Plot'!$C$11:$C$1010)*(1+$Q$9/100))</f>
        <v/>
      </c>
      <c r="R941" s="16" t="str">
        <f>IF('Data-Plot'!C941="","",('Data-Plot'!C941-'Data-Plot'!D941)*$P$9)</f>
        <v/>
      </c>
    </row>
    <row r="942" spans="16:18" x14ac:dyDescent="0.3">
      <c r="P942" s="16" t="str">
        <f>IF('Data-Plot'!C942="","",$Q$11+('Data-Plot'!C942-'Data-Plot'!D942)*$P$9)</f>
        <v/>
      </c>
      <c r="Q942" s="16" t="str">
        <f>IF('Data-Plot'!C942="","",MAX('Data-Plot'!$C$11:$C$1010)*(1+$Q$9/100))</f>
        <v/>
      </c>
      <c r="R942" s="16" t="str">
        <f>IF('Data-Plot'!C942="","",('Data-Plot'!C942-'Data-Plot'!D942)*$P$9)</f>
        <v/>
      </c>
    </row>
    <row r="943" spans="16:18" x14ac:dyDescent="0.3">
      <c r="P943" s="16" t="str">
        <f>IF('Data-Plot'!C943="","",$Q$11+('Data-Plot'!C943-'Data-Plot'!D943)*$P$9)</f>
        <v/>
      </c>
      <c r="Q943" s="16" t="str">
        <f>IF('Data-Plot'!C943="","",MAX('Data-Plot'!$C$11:$C$1010)*(1+$Q$9/100))</f>
        <v/>
      </c>
      <c r="R943" s="16" t="str">
        <f>IF('Data-Plot'!C943="","",('Data-Plot'!C943-'Data-Plot'!D943)*$P$9)</f>
        <v/>
      </c>
    </row>
    <row r="944" spans="16:18" x14ac:dyDescent="0.3">
      <c r="P944" s="16" t="str">
        <f>IF('Data-Plot'!C944="","",$Q$11+('Data-Plot'!C944-'Data-Plot'!D944)*$P$9)</f>
        <v/>
      </c>
      <c r="Q944" s="16" t="str">
        <f>IF('Data-Plot'!C944="","",MAX('Data-Plot'!$C$11:$C$1010)*(1+$Q$9/100))</f>
        <v/>
      </c>
      <c r="R944" s="16" t="str">
        <f>IF('Data-Plot'!C944="","",('Data-Plot'!C944-'Data-Plot'!D944)*$P$9)</f>
        <v/>
      </c>
    </row>
    <row r="945" spans="16:18" x14ac:dyDescent="0.3">
      <c r="P945" s="16" t="str">
        <f>IF('Data-Plot'!C945="","",$Q$11+('Data-Plot'!C945-'Data-Plot'!D945)*$P$9)</f>
        <v/>
      </c>
      <c r="Q945" s="16" t="str">
        <f>IF('Data-Plot'!C945="","",MAX('Data-Plot'!$C$11:$C$1010)*(1+$Q$9/100))</f>
        <v/>
      </c>
      <c r="R945" s="16" t="str">
        <f>IF('Data-Plot'!C945="","",('Data-Plot'!C945-'Data-Plot'!D945)*$P$9)</f>
        <v/>
      </c>
    </row>
    <row r="946" spans="16:18" x14ac:dyDescent="0.3">
      <c r="P946" s="16" t="str">
        <f>IF('Data-Plot'!C946="","",$Q$11+('Data-Plot'!C946-'Data-Plot'!D946)*$P$9)</f>
        <v/>
      </c>
      <c r="Q946" s="16" t="str">
        <f>IF('Data-Plot'!C946="","",MAX('Data-Plot'!$C$11:$C$1010)*(1+$Q$9/100))</f>
        <v/>
      </c>
      <c r="R946" s="16" t="str">
        <f>IF('Data-Plot'!C946="","",('Data-Plot'!C946-'Data-Plot'!D946)*$P$9)</f>
        <v/>
      </c>
    </row>
    <row r="947" spans="16:18" x14ac:dyDescent="0.3">
      <c r="P947" s="16" t="str">
        <f>IF('Data-Plot'!C947="","",$Q$11+('Data-Plot'!C947-'Data-Plot'!D947)*$P$9)</f>
        <v/>
      </c>
      <c r="Q947" s="16" t="str">
        <f>IF('Data-Plot'!C947="","",MAX('Data-Plot'!$C$11:$C$1010)*(1+$Q$9/100))</f>
        <v/>
      </c>
      <c r="R947" s="16" t="str">
        <f>IF('Data-Plot'!C947="","",('Data-Plot'!C947-'Data-Plot'!D947)*$P$9)</f>
        <v/>
      </c>
    </row>
    <row r="948" spans="16:18" x14ac:dyDescent="0.3">
      <c r="P948" s="16" t="str">
        <f>IF('Data-Plot'!C948="","",$Q$11+('Data-Plot'!C948-'Data-Plot'!D948)*$P$9)</f>
        <v/>
      </c>
      <c r="Q948" s="16" t="str">
        <f>IF('Data-Plot'!C948="","",MAX('Data-Plot'!$C$11:$C$1010)*(1+$Q$9/100))</f>
        <v/>
      </c>
      <c r="R948" s="16" t="str">
        <f>IF('Data-Plot'!C948="","",('Data-Plot'!C948-'Data-Plot'!D948)*$P$9)</f>
        <v/>
      </c>
    </row>
    <row r="949" spans="16:18" x14ac:dyDescent="0.3">
      <c r="P949" s="16" t="str">
        <f>IF('Data-Plot'!C949="","",$Q$11+('Data-Plot'!C949-'Data-Plot'!D949)*$P$9)</f>
        <v/>
      </c>
      <c r="Q949" s="16" t="str">
        <f>IF('Data-Plot'!C949="","",MAX('Data-Plot'!$C$11:$C$1010)*(1+$Q$9/100))</f>
        <v/>
      </c>
      <c r="R949" s="16" t="str">
        <f>IF('Data-Plot'!C949="","",('Data-Plot'!C949-'Data-Plot'!D949)*$P$9)</f>
        <v/>
      </c>
    </row>
    <row r="950" spans="16:18" x14ac:dyDescent="0.3">
      <c r="P950" s="16" t="str">
        <f>IF('Data-Plot'!C950="","",$Q$11+('Data-Plot'!C950-'Data-Plot'!D950)*$P$9)</f>
        <v/>
      </c>
      <c r="Q950" s="16" t="str">
        <f>IF('Data-Plot'!C950="","",MAX('Data-Plot'!$C$11:$C$1010)*(1+$Q$9/100))</f>
        <v/>
      </c>
      <c r="R950" s="16" t="str">
        <f>IF('Data-Plot'!C950="","",('Data-Plot'!C950-'Data-Plot'!D950)*$P$9)</f>
        <v/>
      </c>
    </row>
    <row r="951" spans="16:18" x14ac:dyDescent="0.3">
      <c r="P951" s="16" t="str">
        <f>IF('Data-Plot'!C951="","",$Q$11+('Data-Plot'!C951-'Data-Plot'!D951)*$P$9)</f>
        <v/>
      </c>
      <c r="Q951" s="16" t="str">
        <f>IF('Data-Plot'!C951="","",MAX('Data-Plot'!$C$11:$C$1010)*(1+$Q$9/100))</f>
        <v/>
      </c>
      <c r="R951" s="16" t="str">
        <f>IF('Data-Plot'!C951="","",('Data-Plot'!C951-'Data-Plot'!D951)*$P$9)</f>
        <v/>
      </c>
    </row>
    <row r="952" spans="16:18" x14ac:dyDescent="0.3">
      <c r="P952" s="16" t="str">
        <f>IF('Data-Plot'!C952="","",$Q$11+('Data-Plot'!C952-'Data-Plot'!D952)*$P$9)</f>
        <v/>
      </c>
      <c r="Q952" s="16" t="str">
        <f>IF('Data-Plot'!C952="","",MAX('Data-Plot'!$C$11:$C$1010)*(1+$Q$9/100))</f>
        <v/>
      </c>
      <c r="R952" s="16" t="str">
        <f>IF('Data-Plot'!C952="","",('Data-Plot'!C952-'Data-Plot'!D952)*$P$9)</f>
        <v/>
      </c>
    </row>
    <row r="953" spans="16:18" x14ac:dyDescent="0.3">
      <c r="P953" s="16" t="str">
        <f>IF('Data-Plot'!C953="","",$Q$11+('Data-Plot'!C953-'Data-Plot'!D953)*$P$9)</f>
        <v/>
      </c>
      <c r="Q953" s="16" t="str">
        <f>IF('Data-Plot'!C953="","",MAX('Data-Plot'!$C$11:$C$1010)*(1+$Q$9/100))</f>
        <v/>
      </c>
      <c r="R953" s="16" t="str">
        <f>IF('Data-Plot'!C953="","",('Data-Plot'!C953-'Data-Plot'!D953)*$P$9)</f>
        <v/>
      </c>
    </row>
    <row r="954" spans="16:18" x14ac:dyDescent="0.3">
      <c r="P954" s="16" t="str">
        <f>IF('Data-Plot'!C954="","",$Q$11+('Data-Plot'!C954-'Data-Plot'!D954)*$P$9)</f>
        <v/>
      </c>
      <c r="Q954" s="16" t="str">
        <f>IF('Data-Plot'!C954="","",MAX('Data-Plot'!$C$11:$C$1010)*(1+$Q$9/100))</f>
        <v/>
      </c>
      <c r="R954" s="16" t="str">
        <f>IF('Data-Plot'!C954="","",('Data-Plot'!C954-'Data-Plot'!D954)*$P$9)</f>
        <v/>
      </c>
    </row>
    <row r="955" spans="16:18" x14ac:dyDescent="0.3">
      <c r="P955" s="16" t="str">
        <f>IF('Data-Plot'!C955="","",$Q$11+('Data-Plot'!C955-'Data-Plot'!D955)*$P$9)</f>
        <v/>
      </c>
      <c r="Q955" s="16" t="str">
        <f>IF('Data-Plot'!C955="","",MAX('Data-Plot'!$C$11:$C$1010)*(1+$Q$9/100))</f>
        <v/>
      </c>
      <c r="R955" s="16" t="str">
        <f>IF('Data-Plot'!C955="","",('Data-Plot'!C955-'Data-Plot'!D955)*$P$9)</f>
        <v/>
      </c>
    </row>
    <row r="956" spans="16:18" x14ac:dyDescent="0.3">
      <c r="P956" s="16" t="str">
        <f>IF('Data-Plot'!C956="","",$Q$11+('Data-Plot'!C956-'Data-Plot'!D956)*$P$9)</f>
        <v/>
      </c>
      <c r="Q956" s="16" t="str">
        <f>IF('Data-Plot'!C956="","",MAX('Data-Plot'!$C$11:$C$1010)*(1+$Q$9/100))</f>
        <v/>
      </c>
      <c r="R956" s="16" t="str">
        <f>IF('Data-Plot'!C956="","",('Data-Plot'!C956-'Data-Plot'!D956)*$P$9)</f>
        <v/>
      </c>
    </row>
    <row r="957" spans="16:18" x14ac:dyDescent="0.3">
      <c r="P957" s="16" t="str">
        <f>IF('Data-Plot'!C957="","",$Q$11+('Data-Plot'!C957-'Data-Plot'!D957)*$P$9)</f>
        <v/>
      </c>
      <c r="Q957" s="16" t="str">
        <f>IF('Data-Plot'!C957="","",MAX('Data-Plot'!$C$11:$C$1010)*(1+$Q$9/100))</f>
        <v/>
      </c>
      <c r="R957" s="16" t="str">
        <f>IF('Data-Plot'!C957="","",('Data-Plot'!C957-'Data-Plot'!D957)*$P$9)</f>
        <v/>
      </c>
    </row>
    <row r="958" spans="16:18" x14ac:dyDescent="0.3">
      <c r="P958" s="16" t="str">
        <f>IF('Data-Plot'!C958="","",$Q$11+('Data-Plot'!C958-'Data-Plot'!D958)*$P$9)</f>
        <v/>
      </c>
      <c r="Q958" s="16" t="str">
        <f>IF('Data-Plot'!C958="","",MAX('Data-Plot'!$C$11:$C$1010)*(1+$Q$9/100))</f>
        <v/>
      </c>
      <c r="R958" s="16" t="str">
        <f>IF('Data-Plot'!C958="","",('Data-Plot'!C958-'Data-Plot'!D958)*$P$9)</f>
        <v/>
      </c>
    </row>
    <row r="959" spans="16:18" x14ac:dyDescent="0.3">
      <c r="P959" s="16" t="str">
        <f>IF('Data-Plot'!C959="","",$Q$11+('Data-Plot'!C959-'Data-Plot'!D959)*$P$9)</f>
        <v/>
      </c>
      <c r="Q959" s="16" t="str">
        <f>IF('Data-Plot'!C959="","",MAX('Data-Plot'!$C$11:$C$1010)*(1+$Q$9/100))</f>
        <v/>
      </c>
      <c r="R959" s="16" t="str">
        <f>IF('Data-Plot'!C959="","",('Data-Plot'!C959-'Data-Plot'!D959)*$P$9)</f>
        <v/>
      </c>
    </row>
    <row r="960" spans="16:18" x14ac:dyDescent="0.3">
      <c r="P960" s="16" t="str">
        <f>IF('Data-Plot'!C960="","",$Q$11+('Data-Plot'!C960-'Data-Plot'!D960)*$P$9)</f>
        <v/>
      </c>
      <c r="Q960" s="16" t="str">
        <f>IF('Data-Plot'!C960="","",MAX('Data-Plot'!$C$11:$C$1010)*(1+$Q$9/100))</f>
        <v/>
      </c>
      <c r="R960" s="16" t="str">
        <f>IF('Data-Plot'!C960="","",('Data-Plot'!C960-'Data-Plot'!D960)*$P$9)</f>
        <v/>
      </c>
    </row>
    <row r="961" spans="16:18" x14ac:dyDescent="0.3">
      <c r="P961" s="16" t="str">
        <f>IF('Data-Plot'!C961="","",$Q$11+('Data-Plot'!C961-'Data-Plot'!D961)*$P$9)</f>
        <v/>
      </c>
      <c r="Q961" s="16" t="str">
        <f>IF('Data-Plot'!C961="","",MAX('Data-Plot'!$C$11:$C$1010)*(1+$Q$9/100))</f>
        <v/>
      </c>
      <c r="R961" s="16" t="str">
        <f>IF('Data-Plot'!C961="","",('Data-Plot'!C961-'Data-Plot'!D961)*$P$9)</f>
        <v/>
      </c>
    </row>
    <row r="962" spans="16:18" x14ac:dyDescent="0.3">
      <c r="P962" s="16" t="str">
        <f>IF('Data-Plot'!C962="","",$Q$11+('Data-Plot'!C962-'Data-Plot'!D962)*$P$9)</f>
        <v/>
      </c>
      <c r="Q962" s="16" t="str">
        <f>IF('Data-Plot'!C962="","",MAX('Data-Plot'!$C$11:$C$1010)*(1+$Q$9/100))</f>
        <v/>
      </c>
      <c r="R962" s="16" t="str">
        <f>IF('Data-Plot'!C962="","",('Data-Plot'!C962-'Data-Plot'!D962)*$P$9)</f>
        <v/>
      </c>
    </row>
    <row r="963" spans="16:18" x14ac:dyDescent="0.3">
      <c r="P963" s="16" t="str">
        <f>IF('Data-Plot'!C963="","",$Q$11+('Data-Plot'!C963-'Data-Plot'!D963)*$P$9)</f>
        <v/>
      </c>
      <c r="Q963" s="16" t="str">
        <f>IF('Data-Plot'!C963="","",MAX('Data-Plot'!$C$11:$C$1010)*(1+$Q$9/100))</f>
        <v/>
      </c>
      <c r="R963" s="16" t="str">
        <f>IF('Data-Plot'!C963="","",('Data-Plot'!C963-'Data-Plot'!D963)*$P$9)</f>
        <v/>
      </c>
    </row>
    <row r="964" spans="16:18" x14ac:dyDescent="0.3">
      <c r="P964" s="16" t="str">
        <f>IF('Data-Plot'!C964="","",$Q$11+('Data-Plot'!C964-'Data-Plot'!D964)*$P$9)</f>
        <v/>
      </c>
      <c r="Q964" s="16" t="str">
        <f>IF('Data-Plot'!C964="","",MAX('Data-Plot'!$C$11:$C$1010)*(1+$Q$9/100))</f>
        <v/>
      </c>
      <c r="R964" s="16" t="str">
        <f>IF('Data-Plot'!C964="","",('Data-Plot'!C964-'Data-Plot'!D964)*$P$9)</f>
        <v/>
      </c>
    </row>
    <row r="965" spans="16:18" x14ac:dyDescent="0.3">
      <c r="P965" s="16" t="str">
        <f>IF('Data-Plot'!C965="","",$Q$11+('Data-Plot'!C965-'Data-Plot'!D965)*$P$9)</f>
        <v/>
      </c>
      <c r="Q965" s="16" t="str">
        <f>IF('Data-Plot'!C965="","",MAX('Data-Plot'!$C$11:$C$1010)*(1+$Q$9/100))</f>
        <v/>
      </c>
      <c r="R965" s="16" t="str">
        <f>IF('Data-Plot'!C965="","",('Data-Plot'!C965-'Data-Plot'!D965)*$P$9)</f>
        <v/>
      </c>
    </row>
    <row r="966" spans="16:18" x14ac:dyDescent="0.3">
      <c r="P966" s="16" t="str">
        <f>IF('Data-Plot'!C966="","",$Q$11+('Data-Plot'!C966-'Data-Plot'!D966)*$P$9)</f>
        <v/>
      </c>
      <c r="Q966" s="16" t="str">
        <f>IF('Data-Plot'!C966="","",MAX('Data-Plot'!$C$11:$C$1010)*(1+$Q$9/100))</f>
        <v/>
      </c>
      <c r="R966" s="16" t="str">
        <f>IF('Data-Plot'!C966="","",('Data-Plot'!C966-'Data-Plot'!D966)*$P$9)</f>
        <v/>
      </c>
    </row>
    <row r="967" spans="16:18" x14ac:dyDescent="0.3">
      <c r="P967" s="16" t="str">
        <f>IF('Data-Plot'!C967="","",$Q$11+('Data-Plot'!C967-'Data-Plot'!D967)*$P$9)</f>
        <v/>
      </c>
      <c r="Q967" s="16" t="str">
        <f>IF('Data-Plot'!C967="","",MAX('Data-Plot'!$C$11:$C$1010)*(1+$Q$9/100))</f>
        <v/>
      </c>
      <c r="R967" s="16" t="str">
        <f>IF('Data-Plot'!C967="","",('Data-Plot'!C967-'Data-Plot'!D967)*$P$9)</f>
        <v/>
      </c>
    </row>
    <row r="968" spans="16:18" x14ac:dyDescent="0.3">
      <c r="P968" s="16" t="str">
        <f>IF('Data-Plot'!C968="","",$Q$11+('Data-Plot'!C968-'Data-Plot'!D968)*$P$9)</f>
        <v/>
      </c>
      <c r="Q968" s="16" t="str">
        <f>IF('Data-Plot'!C968="","",MAX('Data-Plot'!$C$11:$C$1010)*(1+$Q$9/100))</f>
        <v/>
      </c>
      <c r="R968" s="16" t="str">
        <f>IF('Data-Plot'!C968="","",('Data-Plot'!C968-'Data-Plot'!D968)*$P$9)</f>
        <v/>
      </c>
    </row>
    <row r="969" spans="16:18" x14ac:dyDescent="0.3">
      <c r="P969" s="16" t="str">
        <f>IF('Data-Plot'!C969="","",$Q$11+('Data-Plot'!C969-'Data-Plot'!D969)*$P$9)</f>
        <v/>
      </c>
      <c r="Q969" s="16" t="str">
        <f>IF('Data-Plot'!C969="","",MAX('Data-Plot'!$C$11:$C$1010)*(1+$Q$9/100))</f>
        <v/>
      </c>
      <c r="R969" s="16" t="str">
        <f>IF('Data-Plot'!C969="","",('Data-Plot'!C969-'Data-Plot'!D969)*$P$9)</f>
        <v/>
      </c>
    </row>
    <row r="970" spans="16:18" x14ac:dyDescent="0.3">
      <c r="P970" s="16" t="str">
        <f>IF('Data-Plot'!C970="","",$Q$11+('Data-Plot'!C970-'Data-Plot'!D970)*$P$9)</f>
        <v/>
      </c>
      <c r="Q970" s="16" t="str">
        <f>IF('Data-Plot'!C970="","",MAX('Data-Plot'!$C$11:$C$1010)*(1+$Q$9/100))</f>
        <v/>
      </c>
      <c r="R970" s="16" t="str">
        <f>IF('Data-Plot'!C970="","",('Data-Plot'!C970-'Data-Plot'!D970)*$P$9)</f>
        <v/>
      </c>
    </row>
    <row r="971" spans="16:18" x14ac:dyDescent="0.3">
      <c r="P971" s="16" t="str">
        <f>IF('Data-Plot'!C971="","",$Q$11+('Data-Plot'!C971-'Data-Plot'!D971)*$P$9)</f>
        <v/>
      </c>
      <c r="Q971" s="16" t="str">
        <f>IF('Data-Plot'!C971="","",MAX('Data-Plot'!$C$11:$C$1010)*(1+$Q$9/100))</f>
        <v/>
      </c>
      <c r="R971" s="16" t="str">
        <f>IF('Data-Plot'!C971="","",('Data-Plot'!C971-'Data-Plot'!D971)*$P$9)</f>
        <v/>
      </c>
    </row>
    <row r="972" spans="16:18" x14ac:dyDescent="0.3">
      <c r="P972" s="16" t="str">
        <f>IF('Data-Plot'!C972="","",$Q$11+('Data-Plot'!C972-'Data-Plot'!D972)*$P$9)</f>
        <v/>
      </c>
      <c r="Q972" s="16" t="str">
        <f>IF('Data-Plot'!C972="","",MAX('Data-Plot'!$C$11:$C$1010)*(1+$Q$9/100))</f>
        <v/>
      </c>
      <c r="R972" s="16" t="str">
        <f>IF('Data-Plot'!C972="","",('Data-Plot'!C972-'Data-Plot'!D972)*$P$9)</f>
        <v/>
      </c>
    </row>
    <row r="973" spans="16:18" x14ac:dyDescent="0.3">
      <c r="P973" s="16" t="str">
        <f>IF('Data-Plot'!C973="","",$Q$11+('Data-Plot'!C973-'Data-Plot'!D973)*$P$9)</f>
        <v/>
      </c>
      <c r="Q973" s="16" t="str">
        <f>IF('Data-Plot'!C973="","",MAX('Data-Plot'!$C$11:$C$1010)*(1+$Q$9/100))</f>
        <v/>
      </c>
      <c r="R973" s="16" t="str">
        <f>IF('Data-Plot'!C973="","",('Data-Plot'!C973-'Data-Plot'!D973)*$P$9)</f>
        <v/>
      </c>
    </row>
    <row r="974" spans="16:18" x14ac:dyDescent="0.3">
      <c r="P974" s="16" t="str">
        <f>IF('Data-Plot'!C974="","",$Q$11+('Data-Plot'!C974-'Data-Plot'!D974)*$P$9)</f>
        <v/>
      </c>
      <c r="Q974" s="16" t="str">
        <f>IF('Data-Plot'!C974="","",MAX('Data-Plot'!$C$11:$C$1010)*(1+$Q$9/100))</f>
        <v/>
      </c>
      <c r="R974" s="16" t="str">
        <f>IF('Data-Plot'!C974="","",('Data-Plot'!C974-'Data-Plot'!D974)*$P$9)</f>
        <v/>
      </c>
    </row>
    <row r="975" spans="16:18" x14ac:dyDescent="0.3">
      <c r="P975" s="16" t="str">
        <f>IF('Data-Plot'!C975="","",$Q$11+('Data-Plot'!C975-'Data-Plot'!D975)*$P$9)</f>
        <v/>
      </c>
      <c r="Q975" s="16" t="str">
        <f>IF('Data-Plot'!C975="","",MAX('Data-Plot'!$C$11:$C$1010)*(1+$Q$9/100))</f>
        <v/>
      </c>
      <c r="R975" s="16" t="str">
        <f>IF('Data-Plot'!C975="","",('Data-Plot'!C975-'Data-Plot'!D975)*$P$9)</f>
        <v/>
      </c>
    </row>
    <row r="976" spans="16:18" x14ac:dyDescent="0.3">
      <c r="P976" s="16" t="str">
        <f>IF('Data-Plot'!C976="","",$Q$11+('Data-Plot'!C976-'Data-Plot'!D976)*$P$9)</f>
        <v/>
      </c>
      <c r="Q976" s="16" t="str">
        <f>IF('Data-Plot'!C976="","",MAX('Data-Plot'!$C$11:$C$1010)*(1+$Q$9/100))</f>
        <v/>
      </c>
      <c r="R976" s="16" t="str">
        <f>IF('Data-Plot'!C976="","",('Data-Plot'!C976-'Data-Plot'!D976)*$P$9)</f>
        <v/>
      </c>
    </row>
    <row r="977" spans="16:18" x14ac:dyDescent="0.3">
      <c r="P977" s="16" t="str">
        <f>IF('Data-Plot'!C977="","",$Q$11+('Data-Plot'!C977-'Data-Plot'!D977)*$P$9)</f>
        <v/>
      </c>
      <c r="Q977" s="16" t="str">
        <f>IF('Data-Plot'!C977="","",MAX('Data-Plot'!$C$11:$C$1010)*(1+$Q$9/100))</f>
        <v/>
      </c>
      <c r="R977" s="16" t="str">
        <f>IF('Data-Plot'!C977="","",('Data-Plot'!C977-'Data-Plot'!D977)*$P$9)</f>
        <v/>
      </c>
    </row>
    <row r="978" spans="16:18" x14ac:dyDescent="0.3">
      <c r="P978" s="16" t="str">
        <f>IF('Data-Plot'!C978="","",$Q$11+('Data-Plot'!C978-'Data-Plot'!D978)*$P$9)</f>
        <v/>
      </c>
      <c r="Q978" s="16" t="str">
        <f>IF('Data-Plot'!C978="","",MAX('Data-Plot'!$C$11:$C$1010)*(1+$Q$9/100))</f>
        <v/>
      </c>
      <c r="R978" s="16" t="str">
        <f>IF('Data-Plot'!C978="","",('Data-Plot'!C978-'Data-Plot'!D978)*$P$9)</f>
        <v/>
      </c>
    </row>
    <row r="979" spans="16:18" x14ac:dyDescent="0.3">
      <c r="P979" s="16" t="str">
        <f>IF('Data-Plot'!C979="","",$Q$11+('Data-Plot'!C979-'Data-Plot'!D979)*$P$9)</f>
        <v/>
      </c>
      <c r="Q979" s="16" t="str">
        <f>IF('Data-Plot'!C979="","",MAX('Data-Plot'!$C$11:$C$1010)*(1+$Q$9/100))</f>
        <v/>
      </c>
      <c r="R979" s="16" t="str">
        <f>IF('Data-Plot'!C979="","",('Data-Plot'!C979-'Data-Plot'!D979)*$P$9)</f>
        <v/>
      </c>
    </row>
    <row r="980" spans="16:18" x14ac:dyDescent="0.3">
      <c r="P980" s="16" t="str">
        <f>IF('Data-Plot'!C980="","",$Q$11+('Data-Plot'!C980-'Data-Plot'!D980)*$P$9)</f>
        <v/>
      </c>
      <c r="Q980" s="16" t="str">
        <f>IF('Data-Plot'!C980="","",MAX('Data-Plot'!$C$11:$C$1010)*(1+$Q$9/100))</f>
        <v/>
      </c>
      <c r="R980" s="16" t="str">
        <f>IF('Data-Plot'!C980="","",('Data-Plot'!C980-'Data-Plot'!D980)*$P$9)</f>
        <v/>
      </c>
    </row>
    <row r="981" spans="16:18" x14ac:dyDescent="0.3">
      <c r="P981" s="16" t="str">
        <f>IF('Data-Plot'!C981="","",$Q$11+('Data-Plot'!C981-'Data-Plot'!D981)*$P$9)</f>
        <v/>
      </c>
      <c r="Q981" s="16" t="str">
        <f>IF('Data-Plot'!C981="","",MAX('Data-Plot'!$C$11:$C$1010)*(1+$Q$9/100))</f>
        <v/>
      </c>
      <c r="R981" s="16" t="str">
        <f>IF('Data-Plot'!C981="","",('Data-Plot'!C981-'Data-Plot'!D981)*$P$9)</f>
        <v/>
      </c>
    </row>
    <row r="982" spans="16:18" x14ac:dyDescent="0.3">
      <c r="P982" s="16" t="str">
        <f>IF('Data-Plot'!C982="","",$Q$11+('Data-Plot'!C982-'Data-Plot'!D982)*$P$9)</f>
        <v/>
      </c>
      <c r="Q982" s="16" t="str">
        <f>IF('Data-Plot'!C982="","",MAX('Data-Plot'!$C$11:$C$1010)*(1+$Q$9/100))</f>
        <v/>
      </c>
      <c r="R982" s="16" t="str">
        <f>IF('Data-Plot'!C982="","",('Data-Plot'!C982-'Data-Plot'!D982)*$P$9)</f>
        <v/>
      </c>
    </row>
    <row r="983" spans="16:18" x14ac:dyDescent="0.3">
      <c r="P983" s="16" t="str">
        <f>IF('Data-Plot'!C983="","",$Q$11+('Data-Plot'!C983-'Data-Plot'!D983)*$P$9)</f>
        <v/>
      </c>
      <c r="Q983" s="16" t="str">
        <f>IF('Data-Plot'!C983="","",MAX('Data-Plot'!$C$11:$C$1010)*(1+$Q$9/100))</f>
        <v/>
      </c>
      <c r="R983" s="16" t="str">
        <f>IF('Data-Plot'!C983="","",('Data-Plot'!C983-'Data-Plot'!D983)*$P$9)</f>
        <v/>
      </c>
    </row>
    <row r="984" spans="16:18" x14ac:dyDescent="0.3">
      <c r="P984" s="16" t="str">
        <f>IF('Data-Plot'!C984="","",$Q$11+('Data-Plot'!C984-'Data-Plot'!D984)*$P$9)</f>
        <v/>
      </c>
      <c r="Q984" s="16" t="str">
        <f>IF('Data-Plot'!C984="","",MAX('Data-Plot'!$C$11:$C$1010)*(1+$Q$9/100))</f>
        <v/>
      </c>
      <c r="R984" s="16" t="str">
        <f>IF('Data-Plot'!C984="","",('Data-Plot'!C984-'Data-Plot'!D984)*$P$9)</f>
        <v/>
      </c>
    </row>
    <row r="985" spans="16:18" x14ac:dyDescent="0.3">
      <c r="P985" s="16" t="str">
        <f>IF('Data-Plot'!C985="","",$Q$11+('Data-Plot'!C985-'Data-Plot'!D985)*$P$9)</f>
        <v/>
      </c>
      <c r="Q985" s="16" t="str">
        <f>IF('Data-Plot'!C985="","",MAX('Data-Plot'!$C$11:$C$1010)*(1+$Q$9/100))</f>
        <v/>
      </c>
      <c r="R985" s="16" t="str">
        <f>IF('Data-Plot'!C985="","",('Data-Plot'!C985-'Data-Plot'!D985)*$P$9)</f>
        <v/>
      </c>
    </row>
    <row r="986" spans="16:18" x14ac:dyDescent="0.3">
      <c r="P986" s="16" t="str">
        <f>IF('Data-Plot'!C986="","",$Q$11+('Data-Plot'!C986-'Data-Plot'!D986)*$P$9)</f>
        <v/>
      </c>
      <c r="Q986" s="16" t="str">
        <f>IF('Data-Plot'!C986="","",MAX('Data-Plot'!$C$11:$C$1010)*(1+$Q$9/100))</f>
        <v/>
      </c>
      <c r="R986" s="16" t="str">
        <f>IF('Data-Plot'!C986="","",('Data-Plot'!C986-'Data-Plot'!D986)*$P$9)</f>
        <v/>
      </c>
    </row>
    <row r="987" spans="16:18" x14ac:dyDescent="0.3">
      <c r="P987" s="16" t="str">
        <f>IF('Data-Plot'!C987="","",$Q$11+('Data-Plot'!C987-'Data-Plot'!D987)*$P$9)</f>
        <v/>
      </c>
      <c r="Q987" s="16" t="str">
        <f>IF('Data-Plot'!C987="","",MAX('Data-Plot'!$C$11:$C$1010)*(1+$Q$9/100))</f>
        <v/>
      </c>
      <c r="R987" s="16" t="str">
        <f>IF('Data-Plot'!C987="","",('Data-Plot'!C987-'Data-Plot'!D987)*$P$9)</f>
        <v/>
      </c>
    </row>
    <row r="988" spans="16:18" x14ac:dyDescent="0.3">
      <c r="P988" s="16" t="str">
        <f>IF('Data-Plot'!C988="","",$Q$11+('Data-Plot'!C988-'Data-Plot'!D988)*$P$9)</f>
        <v/>
      </c>
      <c r="Q988" s="16" t="str">
        <f>IF('Data-Plot'!C988="","",MAX('Data-Plot'!$C$11:$C$1010)*(1+$Q$9/100))</f>
        <v/>
      </c>
      <c r="R988" s="16" t="str">
        <f>IF('Data-Plot'!C988="","",('Data-Plot'!C988-'Data-Plot'!D988)*$P$9)</f>
        <v/>
      </c>
    </row>
    <row r="989" spans="16:18" x14ac:dyDescent="0.3">
      <c r="P989" s="16" t="str">
        <f>IF('Data-Plot'!C989="","",$Q$11+('Data-Plot'!C989-'Data-Plot'!D989)*$P$9)</f>
        <v/>
      </c>
      <c r="Q989" s="16" t="str">
        <f>IF('Data-Plot'!C989="","",MAX('Data-Plot'!$C$11:$C$1010)*(1+$Q$9/100))</f>
        <v/>
      </c>
      <c r="R989" s="16" t="str">
        <f>IF('Data-Plot'!C989="","",('Data-Plot'!C989-'Data-Plot'!D989)*$P$9)</f>
        <v/>
      </c>
    </row>
    <row r="990" spans="16:18" x14ac:dyDescent="0.3">
      <c r="P990" s="16" t="str">
        <f>IF('Data-Plot'!C990="","",$Q$11+('Data-Plot'!C990-'Data-Plot'!D990)*$P$9)</f>
        <v/>
      </c>
      <c r="Q990" s="16" t="str">
        <f>IF('Data-Plot'!C990="","",MAX('Data-Plot'!$C$11:$C$1010)*(1+$Q$9/100))</f>
        <v/>
      </c>
      <c r="R990" s="16" t="str">
        <f>IF('Data-Plot'!C990="","",('Data-Plot'!C990-'Data-Plot'!D990)*$P$9)</f>
        <v/>
      </c>
    </row>
    <row r="991" spans="16:18" x14ac:dyDescent="0.3">
      <c r="P991" s="16" t="str">
        <f>IF('Data-Plot'!C991="","",$Q$11+('Data-Plot'!C991-'Data-Plot'!D991)*$P$9)</f>
        <v/>
      </c>
      <c r="Q991" s="16" t="str">
        <f>IF('Data-Plot'!C991="","",MAX('Data-Plot'!$C$11:$C$1010)*(1+$Q$9/100))</f>
        <v/>
      </c>
      <c r="R991" s="16" t="str">
        <f>IF('Data-Plot'!C991="","",('Data-Plot'!C991-'Data-Plot'!D991)*$P$9)</f>
        <v/>
      </c>
    </row>
    <row r="992" spans="16:18" x14ac:dyDescent="0.3">
      <c r="P992" s="16" t="str">
        <f>IF('Data-Plot'!C992="","",$Q$11+('Data-Plot'!C992-'Data-Plot'!D992)*$P$9)</f>
        <v/>
      </c>
      <c r="Q992" s="16" t="str">
        <f>IF('Data-Plot'!C992="","",MAX('Data-Plot'!$C$11:$C$1010)*(1+$Q$9/100))</f>
        <v/>
      </c>
      <c r="R992" s="16" t="str">
        <f>IF('Data-Plot'!C992="","",('Data-Plot'!C992-'Data-Plot'!D992)*$P$9)</f>
        <v/>
      </c>
    </row>
    <row r="993" spans="16:18" x14ac:dyDescent="0.3">
      <c r="P993" s="16" t="str">
        <f>IF('Data-Plot'!C993="","",$Q$11+('Data-Plot'!C993-'Data-Plot'!D993)*$P$9)</f>
        <v/>
      </c>
      <c r="Q993" s="16" t="str">
        <f>IF('Data-Plot'!C993="","",MAX('Data-Plot'!$C$11:$C$1010)*(1+$Q$9/100))</f>
        <v/>
      </c>
      <c r="R993" s="16" t="str">
        <f>IF('Data-Plot'!C993="","",('Data-Plot'!C993-'Data-Plot'!D993)*$P$9)</f>
        <v/>
      </c>
    </row>
    <row r="994" spans="16:18" x14ac:dyDescent="0.3">
      <c r="P994" s="16" t="str">
        <f>IF('Data-Plot'!C994="","",$Q$11+('Data-Plot'!C994-'Data-Plot'!D994)*$P$9)</f>
        <v/>
      </c>
      <c r="Q994" s="16" t="str">
        <f>IF('Data-Plot'!C994="","",MAX('Data-Plot'!$C$11:$C$1010)*(1+$Q$9/100))</f>
        <v/>
      </c>
      <c r="R994" s="16" t="str">
        <f>IF('Data-Plot'!C994="","",('Data-Plot'!C994-'Data-Plot'!D994)*$P$9)</f>
        <v/>
      </c>
    </row>
    <row r="995" spans="16:18" x14ac:dyDescent="0.3">
      <c r="P995" s="16" t="str">
        <f>IF('Data-Plot'!C995="","",$Q$11+('Data-Plot'!C995-'Data-Plot'!D995)*$P$9)</f>
        <v/>
      </c>
      <c r="Q995" s="16" t="str">
        <f>IF('Data-Plot'!C995="","",MAX('Data-Plot'!$C$11:$C$1010)*(1+$Q$9/100))</f>
        <v/>
      </c>
      <c r="R995" s="16" t="str">
        <f>IF('Data-Plot'!C995="","",('Data-Plot'!C995-'Data-Plot'!D995)*$P$9)</f>
        <v/>
      </c>
    </row>
    <row r="996" spans="16:18" x14ac:dyDescent="0.3">
      <c r="P996" s="16" t="str">
        <f>IF('Data-Plot'!C996="","",$Q$11+('Data-Plot'!C996-'Data-Plot'!D996)*$P$9)</f>
        <v/>
      </c>
      <c r="Q996" s="16" t="str">
        <f>IF('Data-Plot'!C996="","",MAX('Data-Plot'!$C$11:$C$1010)*(1+$Q$9/100))</f>
        <v/>
      </c>
      <c r="R996" s="16" t="str">
        <f>IF('Data-Plot'!C996="","",('Data-Plot'!C996-'Data-Plot'!D996)*$P$9)</f>
        <v/>
      </c>
    </row>
    <row r="997" spans="16:18" x14ac:dyDescent="0.3">
      <c r="P997" s="16" t="str">
        <f>IF('Data-Plot'!C997="","",$Q$11+('Data-Plot'!C997-'Data-Plot'!D997)*$P$9)</f>
        <v/>
      </c>
      <c r="Q997" s="16" t="str">
        <f>IF('Data-Plot'!C997="","",MAX('Data-Plot'!$C$11:$C$1010)*(1+$Q$9/100))</f>
        <v/>
      </c>
      <c r="R997" s="16" t="str">
        <f>IF('Data-Plot'!C997="","",('Data-Plot'!C997-'Data-Plot'!D997)*$P$9)</f>
        <v/>
      </c>
    </row>
    <row r="998" spans="16:18" x14ac:dyDescent="0.3">
      <c r="P998" s="16" t="str">
        <f>IF('Data-Plot'!C998="","",$Q$11+('Data-Plot'!C998-'Data-Plot'!D998)*$P$9)</f>
        <v/>
      </c>
      <c r="Q998" s="16" t="str">
        <f>IF('Data-Plot'!C998="","",MAX('Data-Plot'!$C$11:$C$1010)*(1+$Q$9/100))</f>
        <v/>
      </c>
      <c r="R998" s="16" t="str">
        <f>IF('Data-Plot'!C998="","",('Data-Plot'!C998-'Data-Plot'!D998)*$P$9)</f>
        <v/>
      </c>
    </row>
    <row r="999" spans="16:18" x14ac:dyDescent="0.3">
      <c r="P999" s="16" t="str">
        <f>IF('Data-Plot'!C999="","",$Q$11+('Data-Plot'!C999-'Data-Plot'!D999)*$P$9)</f>
        <v/>
      </c>
      <c r="Q999" s="16" t="str">
        <f>IF('Data-Plot'!C999="","",MAX('Data-Plot'!$C$11:$C$1010)*(1+$Q$9/100))</f>
        <v/>
      </c>
      <c r="R999" s="16" t="str">
        <f>IF('Data-Plot'!C999="","",('Data-Plot'!C999-'Data-Plot'!D999)*$P$9)</f>
        <v/>
      </c>
    </row>
    <row r="1000" spans="16:18" x14ac:dyDescent="0.3">
      <c r="P1000" s="16" t="str">
        <f>IF('Data-Plot'!C1000="","",$Q$11+('Data-Plot'!C1000-'Data-Plot'!D1000)*$P$9)</f>
        <v/>
      </c>
      <c r="Q1000" s="16" t="str">
        <f>IF('Data-Plot'!C1000="","",MAX('Data-Plot'!$C$11:$C$1010)*(1+$Q$9/100))</f>
        <v/>
      </c>
      <c r="R1000" s="16" t="str">
        <f>IF('Data-Plot'!C1000="","",('Data-Plot'!C1000-'Data-Plot'!D1000)*$P$9)</f>
        <v/>
      </c>
    </row>
    <row r="1001" spans="16:18" x14ac:dyDescent="0.3">
      <c r="P1001" s="16" t="str">
        <f>IF('Data-Plot'!C1001="","",$Q$11+('Data-Plot'!C1001-'Data-Plot'!D1001)*$P$9)</f>
        <v/>
      </c>
      <c r="Q1001" s="16" t="str">
        <f>IF('Data-Plot'!C1001="","",MAX('Data-Plot'!$C$11:$C$1010)*(1+$Q$9/100))</f>
        <v/>
      </c>
      <c r="R1001" s="16" t="str">
        <f>IF('Data-Plot'!C1001="","",('Data-Plot'!C1001-'Data-Plot'!D1001)*$P$9)</f>
        <v/>
      </c>
    </row>
    <row r="1002" spans="16:18" x14ac:dyDescent="0.3">
      <c r="P1002" s="16" t="str">
        <f>IF('Data-Plot'!C1002="","",$Q$11+('Data-Plot'!C1002-'Data-Plot'!D1002)*$P$9)</f>
        <v/>
      </c>
      <c r="Q1002" s="16" t="str">
        <f>IF('Data-Plot'!C1002="","",MAX('Data-Plot'!$C$11:$C$1010)*(1+$Q$9/100))</f>
        <v/>
      </c>
      <c r="R1002" s="16" t="str">
        <f>IF('Data-Plot'!C1002="","",('Data-Plot'!C1002-'Data-Plot'!D1002)*$P$9)</f>
        <v/>
      </c>
    </row>
    <row r="1003" spans="16:18" x14ac:dyDescent="0.3">
      <c r="P1003" s="16" t="str">
        <f>IF('Data-Plot'!C1003="","",$Q$11+('Data-Plot'!C1003-'Data-Plot'!D1003)*$P$9)</f>
        <v/>
      </c>
      <c r="Q1003" s="16" t="str">
        <f>IF('Data-Plot'!C1003="","",MAX('Data-Plot'!$C$11:$C$1010)*(1+$Q$9/100))</f>
        <v/>
      </c>
      <c r="R1003" s="16" t="str">
        <f>IF('Data-Plot'!C1003="","",('Data-Plot'!C1003-'Data-Plot'!D1003)*$P$9)</f>
        <v/>
      </c>
    </row>
    <row r="1004" spans="16:18" x14ac:dyDescent="0.3">
      <c r="P1004" s="16" t="str">
        <f>IF('Data-Plot'!C1004="","",$Q$11+('Data-Plot'!C1004-'Data-Plot'!D1004)*$P$9)</f>
        <v/>
      </c>
      <c r="Q1004" s="16" t="str">
        <f>IF('Data-Plot'!C1004="","",MAX('Data-Plot'!$C$11:$C$1010)*(1+$Q$9/100))</f>
        <v/>
      </c>
      <c r="R1004" s="16" t="str">
        <f>IF('Data-Plot'!C1004="","",('Data-Plot'!C1004-'Data-Plot'!D1004)*$P$9)</f>
        <v/>
      </c>
    </row>
    <row r="1005" spans="16:18" x14ac:dyDescent="0.3">
      <c r="P1005" s="16" t="str">
        <f>IF('Data-Plot'!C1005="","",$Q$11+('Data-Plot'!C1005-'Data-Plot'!D1005)*$P$9)</f>
        <v/>
      </c>
      <c r="Q1005" s="16" t="str">
        <f>IF('Data-Plot'!C1005="","",MAX('Data-Plot'!$C$11:$C$1010)*(1+$Q$9/100))</f>
        <v/>
      </c>
      <c r="R1005" s="16" t="str">
        <f>IF('Data-Plot'!C1005="","",('Data-Plot'!C1005-'Data-Plot'!D1005)*$P$9)</f>
        <v/>
      </c>
    </row>
    <row r="1006" spans="16:18" x14ac:dyDescent="0.3">
      <c r="P1006" s="16" t="str">
        <f>IF('Data-Plot'!C1006="","",$Q$11+('Data-Plot'!C1006-'Data-Plot'!D1006)*$P$9)</f>
        <v/>
      </c>
      <c r="Q1006" s="16" t="str">
        <f>IF('Data-Plot'!C1006="","",MAX('Data-Plot'!$C$11:$C$1010)*(1+$Q$9/100))</f>
        <v/>
      </c>
      <c r="R1006" s="16" t="str">
        <f>IF('Data-Plot'!C1006="","",('Data-Plot'!C1006-'Data-Plot'!D1006)*$P$9)</f>
        <v/>
      </c>
    </row>
    <row r="1007" spans="16:18" x14ac:dyDescent="0.3">
      <c r="P1007" s="16" t="str">
        <f>IF('Data-Plot'!C1007="","",$Q$11+('Data-Plot'!C1007-'Data-Plot'!D1007)*$P$9)</f>
        <v/>
      </c>
      <c r="Q1007" s="16" t="str">
        <f>IF('Data-Plot'!C1007="","",MAX('Data-Plot'!$C$11:$C$1010)*(1+$Q$9/100))</f>
        <v/>
      </c>
      <c r="R1007" s="16" t="str">
        <f>IF('Data-Plot'!C1007="","",('Data-Plot'!C1007-'Data-Plot'!D1007)*$P$9)</f>
        <v/>
      </c>
    </row>
    <row r="1008" spans="16:18" x14ac:dyDescent="0.3">
      <c r="P1008" s="16" t="str">
        <f>IF('Data-Plot'!C1008="","",$Q$11+('Data-Plot'!C1008-'Data-Plot'!D1008)*$P$9)</f>
        <v/>
      </c>
      <c r="Q1008" s="16" t="str">
        <f>IF('Data-Plot'!C1008="","",MAX('Data-Plot'!$C$11:$C$1010)*(1+$Q$9/100))</f>
        <v/>
      </c>
      <c r="R1008" s="16" t="str">
        <f>IF('Data-Plot'!C1008="","",('Data-Plot'!C1008-'Data-Plot'!D1008)*$P$9)</f>
        <v/>
      </c>
    </row>
    <row r="1009" spans="16:18" x14ac:dyDescent="0.3">
      <c r="P1009" s="16" t="str">
        <f>IF('Data-Plot'!C1009="","",$Q$11+('Data-Plot'!C1009-'Data-Plot'!D1009)*$P$9)</f>
        <v/>
      </c>
      <c r="Q1009" s="16" t="str">
        <f>IF('Data-Plot'!C1009="","",MAX('Data-Plot'!$C$11:$C$1010)*(1+$Q$9/100))</f>
        <v/>
      </c>
      <c r="R1009" s="16" t="str">
        <f>IF('Data-Plot'!C1009="","",('Data-Plot'!C1009-'Data-Plot'!D1009)*$P$9)</f>
        <v/>
      </c>
    </row>
    <row r="1010" spans="16:18" x14ac:dyDescent="0.3">
      <c r="P1010" s="16" t="str">
        <f>IF('Data-Plot'!C1010="","",$Q$11+('Data-Plot'!C1010-'Data-Plot'!D1010)*$P$9)</f>
        <v/>
      </c>
      <c r="Q1010" s="16" t="str">
        <f>IF('Data-Plot'!C1010="","",MAX('Data-Plot'!$C$11:$C$1010)*(1+$Q$9/100))</f>
        <v/>
      </c>
      <c r="R1010" s="16" t="str">
        <f>IF('Data-Plot'!C1010="","",('Data-Plot'!C1010-'Data-Plot'!D1010)*$P$9)</f>
        <v/>
      </c>
    </row>
    <row r="1598" spans="3:3" x14ac:dyDescent="0.3">
      <c r="C1598" s="16">
        <v>0.2557661489763024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M5:Q25"/>
  <sheetViews>
    <sheetView zoomScale="85" zoomScaleNormal="85" workbookViewId="0">
      <selection activeCell="C1" sqref="C1"/>
    </sheetView>
  </sheetViews>
  <sheetFormatPr defaultRowHeight="14.4" x14ac:dyDescent="0.3"/>
  <cols>
    <col min="1" max="1" width="4" customWidth="1"/>
    <col min="2" max="2" width="10" customWidth="1"/>
    <col min="3" max="12" width="14.33203125" customWidth="1"/>
    <col min="13" max="13" width="12.33203125" bestFit="1" customWidth="1"/>
    <col min="14" max="14" width="15.44140625" customWidth="1"/>
    <col min="15" max="15" width="14.5546875" customWidth="1"/>
    <col min="16" max="16" width="12.33203125" bestFit="1" customWidth="1"/>
    <col min="17" max="17" width="3.44140625" customWidth="1"/>
  </cols>
  <sheetData>
    <row r="5" spans="13:17" x14ac:dyDescent="0.3">
      <c r="M5" s="11"/>
      <c r="N5" s="11"/>
      <c r="O5" s="11"/>
      <c r="P5" s="11"/>
      <c r="Q5" s="11"/>
    </row>
    <row r="6" spans="13:17" x14ac:dyDescent="0.3">
      <c r="M6" s="11"/>
      <c r="N6" s="11"/>
      <c r="O6" s="11"/>
      <c r="P6" s="11"/>
      <c r="Q6" s="11"/>
    </row>
    <row r="7" spans="13:17" x14ac:dyDescent="0.3">
      <c r="M7" s="11"/>
      <c r="N7" s="11"/>
      <c r="O7" s="11"/>
      <c r="P7" s="11"/>
      <c r="Q7" s="11"/>
    </row>
    <row r="8" spans="13:17" x14ac:dyDescent="0.3">
      <c r="M8" s="11"/>
      <c r="Q8" s="11"/>
    </row>
    <row r="9" spans="13:17" x14ac:dyDescent="0.3">
      <c r="M9" s="10"/>
    </row>
    <row r="10" spans="13:17" x14ac:dyDescent="0.3">
      <c r="M10" s="10"/>
    </row>
    <row r="11" spans="13:17" x14ac:dyDescent="0.3">
      <c r="M11" s="10"/>
    </row>
    <row r="12" spans="13:17" x14ac:dyDescent="0.3">
      <c r="M12" s="10"/>
    </row>
    <row r="13" spans="13:17" x14ac:dyDescent="0.3">
      <c r="M13" s="10"/>
    </row>
    <row r="14" spans="13:17" x14ac:dyDescent="0.3">
      <c r="M14" s="10"/>
    </row>
    <row r="15" spans="13:17" x14ac:dyDescent="0.3">
      <c r="M15" s="10"/>
    </row>
    <row r="16" spans="13:17" x14ac:dyDescent="0.3">
      <c r="M16" s="10"/>
    </row>
    <row r="22" spans="13:17" x14ac:dyDescent="0.3">
      <c r="M22" s="11"/>
      <c r="N22" s="11"/>
      <c r="O22" s="11"/>
      <c r="P22" s="11"/>
      <c r="Q22" s="11"/>
    </row>
    <row r="23" spans="13:17" x14ac:dyDescent="0.3">
      <c r="M23" s="11"/>
      <c r="N23" s="11"/>
      <c r="O23" s="11"/>
      <c r="P23" s="11"/>
      <c r="Q23" s="11"/>
    </row>
    <row r="24" spans="13:17" x14ac:dyDescent="0.3">
      <c r="M24" s="11"/>
      <c r="N24" s="11"/>
      <c r="O24" s="11"/>
      <c r="P24" s="11"/>
      <c r="Q24" s="11"/>
    </row>
    <row r="25" spans="13:17" x14ac:dyDescent="0.3">
      <c r="M25" s="11"/>
      <c r="N25" s="11"/>
      <c r="O25" s="11"/>
      <c r="P25" s="11"/>
      <c r="Q25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icioGrowth">
                <anchor moveWithCells="1">
                  <from>
                    <xdr:col>0</xdr:col>
                    <xdr:colOff>251460</xdr:colOff>
                    <xdr:row>5</xdr:row>
                    <xdr:rowOff>0</xdr:rowOff>
                  </from>
                  <to>
                    <xdr:col>2</xdr:col>
                    <xdr:colOff>7620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Growth-Plot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 R</cp:lastModifiedBy>
  <dcterms:created xsi:type="dcterms:W3CDTF">2024-07-29T17:43:56Z</dcterms:created>
  <dcterms:modified xsi:type="dcterms:W3CDTF">2025-06-14T23:22:55Z</dcterms:modified>
</cp:coreProperties>
</file>