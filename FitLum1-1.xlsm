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D:\Programacao\VBA excel\Fit curves\Manuscrito\"/>
    </mc:Choice>
  </mc:AlternateContent>
  <bookViews>
    <workbookView xWindow="0" yWindow="0" windowWidth="17145" windowHeight="7560"/>
  </bookViews>
  <sheets>
    <sheet name="Data-Plot" sheetId="1" r:id="rId1"/>
    <sheet name="TempData" sheetId="2" state="hidden" r:id="rId2"/>
    <sheet name="Growth-Plot" sheetId="3" state="hidden" r:id="rId3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1010" i="2" l="1"/>
  <c r="Q1010" i="2"/>
  <c r="P1010" i="2"/>
  <c r="R1009" i="2"/>
  <c r="Q1009" i="2"/>
  <c r="P1009" i="2"/>
  <c r="R1008" i="2"/>
  <c r="Q1008" i="2"/>
  <c r="P1008" i="2"/>
  <c r="R1007" i="2"/>
  <c r="Q1007" i="2"/>
  <c r="P1007" i="2"/>
  <c r="R1006" i="2"/>
  <c r="Q1006" i="2"/>
  <c r="P1006" i="2"/>
  <c r="R1005" i="2"/>
  <c r="Q1005" i="2"/>
  <c r="P1005" i="2"/>
  <c r="R1004" i="2"/>
  <c r="Q1004" i="2"/>
  <c r="P1004" i="2"/>
  <c r="R1003" i="2"/>
  <c r="Q1003" i="2"/>
  <c r="P1003" i="2"/>
  <c r="R1002" i="2"/>
  <c r="Q1002" i="2"/>
  <c r="P1002" i="2"/>
  <c r="R1001" i="2"/>
  <c r="Q1001" i="2"/>
  <c r="P1001" i="2"/>
  <c r="R1000" i="2"/>
  <c r="Q1000" i="2"/>
  <c r="P1000" i="2"/>
  <c r="R999" i="2"/>
  <c r="Q999" i="2"/>
  <c r="P999" i="2"/>
  <c r="R998" i="2"/>
  <c r="Q998" i="2"/>
  <c r="P998" i="2"/>
  <c r="R997" i="2"/>
  <c r="Q997" i="2"/>
  <c r="P997" i="2"/>
  <c r="R996" i="2"/>
  <c r="Q996" i="2"/>
  <c r="P996" i="2"/>
  <c r="R995" i="2"/>
  <c r="Q995" i="2"/>
  <c r="P995" i="2"/>
  <c r="R994" i="2"/>
  <c r="Q994" i="2"/>
  <c r="P994" i="2"/>
  <c r="R993" i="2"/>
  <c r="Q993" i="2"/>
  <c r="P993" i="2"/>
  <c r="R992" i="2"/>
  <c r="Q992" i="2"/>
  <c r="P992" i="2"/>
  <c r="R991" i="2"/>
  <c r="Q991" i="2"/>
  <c r="P991" i="2"/>
  <c r="R990" i="2"/>
  <c r="Q990" i="2"/>
  <c r="P990" i="2"/>
  <c r="R989" i="2"/>
  <c r="Q989" i="2"/>
  <c r="P989" i="2"/>
  <c r="R988" i="2"/>
  <c r="Q988" i="2"/>
  <c r="P988" i="2"/>
  <c r="R987" i="2"/>
  <c r="Q987" i="2"/>
  <c r="P987" i="2"/>
  <c r="R986" i="2"/>
  <c r="Q986" i="2"/>
  <c r="P986" i="2"/>
  <c r="R985" i="2"/>
  <c r="Q985" i="2"/>
  <c r="P985" i="2"/>
  <c r="R984" i="2"/>
  <c r="Q984" i="2"/>
  <c r="P984" i="2"/>
  <c r="R983" i="2"/>
  <c r="Q983" i="2"/>
  <c r="P983" i="2"/>
  <c r="R982" i="2"/>
  <c r="Q982" i="2"/>
  <c r="P982" i="2"/>
  <c r="R981" i="2"/>
  <c r="Q981" i="2"/>
  <c r="P981" i="2"/>
  <c r="R980" i="2"/>
  <c r="Q980" i="2"/>
  <c r="P980" i="2"/>
  <c r="R979" i="2"/>
  <c r="Q979" i="2"/>
  <c r="P979" i="2"/>
  <c r="R978" i="2"/>
  <c r="Q978" i="2"/>
  <c r="P978" i="2"/>
  <c r="R977" i="2"/>
  <c r="Q977" i="2"/>
  <c r="P977" i="2"/>
  <c r="R976" i="2"/>
  <c r="Q976" i="2"/>
  <c r="P976" i="2"/>
  <c r="R975" i="2"/>
  <c r="Q975" i="2"/>
  <c r="P975" i="2"/>
  <c r="R974" i="2"/>
  <c r="Q974" i="2"/>
  <c r="P974" i="2"/>
  <c r="R973" i="2"/>
  <c r="Q973" i="2"/>
  <c r="P973" i="2"/>
  <c r="R972" i="2"/>
  <c r="Q972" i="2"/>
  <c r="P972" i="2"/>
  <c r="R971" i="2"/>
  <c r="Q971" i="2"/>
  <c r="P971" i="2"/>
  <c r="R970" i="2"/>
  <c r="Q970" i="2"/>
  <c r="P970" i="2"/>
  <c r="R969" i="2"/>
  <c r="Q969" i="2"/>
  <c r="P969" i="2"/>
  <c r="R968" i="2"/>
  <c r="Q968" i="2"/>
  <c r="P968" i="2"/>
  <c r="R967" i="2"/>
  <c r="Q967" i="2"/>
  <c r="P967" i="2"/>
  <c r="R966" i="2"/>
  <c r="Q966" i="2"/>
  <c r="P966" i="2"/>
  <c r="R965" i="2"/>
  <c r="Q965" i="2"/>
  <c r="P965" i="2"/>
  <c r="R964" i="2"/>
  <c r="Q964" i="2"/>
  <c r="P964" i="2"/>
  <c r="R963" i="2"/>
  <c r="Q963" i="2"/>
  <c r="P963" i="2"/>
  <c r="R962" i="2"/>
  <c r="Q962" i="2"/>
  <c r="P962" i="2"/>
  <c r="R961" i="2"/>
  <c r="Q961" i="2"/>
  <c r="P961" i="2"/>
  <c r="R960" i="2"/>
  <c r="Q960" i="2"/>
  <c r="P960" i="2"/>
  <c r="R959" i="2"/>
  <c r="Q959" i="2"/>
  <c r="P959" i="2"/>
  <c r="R958" i="2"/>
  <c r="Q958" i="2"/>
  <c r="P958" i="2"/>
  <c r="R957" i="2"/>
  <c r="Q957" i="2"/>
  <c r="P957" i="2"/>
  <c r="R956" i="2"/>
  <c r="Q956" i="2"/>
  <c r="P956" i="2"/>
  <c r="R955" i="2"/>
  <c r="Q955" i="2"/>
  <c r="P955" i="2"/>
  <c r="R954" i="2"/>
  <c r="Q954" i="2"/>
  <c r="P954" i="2"/>
  <c r="R953" i="2"/>
  <c r="Q953" i="2"/>
  <c r="P953" i="2"/>
  <c r="R952" i="2"/>
  <c r="Q952" i="2"/>
  <c r="P952" i="2"/>
  <c r="R951" i="2"/>
  <c r="Q951" i="2"/>
  <c r="P951" i="2"/>
  <c r="R950" i="2"/>
  <c r="Q950" i="2"/>
  <c r="P950" i="2"/>
  <c r="R949" i="2"/>
  <c r="Q949" i="2"/>
  <c r="P949" i="2"/>
  <c r="R948" i="2"/>
  <c r="Q948" i="2"/>
  <c r="P948" i="2"/>
  <c r="R947" i="2"/>
  <c r="Q947" i="2"/>
  <c r="P947" i="2"/>
  <c r="R946" i="2"/>
  <c r="Q946" i="2"/>
  <c r="P946" i="2"/>
  <c r="R945" i="2"/>
  <c r="Q945" i="2"/>
  <c r="P945" i="2"/>
  <c r="R944" i="2"/>
  <c r="Q944" i="2"/>
  <c r="P944" i="2"/>
  <c r="R943" i="2"/>
  <c r="Q943" i="2"/>
  <c r="P943" i="2"/>
  <c r="R942" i="2"/>
  <c r="Q942" i="2"/>
  <c r="P942" i="2"/>
  <c r="R941" i="2"/>
  <c r="Q941" i="2"/>
  <c r="P941" i="2"/>
  <c r="R940" i="2"/>
  <c r="Q940" i="2"/>
  <c r="P940" i="2"/>
  <c r="R939" i="2"/>
  <c r="Q939" i="2"/>
  <c r="P939" i="2"/>
  <c r="R938" i="2"/>
  <c r="Q938" i="2"/>
  <c r="P938" i="2"/>
  <c r="R937" i="2"/>
  <c r="Q937" i="2"/>
  <c r="P937" i="2"/>
  <c r="R936" i="2"/>
  <c r="Q936" i="2"/>
  <c r="P936" i="2"/>
  <c r="R935" i="2"/>
  <c r="Q935" i="2"/>
  <c r="P935" i="2"/>
  <c r="R934" i="2"/>
  <c r="Q934" i="2"/>
  <c r="P934" i="2"/>
  <c r="R933" i="2"/>
  <c r="Q933" i="2"/>
  <c r="P933" i="2"/>
  <c r="R932" i="2"/>
  <c r="Q932" i="2"/>
  <c r="P932" i="2"/>
  <c r="R931" i="2"/>
  <c r="Q931" i="2"/>
  <c r="P931" i="2"/>
  <c r="R930" i="2"/>
  <c r="Q930" i="2"/>
  <c r="P930" i="2"/>
  <c r="R929" i="2"/>
  <c r="Q929" i="2"/>
  <c r="P929" i="2"/>
  <c r="R928" i="2"/>
  <c r="Q928" i="2"/>
  <c r="P928" i="2"/>
  <c r="R927" i="2"/>
  <c r="Q927" i="2"/>
  <c r="P927" i="2"/>
  <c r="R926" i="2"/>
  <c r="Q926" i="2"/>
  <c r="P926" i="2"/>
  <c r="R925" i="2"/>
  <c r="Q925" i="2"/>
  <c r="P925" i="2"/>
  <c r="R924" i="2"/>
  <c r="Q924" i="2"/>
  <c r="P924" i="2"/>
  <c r="R923" i="2"/>
  <c r="Q923" i="2"/>
  <c r="P923" i="2"/>
  <c r="R922" i="2"/>
  <c r="Q922" i="2"/>
  <c r="P922" i="2"/>
  <c r="R921" i="2"/>
  <c r="Q921" i="2"/>
  <c r="P921" i="2"/>
  <c r="R920" i="2"/>
  <c r="Q920" i="2"/>
  <c r="P920" i="2"/>
  <c r="R919" i="2"/>
  <c r="Q919" i="2"/>
  <c r="P919" i="2"/>
  <c r="R918" i="2"/>
  <c r="Q918" i="2"/>
  <c r="P918" i="2"/>
  <c r="R917" i="2"/>
  <c r="Q917" i="2"/>
  <c r="P917" i="2"/>
  <c r="R916" i="2"/>
  <c r="Q916" i="2"/>
  <c r="P916" i="2"/>
  <c r="R915" i="2"/>
  <c r="Q915" i="2"/>
  <c r="P915" i="2"/>
  <c r="R914" i="2"/>
  <c r="Q914" i="2"/>
  <c r="P914" i="2"/>
  <c r="R913" i="2"/>
  <c r="Q913" i="2"/>
  <c r="P913" i="2"/>
  <c r="R912" i="2"/>
  <c r="Q912" i="2"/>
  <c r="P912" i="2"/>
  <c r="R911" i="2"/>
  <c r="Q911" i="2"/>
  <c r="P911" i="2"/>
  <c r="R910" i="2"/>
  <c r="Q910" i="2"/>
  <c r="P910" i="2"/>
  <c r="R909" i="2"/>
  <c r="Q909" i="2"/>
  <c r="P909" i="2"/>
  <c r="R908" i="2"/>
  <c r="Q908" i="2"/>
  <c r="P908" i="2"/>
  <c r="R907" i="2"/>
  <c r="Q907" i="2"/>
  <c r="P907" i="2"/>
  <c r="R906" i="2"/>
  <c r="Q906" i="2"/>
  <c r="P906" i="2"/>
  <c r="R905" i="2"/>
  <c r="Q905" i="2"/>
  <c r="P905" i="2"/>
  <c r="R904" i="2"/>
  <c r="Q904" i="2"/>
  <c r="P904" i="2"/>
  <c r="R903" i="2"/>
  <c r="Q903" i="2"/>
  <c r="P903" i="2"/>
  <c r="R902" i="2"/>
  <c r="Q902" i="2"/>
  <c r="P902" i="2"/>
  <c r="R901" i="2"/>
  <c r="Q901" i="2"/>
  <c r="P901" i="2"/>
  <c r="R900" i="2"/>
  <c r="Q900" i="2"/>
  <c r="P900" i="2"/>
  <c r="R899" i="2"/>
  <c r="Q899" i="2"/>
  <c r="P899" i="2"/>
  <c r="R898" i="2"/>
  <c r="Q898" i="2"/>
  <c r="P898" i="2"/>
  <c r="R897" i="2"/>
  <c r="Q897" i="2"/>
  <c r="P897" i="2"/>
  <c r="R896" i="2"/>
  <c r="Q896" i="2"/>
  <c r="P896" i="2"/>
  <c r="R895" i="2"/>
  <c r="Q895" i="2"/>
  <c r="P895" i="2"/>
  <c r="R894" i="2"/>
  <c r="Q894" i="2"/>
  <c r="P894" i="2"/>
  <c r="R893" i="2"/>
  <c r="Q893" i="2"/>
  <c r="P893" i="2"/>
  <c r="R892" i="2"/>
  <c r="Q892" i="2"/>
  <c r="P892" i="2"/>
  <c r="R891" i="2"/>
  <c r="Q891" i="2"/>
  <c r="P891" i="2"/>
  <c r="R890" i="2"/>
  <c r="Q890" i="2"/>
  <c r="P890" i="2"/>
  <c r="R889" i="2"/>
  <c r="Q889" i="2"/>
  <c r="P889" i="2"/>
  <c r="R888" i="2"/>
  <c r="Q888" i="2"/>
  <c r="P888" i="2"/>
  <c r="R887" i="2"/>
  <c r="Q887" i="2"/>
  <c r="P887" i="2"/>
  <c r="R886" i="2"/>
  <c r="Q886" i="2"/>
  <c r="P886" i="2"/>
  <c r="R885" i="2"/>
  <c r="Q885" i="2"/>
  <c r="P885" i="2"/>
  <c r="R884" i="2"/>
  <c r="Q884" i="2"/>
  <c r="P884" i="2"/>
  <c r="R883" i="2"/>
  <c r="Q883" i="2"/>
  <c r="P883" i="2"/>
  <c r="R882" i="2"/>
  <c r="Q882" i="2"/>
  <c r="P882" i="2"/>
  <c r="R881" i="2"/>
  <c r="Q881" i="2"/>
  <c r="P881" i="2"/>
  <c r="R880" i="2"/>
  <c r="Q880" i="2"/>
  <c r="P880" i="2"/>
  <c r="R879" i="2"/>
  <c r="Q879" i="2"/>
  <c r="P879" i="2"/>
  <c r="R878" i="2"/>
  <c r="Q878" i="2"/>
  <c r="P878" i="2"/>
  <c r="R877" i="2"/>
  <c r="Q877" i="2"/>
  <c r="P877" i="2"/>
  <c r="R876" i="2"/>
  <c r="Q876" i="2"/>
  <c r="P876" i="2"/>
  <c r="R875" i="2"/>
  <c r="Q875" i="2"/>
  <c r="P875" i="2"/>
  <c r="R874" i="2"/>
  <c r="Q874" i="2"/>
  <c r="P874" i="2"/>
  <c r="R873" i="2"/>
  <c r="Q873" i="2"/>
  <c r="P873" i="2"/>
  <c r="R872" i="2"/>
  <c r="Q872" i="2"/>
  <c r="P872" i="2"/>
  <c r="R871" i="2"/>
  <c r="Q871" i="2"/>
  <c r="P871" i="2"/>
  <c r="R870" i="2"/>
  <c r="Q870" i="2"/>
  <c r="P870" i="2"/>
  <c r="R869" i="2"/>
  <c r="Q869" i="2"/>
  <c r="P869" i="2"/>
  <c r="R868" i="2"/>
  <c r="Q868" i="2"/>
  <c r="P868" i="2"/>
  <c r="R867" i="2"/>
  <c r="Q867" i="2"/>
  <c r="P867" i="2"/>
  <c r="R866" i="2"/>
  <c r="Q866" i="2"/>
  <c r="P866" i="2"/>
  <c r="R865" i="2"/>
  <c r="Q865" i="2"/>
  <c r="P865" i="2"/>
  <c r="R864" i="2"/>
  <c r="Q864" i="2"/>
  <c r="P864" i="2"/>
  <c r="R863" i="2"/>
  <c r="Q863" i="2"/>
  <c r="P863" i="2"/>
  <c r="R862" i="2"/>
  <c r="Q862" i="2"/>
  <c r="P862" i="2"/>
  <c r="R861" i="2"/>
  <c r="Q861" i="2"/>
  <c r="P861" i="2"/>
  <c r="R860" i="2"/>
  <c r="Q860" i="2"/>
  <c r="P860" i="2"/>
  <c r="R859" i="2"/>
  <c r="Q859" i="2"/>
  <c r="P859" i="2"/>
  <c r="R858" i="2"/>
  <c r="Q858" i="2"/>
  <c r="P858" i="2"/>
  <c r="R857" i="2"/>
  <c r="Q857" i="2"/>
  <c r="P857" i="2"/>
  <c r="R856" i="2"/>
  <c r="Q856" i="2"/>
  <c r="P856" i="2"/>
  <c r="R855" i="2"/>
  <c r="Q855" i="2"/>
  <c r="P855" i="2"/>
  <c r="R854" i="2"/>
  <c r="Q854" i="2"/>
  <c r="P854" i="2"/>
  <c r="R853" i="2"/>
  <c r="Q853" i="2"/>
  <c r="P853" i="2"/>
  <c r="R852" i="2"/>
  <c r="Q852" i="2"/>
  <c r="P852" i="2"/>
  <c r="R851" i="2"/>
  <c r="Q851" i="2"/>
  <c r="P851" i="2"/>
  <c r="R850" i="2"/>
  <c r="Q850" i="2"/>
  <c r="P850" i="2"/>
  <c r="R849" i="2"/>
  <c r="Q849" i="2"/>
  <c r="P849" i="2"/>
  <c r="R848" i="2"/>
  <c r="Q848" i="2"/>
  <c r="P848" i="2"/>
  <c r="R847" i="2"/>
  <c r="Q847" i="2"/>
  <c r="P847" i="2"/>
  <c r="R846" i="2"/>
  <c r="Q846" i="2"/>
  <c r="P846" i="2"/>
  <c r="R845" i="2"/>
  <c r="Q845" i="2"/>
  <c r="P845" i="2"/>
  <c r="R844" i="2"/>
  <c r="Q844" i="2"/>
  <c r="P844" i="2"/>
  <c r="R843" i="2"/>
  <c r="Q843" i="2"/>
  <c r="P843" i="2"/>
  <c r="R842" i="2"/>
  <c r="Q842" i="2"/>
  <c r="P842" i="2"/>
  <c r="R841" i="2"/>
  <c r="Q841" i="2"/>
  <c r="P841" i="2"/>
  <c r="R840" i="2"/>
  <c r="Q840" i="2"/>
  <c r="P840" i="2"/>
  <c r="R839" i="2"/>
  <c r="Q839" i="2"/>
  <c r="P839" i="2"/>
  <c r="R838" i="2"/>
  <c r="Q838" i="2"/>
  <c r="P838" i="2"/>
  <c r="R837" i="2"/>
  <c r="Q837" i="2"/>
  <c r="P837" i="2"/>
  <c r="R836" i="2"/>
  <c r="Q836" i="2"/>
  <c r="P836" i="2"/>
  <c r="R835" i="2"/>
  <c r="Q835" i="2"/>
  <c r="P835" i="2"/>
  <c r="R834" i="2"/>
  <c r="Q834" i="2"/>
  <c r="P834" i="2"/>
  <c r="R833" i="2"/>
  <c r="Q833" i="2"/>
  <c r="P833" i="2"/>
  <c r="R832" i="2"/>
  <c r="Q832" i="2"/>
  <c r="P832" i="2"/>
  <c r="R831" i="2"/>
  <c r="Q831" i="2"/>
  <c r="P831" i="2"/>
  <c r="R830" i="2"/>
  <c r="Q830" i="2"/>
  <c r="P830" i="2"/>
  <c r="R829" i="2"/>
  <c r="Q829" i="2"/>
  <c r="P829" i="2"/>
  <c r="R828" i="2"/>
  <c r="Q828" i="2"/>
  <c r="P828" i="2"/>
  <c r="R827" i="2"/>
  <c r="Q827" i="2"/>
  <c r="P827" i="2"/>
  <c r="R826" i="2"/>
  <c r="Q826" i="2"/>
  <c r="P826" i="2"/>
  <c r="R825" i="2"/>
  <c r="Q825" i="2"/>
  <c r="P825" i="2"/>
  <c r="R824" i="2"/>
  <c r="Q824" i="2"/>
  <c r="P824" i="2"/>
  <c r="R823" i="2"/>
  <c r="Q823" i="2"/>
  <c r="P823" i="2"/>
  <c r="R822" i="2"/>
  <c r="Q822" i="2"/>
  <c r="P822" i="2"/>
  <c r="R821" i="2"/>
  <c r="Q821" i="2"/>
  <c r="P821" i="2"/>
  <c r="R820" i="2"/>
  <c r="Q820" i="2"/>
  <c r="P820" i="2"/>
  <c r="R819" i="2"/>
  <c r="Q819" i="2"/>
  <c r="P819" i="2"/>
  <c r="R818" i="2"/>
  <c r="Q818" i="2"/>
  <c r="P818" i="2"/>
  <c r="R817" i="2"/>
  <c r="Q817" i="2"/>
  <c r="P817" i="2"/>
  <c r="R816" i="2"/>
  <c r="Q816" i="2"/>
  <c r="P816" i="2"/>
  <c r="R815" i="2"/>
  <c r="Q815" i="2"/>
  <c r="P815" i="2"/>
  <c r="R814" i="2"/>
  <c r="Q814" i="2"/>
  <c r="P814" i="2"/>
  <c r="R813" i="2"/>
  <c r="Q813" i="2"/>
  <c r="P813" i="2"/>
  <c r="R812" i="2"/>
  <c r="Q812" i="2"/>
  <c r="P812" i="2"/>
  <c r="R811" i="2"/>
  <c r="Q811" i="2"/>
  <c r="P811" i="2"/>
  <c r="R810" i="2"/>
  <c r="Q810" i="2"/>
  <c r="P810" i="2"/>
  <c r="R809" i="2"/>
  <c r="Q809" i="2"/>
  <c r="P809" i="2"/>
  <c r="R808" i="2"/>
  <c r="Q808" i="2"/>
  <c r="P808" i="2"/>
  <c r="R807" i="2"/>
  <c r="Q807" i="2"/>
  <c r="P807" i="2"/>
  <c r="R806" i="2"/>
  <c r="Q806" i="2"/>
  <c r="P806" i="2"/>
  <c r="R805" i="2"/>
  <c r="Q805" i="2"/>
  <c r="P805" i="2"/>
  <c r="R804" i="2"/>
  <c r="Q804" i="2"/>
  <c r="P804" i="2"/>
  <c r="R803" i="2"/>
  <c r="Q803" i="2"/>
  <c r="P803" i="2"/>
  <c r="R802" i="2"/>
  <c r="Q802" i="2"/>
  <c r="P802" i="2"/>
  <c r="R801" i="2"/>
  <c r="Q801" i="2"/>
  <c r="P801" i="2"/>
  <c r="R800" i="2"/>
  <c r="Q800" i="2"/>
  <c r="P800" i="2"/>
  <c r="R799" i="2"/>
  <c r="Q799" i="2"/>
  <c r="P799" i="2"/>
  <c r="R798" i="2"/>
  <c r="Q798" i="2"/>
  <c r="P798" i="2"/>
  <c r="R797" i="2"/>
  <c r="Q797" i="2"/>
  <c r="P797" i="2"/>
  <c r="R796" i="2"/>
  <c r="Q796" i="2"/>
  <c r="P796" i="2"/>
  <c r="R795" i="2"/>
  <c r="Q795" i="2"/>
  <c r="P795" i="2"/>
  <c r="R794" i="2"/>
  <c r="Q794" i="2"/>
  <c r="P794" i="2"/>
  <c r="R793" i="2"/>
  <c r="Q793" i="2"/>
  <c r="P793" i="2"/>
  <c r="R792" i="2"/>
  <c r="Q792" i="2"/>
  <c r="P792" i="2"/>
  <c r="R791" i="2"/>
  <c r="Q791" i="2"/>
  <c r="P791" i="2"/>
  <c r="R790" i="2"/>
  <c r="Q790" i="2"/>
  <c r="P790" i="2"/>
  <c r="R789" i="2"/>
  <c r="Q789" i="2"/>
  <c r="P789" i="2"/>
  <c r="R788" i="2"/>
  <c r="Q788" i="2"/>
  <c r="P788" i="2"/>
  <c r="R787" i="2"/>
  <c r="Q787" i="2"/>
  <c r="P787" i="2"/>
  <c r="R786" i="2"/>
  <c r="Q786" i="2"/>
  <c r="P786" i="2"/>
  <c r="R785" i="2"/>
  <c r="Q785" i="2"/>
  <c r="P785" i="2"/>
  <c r="R784" i="2"/>
  <c r="Q784" i="2"/>
  <c r="P784" i="2"/>
  <c r="R783" i="2"/>
  <c r="Q783" i="2"/>
  <c r="P783" i="2"/>
  <c r="R782" i="2"/>
  <c r="Q782" i="2"/>
  <c r="P782" i="2"/>
  <c r="R781" i="2"/>
  <c r="Q781" i="2"/>
  <c r="P781" i="2"/>
  <c r="R780" i="2"/>
  <c r="Q780" i="2"/>
  <c r="P780" i="2"/>
  <c r="R779" i="2"/>
  <c r="Q779" i="2"/>
  <c r="P779" i="2"/>
  <c r="R778" i="2"/>
  <c r="Q778" i="2"/>
  <c r="P778" i="2"/>
  <c r="R777" i="2"/>
  <c r="Q777" i="2"/>
  <c r="P777" i="2"/>
  <c r="R776" i="2"/>
  <c r="Q776" i="2"/>
  <c r="P776" i="2"/>
  <c r="R775" i="2"/>
  <c r="Q775" i="2"/>
  <c r="P775" i="2"/>
  <c r="R774" i="2"/>
  <c r="Q774" i="2"/>
  <c r="P774" i="2"/>
  <c r="R773" i="2"/>
  <c r="Q773" i="2"/>
  <c r="P773" i="2"/>
  <c r="R772" i="2"/>
  <c r="Q772" i="2"/>
  <c r="P772" i="2"/>
  <c r="R771" i="2"/>
  <c r="Q771" i="2"/>
  <c r="P771" i="2"/>
  <c r="R770" i="2"/>
  <c r="Q770" i="2"/>
  <c r="P770" i="2"/>
  <c r="R769" i="2"/>
  <c r="Q769" i="2"/>
  <c r="P769" i="2"/>
  <c r="R768" i="2"/>
  <c r="Q768" i="2"/>
  <c r="P768" i="2"/>
  <c r="R767" i="2"/>
  <c r="Q767" i="2"/>
  <c r="P767" i="2"/>
  <c r="R766" i="2"/>
  <c r="Q766" i="2"/>
  <c r="P766" i="2"/>
  <c r="R765" i="2"/>
  <c r="Q765" i="2"/>
  <c r="P765" i="2"/>
  <c r="R764" i="2"/>
  <c r="Q764" i="2"/>
  <c r="P764" i="2"/>
  <c r="R763" i="2"/>
  <c r="Q763" i="2"/>
  <c r="P763" i="2"/>
  <c r="R762" i="2"/>
  <c r="Q762" i="2"/>
  <c r="P762" i="2"/>
  <c r="R761" i="2"/>
  <c r="Q761" i="2"/>
  <c r="P761" i="2"/>
  <c r="R760" i="2"/>
  <c r="Q760" i="2"/>
  <c r="P760" i="2"/>
  <c r="R759" i="2"/>
  <c r="Q759" i="2"/>
  <c r="P759" i="2"/>
  <c r="R758" i="2"/>
  <c r="Q758" i="2"/>
  <c r="P758" i="2"/>
  <c r="R757" i="2"/>
  <c r="Q757" i="2"/>
  <c r="P757" i="2"/>
  <c r="R756" i="2"/>
  <c r="Q756" i="2"/>
  <c r="P756" i="2"/>
  <c r="R755" i="2"/>
  <c r="Q755" i="2"/>
  <c r="P755" i="2"/>
  <c r="R754" i="2"/>
  <c r="Q754" i="2"/>
  <c r="P754" i="2"/>
  <c r="R753" i="2"/>
  <c r="Q753" i="2"/>
  <c r="P753" i="2"/>
  <c r="R752" i="2"/>
  <c r="Q752" i="2"/>
  <c r="P752" i="2"/>
  <c r="R751" i="2"/>
  <c r="Q751" i="2"/>
  <c r="P751" i="2"/>
  <c r="R750" i="2"/>
  <c r="Q750" i="2"/>
  <c r="P750" i="2"/>
  <c r="R749" i="2"/>
  <c r="Q749" i="2"/>
  <c r="P749" i="2"/>
  <c r="R748" i="2"/>
  <c r="Q748" i="2"/>
  <c r="P748" i="2"/>
  <c r="R747" i="2"/>
  <c r="Q747" i="2"/>
  <c r="P747" i="2"/>
  <c r="R746" i="2"/>
  <c r="Q746" i="2"/>
  <c r="P746" i="2"/>
  <c r="R745" i="2"/>
  <c r="Q745" i="2"/>
  <c r="P745" i="2"/>
  <c r="R744" i="2"/>
  <c r="Q744" i="2"/>
  <c r="P744" i="2"/>
  <c r="R743" i="2"/>
  <c r="Q743" i="2"/>
  <c r="P743" i="2"/>
  <c r="R742" i="2"/>
  <c r="Q742" i="2"/>
  <c r="P742" i="2"/>
  <c r="R741" i="2"/>
  <c r="Q741" i="2"/>
  <c r="P741" i="2"/>
  <c r="R740" i="2"/>
  <c r="Q740" i="2"/>
  <c r="P740" i="2"/>
  <c r="R739" i="2"/>
  <c r="Q739" i="2"/>
  <c r="P739" i="2"/>
  <c r="R738" i="2"/>
  <c r="Q738" i="2"/>
  <c r="P738" i="2"/>
  <c r="R737" i="2"/>
  <c r="Q737" i="2"/>
  <c r="P737" i="2"/>
  <c r="R736" i="2"/>
  <c r="Q736" i="2"/>
  <c r="P736" i="2"/>
  <c r="R735" i="2"/>
  <c r="Q735" i="2"/>
  <c r="P735" i="2"/>
  <c r="R734" i="2"/>
  <c r="Q734" i="2"/>
  <c r="P734" i="2"/>
  <c r="R733" i="2"/>
  <c r="Q733" i="2"/>
  <c r="P733" i="2"/>
  <c r="R732" i="2"/>
  <c r="Q732" i="2"/>
  <c r="P732" i="2"/>
  <c r="R731" i="2"/>
  <c r="Q731" i="2"/>
  <c r="P731" i="2"/>
  <c r="R730" i="2"/>
  <c r="Q730" i="2"/>
  <c r="P730" i="2"/>
  <c r="R729" i="2"/>
  <c r="Q729" i="2"/>
  <c r="P729" i="2"/>
  <c r="R728" i="2"/>
  <c r="Q728" i="2"/>
  <c r="P728" i="2"/>
  <c r="R727" i="2"/>
  <c r="Q727" i="2"/>
  <c r="P727" i="2"/>
  <c r="R726" i="2"/>
  <c r="Q726" i="2"/>
  <c r="P726" i="2"/>
  <c r="R725" i="2"/>
  <c r="Q725" i="2"/>
  <c r="P725" i="2"/>
  <c r="R724" i="2"/>
  <c r="Q724" i="2"/>
  <c r="P724" i="2"/>
  <c r="R723" i="2"/>
  <c r="Q723" i="2"/>
  <c r="P723" i="2"/>
  <c r="R722" i="2"/>
  <c r="Q722" i="2"/>
  <c r="P722" i="2"/>
  <c r="R721" i="2"/>
  <c r="Q721" i="2"/>
  <c r="P721" i="2"/>
  <c r="R720" i="2"/>
  <c r="Q720" i="2"/>
  <c r="P720" i="2"/>
  <c r="R719" i="2"/>
  <c r="Q719" i="2"/>
  <c r="P719" i="2"/>
  <c r="R718" i="2"/>
  <c r="Q718" i="2"/>
  <c r="P718" i="2"/>
  <c r="R717" i="2"/>
  <c r="Q717" i="2"/>
  <c r="P717" i="2"/>
  <c r="R716" i="2"/>
  <c r="Q716" i="2"/>
  <c r="P716" i="2"/>
  <c r="R715" i="2"/>
  <c r="Q715" i="2"/>
  <c r="P715" i="2"/>
  <c r="R714" i="2"/>
  <c r="Q714" i="2"/>
  <c r="P714" i="2"/>
  <c r="R713" i="2"/>
  <c r="Q713" i="2"/>
  <c r="P713" i="2"/>
  <c r="R712" i="2"/>
  <c r="Q712" i="2"/>
  <c r="P712" i="2"/>
  <c r="R711" i="2"/>
  <c r="Q711" i="2"/>
  <c r="P711" i="2"/>
  <c r="R710" i="2"/>
  <c r="Q710" i="2"/>
  <c r="P710" i="2"/>
  <c r="R709" i="2"/>
  <c r="Q709" i="2"/>
  <c r="P709" i="2"/>
  <c r="R708" i="2"/>
  <c r="Q708" i="2"/>
  <c r="P708" i="2"/>
  <c r="R707" i="2"/>
  <c r="Q707" i="2"/>
  <c r="P707" i="2"/>
  <c r="R706" i="2"/>
  <c r="Q706" i="2"/>
  <c r="P706" i="2"/>
  <c r="R705" i="2"/>
  <c r="Q705" i="2"/>
  <c r="P705" i="2"/>
  <c r="R704" i="2"/>
  <c r="Q704" i="2"/>
  <c r="P704" i="2"/>
  <c r="R703" i="2"/>
  <c r="Q703" i="2"/>
  <c r="P703" i="2"/>
  <c r="R702" i="2"/>
  <c r="Q702" i="2"/>
  <c r="P702" i="2"/>
  <c r="R701" i="2"/>
  <c r="Q701" i="2"/>
  <c r="P701" i="2"/>
  <c r="R700" i="2"/>
  <c r="Q700" i="2"/>
  <c r="P700" i="2"/>
  <c r="R699" i="2"/>
  <c r="Q699" i="2"/>
  <c r="P699" i="2"/>
  <c r="R698" i="2"/>
  <c r="Q698" i="2"/>
  <c r="P698" i="2"/>
  <c r="R697" i="2"/>
  <c r="Q697" i="2"/>
  <c r="P697" i="2"/>
  <c r="R696" i="2"/>
  <c r="Q696" i="2"/>
  <c r="P696" i="2"/>
  <c r="R695" i="2"/>
  <c r="Q695" i="2"/>
  <c r="P695" i="2"/>
  <c r="R694" i="2"/>
  <c r="Q694" i="2"/>
  <c r="P694" i="2"/>
  <c r="R693" i="2"/>
  <c r="Q693" i="2"/>
  <c r="P693" i="2"/>
  <c r="R692" i="2"/>
  <c r="Q692" i="2"/>
  <c r="P692" i="2"/>
  <c r="R691" i="2"/>
  <c r="Q691" i="2"/>
  <c r="P691" i="2"/>
  <c r="R690" i="2"/>
  <c r="Q690" i="2"/>
  <c r="P690" i="2"/>
  <c r="R689" i="2"/>
  <c r="Q689" i="2"/>
  <c r="P689" i="2"/>
  <c r="R688" i="2"/>
  <c r="Q688" i="2"/>
  <c r="P688" i="2"/>
  <c r="R687" i="2"/>
  <c r="Q687" i="2"/>
  <c r="P687" i="2"/>
  <c r="R686" i="2"/>
  <c r="Q686" i="2"/>
  <c r="P686" i="2"/>
  <c r="R685" i="2"/>
  <c r="Q685" i="2"/>
  <c r="P685" i="2"/>
  <c r="R684" i="2"/>
  <c r="Q684" i="2"/>
  <c r="P684" i="2"/>
  <c r="R683" i="2"/>
  <c r="Q683" i="2"/>
  <c r="P683" i="2"/>
  <c r="R682" i="2"/>
  <c r="Q682" i="2"/>
  <c r="P682" i="2"/>
  <c r="R681" i="2"/>
  <c r="Q681" i="2"/>
  <c r="P681" i="2"/>
  <c r="R680" i="2"/>
  <c r="Q680" i="2"/>
  <c r="P680" i="2"/>
  <c r="R679" i="2"/>
  <c r="Q679" i="2"/>
  <c r="P679" i="2"/>
  <c r="R678" i="2"/>
  <c r="Q678" i="2"/>
  <c r="P678" i="2"/>
  <c r="R677" i="2"/>
  <c r="Q677" i="2"/>
  <c r="P677" i="2"/>
  <c r="R676" i="2"/>
  <c r="Q676" i="2"/>
  <c r="P676" i="2"/>
  <c r="R675" i="2"/>
  <c r="Q675" i="2"/>
  <c r="P675" i="2"/>
  <c r="R674" i="2"/>
  <c r="Q674" i="2"/>
  <c r="P674" i="2"/>
  <c r="R673" i="2"/>
  <c r="Q673" i="2"/>
  <c r="P673" i="2"/>
  <c r="R672" i="2"/>
  <c r="Q672" i="2"/>
  <c r="P672" i="2"/>
  <c r="R671" i="2"/>
  <c r="Q671" i="2"/>
  <c r="P671" i="2"/>
  <c r="R670" i="2"/>
  <c r="Q670" i="2"/>
  <c r="P670" i="2"/>
  <c r="R669" i="2"/>
  <c r="Q669" i="2"/>
  <c r="P669" i="2"/>
  <c r="R668" i="2"/>
  <c r="Q668" i="2"/>
  <c r="P668" i="2"/>
  <c r="R667" i="2"/>
  <c r="Q667" i="2"/>
  <c r="P667" i="2"/>
  <c r="R666" i="2"/>
  <c r="Q666" i="2"/>
  <c r="P666" i="2"/>
  <c r="R665" i="2"/>
  <c r="Q665" i="2"/>
  <c r="P665" i="2"/>
  <c r="R664" i="2"/>
  <c r="Q664" i="2"/>
  <c r="P664" i="2"/>
  <c r="R663" i="2"/>
  <c r="Q663" i="2"/>
  <c r="P663" i="2"/>
  <c r="R662" i="2"/>
  <c r="Q662" i="2"/>
  <c r="P662" i="2"/>
  <c r="R661" i="2"/>
  <c r="Q661" i="2"/>
  <c r="P661" i="2"/>
  <c r="R660" i="2"/>
  <c r="Q660" i="2"/>
  <c r="P660" i="2"/>
  <c r="R659" i="2"/>
  <c r="Q659" i="2"/>
  <c r="P659" i="2"/>
  <c r="R658" i="2"/>
  <c r="Q658" i="2"/>
  <c r="P658" i="2"/>
  <c r="R657" i="2"/>
  <c r="Q657" i="2"/>
  <c r="P657" i="2"/>
  <c r="R656" i="2"/>
  <c r="Q656" i="2"/>
  <c r="P656" i="2"/>
  <c r="R655" i="2"/>
  <c r="Q655" i="2"/>
  <c r="P655" i="2"/>
  <c r="R654" i="2"/>
  <c r="Q654" i="2"/>
  <c r="P654" i="2"/>
  <c r="R653" i="2"/>
  <c r="Q653" i="2"/>
  <c r="P653" i="2"/>
  <c r="R652" i="2"/>
  <c r="Q652" i="2"/>
  <c r="P652" i="2"/>
  <c r="R651" i="2"/>
  <c r="Q651" i="2"/>
  <c r="P651" i="2"/>
  <c r="R650" i="2"/>
  <c r="Q650" i="2"/>
  <c r="P650" i="2"/>
  <c r="R649" i="2"/>
  <c r="Q649" i="2"/>
  <c r="P649" i="2"/>
  <c r="R648" i="2"/>
  <c r="Q648" i="2"/>
  <c r="P648" i="2"/>
  <c r="R647" i="2"/>
  <c r="Q647" i="2"/>
  <c r="P647" i="2"/>
  <c r="R646" i="2"/>
  <c r="Q646" i="2"/>
  <c r="P646" i="2"/>
  <c r="R645" i="2"/>
  <c r="Q645" i="2"/>
  <c r="P645" i="2"/>
  <c r="R644" i="2"/>
  <c r="Q644" i="2"/>
  <c r="P644" i="2"/>
  <c r="R643" i="2"/>
  <c r="Q643" i="2"/>
  <c r="P643" i="2"/>
  <c r="R642" i="2"/>
  <c r="Q642" i="2"/>
  <c r="P642" i="2"/>
  <c r="R641" i="2"/>
  <c r="Q641" i="2"/>
  <c r="P641" i="2"/>
  <c r="R640" i="2"/>
  <c r="Q640" i="2"/>
  <c r="P640" i="2"/>
  <c r="R639" i="2"/>
  <c r="Q639" i="2"/>
  <c r="P639" i="2"/>
  <c r="R638" i="2"/>
  <c r="Q638" i="2"/>
  <c r="P638" i="2"/>
  <c r="R637" i="2"/>
  <c r="Q637" i="2"/>
  <c r="P637" i="2"/>
  <c r="R636" i="2"/>
  <c r="Q636" i="2"/>
  <c r="P636" i="2"/>
  <c r="R635" i="2"/>
  <c r="Q635" i="2"/>
  <c r="P635" i="2"/>
  <c r="R634" i="2"/>
  <c r="Q634" i="2"/>
  <c r="P634" i="2"/>
  <c r="R633" i="2"/>
  <c r="Q633" i="2"/>
  <c r="P633" i="2"/>
  <c r="R632" i="2"/>
  <c r="Q632" i="2"/>
  <c r="P632" i="2"/>
  <c r="R631" i="2"/>
  <c r="Q631" i="2"/>
  <c r="P631" i="2"/>
  <c r="R630" i="2"/>
  <c r="Q630" i="2"/>
  <c r="P630" i="2"/>
  <c r="R629" i="2"/>
  <c r="Q629" i="2"/>
  <c r="P629" i="2"/>
  <c r="R628" i="2"/>
  <c r="Q628" i="2"/>
  <c r="P628" i="2"/>
  <c r="R627" i="2"/>
  <c r="Q627" i="2"/>
  <c r="P627" i="2"/>
  <c r="R626" i="2"/>
  <c r="Q626" i="2"/>
  <c r="P626" i="2"/>
  <c r="R625" i="2"/>
  <c r="Q625" i="2"/>
  <c r="P625" i="2"/>
  <c r="R624" i="2"/>
  <c r="Q624" i="2"/>
  <c r="P624" i="2"/>
  <c r="R623" i="2"/>
  <c r="Q623" i="2"/>
  <c r="P623" i="2"/>
  <c r="R622" i="2"/>
  <c r="Q622" i="2"/>
  <c r="P622" i="2"/>
  <c r="R621" i="2"/>
  <c r="Q621" i="2"/>
  <c r="P621" i="2"/>
  <c r="R620" i="2"/>
  <c r="Q620" i="2"/>
  <c r="P620" i="2"/>
  <c r="R619" i="2"/>
  <c r="Q619" i="2"/>
  <c r="P619" i="2"/>
  <c r="R618" i="2"/>
  <c r="Q618" i="2"/>
  <c r="P618" i="2"/>
  <c r="R617" i="2"/>
  <c r="Q617" i="2"/>
  <c r="P617" i="2"/>
  <c r="R616" i="2"/>
  <c r="Q616" i="2"/>
  <c r="P616" i="2"/>
  <c r="R615" i="2"/>
  <c r="Q615" i="2"/>
  <c r="P615" i="2"/>
  <c r="R614" i="2"/>
  <c r="Q614" i="2"/>
  <c r="P614" i="2"/>
  <c r="R613" i="2"/>
  <c r="Q613" i="2"/>
  <c r="P613" i="2"/>
  <c r="R612" i="2"/>
  <c r="Q612" i="2"/>
  <c r="P612" i="2"/>
  <c r="R611" i="2"/>
  <c r="Q611" i="2"/>
  <c r="P611" i="2"/>
  <c r="R610" i="2"/>
  <c r="Q610" i="2"/>
  <c r="P610" i="2"/>
  <c r="R609" i="2"/>
  <c r="Q609" i="2"/>
  <c r="P609" i="2"/>
  <c r="R608" i="2"/>
  <c r="Q608" i="2"/>
  <c r="P608" i="2"/>
  <c r="R607" i="2"/>
  <c r="Q607" i="2"/>
  <c r="P607" i="2"/>
  <c r="R606" i="2"/>
  <c r="Q606" i="2"/>
  <c r="P606" i="2"/>
  <c r="R605" i="2"/>
  <c r="Q605" i="2"/>
  <c r="P605" i="2"/>
  <c r="R604" i="2"/>
  <c r="Q604" i="2"/>
  <c r="P604" i="2"/>
  <c r="R603" i="2"/>
  <c r="Q603" i="2"/>
  <c r="P603" i="2"/>
  <c r="R602" i="2"/>
  <c r="Q602" i="2"/>
  <c r="P602" i="2"/>
  <c r="R601" i="2"/>
  <c r="Q601" i="2"/>
  <c r="P601" i="2"/>
  <c r="R600" i="2"/>
  <c r="Q600" i="2"/>
  <c r="P600" i="2"/>
  <c r="R599" i="2"/>
  <c r="Q599" i="2"/>
  <c r="P599" i="2"/>
  <c r="R598" i="2"/>
  <c r="Q598" i="2"/>
  <c r="P598" i="2"/>
  <c r="R597" i="2"/>
  <c r="Q597" i="2"/>
  <c r="P597" i="2"/>
  <c r="R596" i="2"/>
  <c r="Q596" i="2"/>
  <c r="P596" i="2"/>
  <c r="R595" i="2"/>
  <c r="Q595" i="2"/>
  <c r="P595" i="2"/>
  <c r="R594" i="2"/>
  <c r="Q594" i="2"/>
  <c r="P594" i="2"/>
  <c r="R593" i="2"/>
  <c r="Q593" i="2"/>
  <c r="P593" i="2"/>
  <c r="R592" i="2"/>
  <c r="Q592" i="2"/>
  <c r="P592" i="2"/>
  <c r="R591" i="2"/>
  <c r="Q591" i="2"/>
  <c r="P591" i="2"/>
  <c r="R590" i="2"/>
  <c r="Q590" i="2"/>
  <c r="P590" i="2"/>
  <c r="R589" i="2"/>
  <c r="Q589" i="2"/>
  <c r="P589" i="2"/>
  <c r="R588" i="2"/>
  <c r="Q588" i="2"/>
  <c r="P588" i="2"/>
  <c r="R587" i="2"/>
  <c r="Q587" i="2"/>
  <c r="P587" i="2"/>
  <c r="R586" i="2"/>
  <c r="Q586" i="2"/>
  <c r="P586" i="2"/>
  <c r="R585" i="2"/>
  <c r="Q585" i="2"/>
  <c r="P585" i="2"/>
  <c r="R584" i="2"/>
  <c r="Q584" i="2"/>
  <c r="P584" i="2"/>
  <c r="R583" i="2"/>
  <c r="Q583" i="2"/>
  <c r="P583" i="2"/>
  <c r="R582" i="2"/>
  <c r="Q582" i="2"/>
  <c r="P582" i="2"/>
  <c r="R581" i="2"/>
  <c r="Q581" i="2"/>
  <c r="P581" i="2"/>
  <c r="R580" i="2"/>
  <c r="Q580" i="2"/>
  <c r="P580" i="2"/>
  <c r="R579" i="2"/>
  <c r="Q579" i="2"/>
  <c r="P579" i="2"/>
  <c r="R578" i="2"/>
  <c r="Q578" i="2"/>
  <c r="P578" i="2"/>
  <c r="R577" i="2"/>
  <c r="Q577" i="2"/>
  <c r="P577" i="2"/>
  <c r="R576" i="2"/>
  <c r="Q576" i="2"/>
  <c r="P576" i="2"/>
  <c r="R575" i="2"/>
  <c r="Q575" i="2"/>
  <c r="P575" i="2"/>
  <c r="R574" i="2"/>
  <c r="Q574" i="2"/>
  <c r="P574" i="2"/>
  <c r="R573" i="2"/>
  <c r="Q573" i="2"/>
  <c r="P573" i="2"/>
  <c r="R572" i="2"/>
  <c r="Q572" i="2"/>
  <c r="P572" i="2"/>
  <c r="R571" i="2"/>
  <c r="Q571" i="2"/>
  <c r="P571" i="2"/>
  <c r="R570" i="2"/>
  <c r="Q570" i="2"/>
  <c r="P570" i="2"/>
  <c r="R569" i="2"/>
  <c r="Q569" i="2"/>
  <c r="P569" i="2"/>
  <c r="R568" i="2"/>
  <c r="Q568" i="2"/>
  <c r="P568" i="2"/>
  <c r="R567" i="2"/>
  <c r="Q567" i="2"/>
  <c r="P567" i="2"/>
  <c r="R566" i="2"/>
  <c r="Q566" i="2"/>
  <c r="P566" i="2"/>
  <c r="R565" i="2"/>
  <c r="Q565" i="2"/>
  <c r="P565" i="2"/>
  <c r="R564" i="2"/>
  <c r="Q564" i="2"/>
  <c r="P564" i="2"/>
  <c r="R563" i="2"/>
  <c r="Q563" i="2"/>
  <c r="P563" i="2"/>
  <c r="R562" i="2"/>
  <c r="Q562" i="2"/>
  <c r="P562" i="2"/>
  <c r="R561" i="2"/>
  <c r="Q561" i="2"/>
  <c r="P561" i="2"/>
  <c r="R560" i="2"/>
  <c r="Q560" i="2"/>
  <c r="P560" i="2"/>
  <c r="R559" i="2"/>
  <c r="Q559" i="2"/>
  <c r="P559" i="2"/>
  <c r="R558" i="2"/>
  <c r="Q558" i="2"/>
  <c r="P558" i="2"/>
  <c r="R557" i="2"/>
  <c r="Q557" i="2"/>
  <c r="P557" i="2"/>
  <c r="R556" i="2"/>
  <c r="Q556" i="2"/>
  <c r="P556" i="2"/>
  <c r="R555" i="2"/>
  <c r="Q555" i="2"/>
  <c r="P555" i="2"/>
  <c r="R554" i="2"/>
  <c r="Q554" i="2"/>
  <c r="P554" i="2"/>
  <c r="R553" i="2"/>
  <c r="Q553" i="2"/>
  <c r="P553" i="2"/>
  <c r="R552" i="2"/>
  <c r="Q552" i="2"/>
  <c r="P552" i="2"/>
  <c r="R551" i="2"/>
  <c r="Q551" i="2"/>
  <c r="P551" i="2"/>
  <c r="R550" i="2"/>
  <c r="Q550" i="2"/>
  <c r="P550" i="2"/>
  <c r="R549" i="2"/>
  <c r="Q549" i="2"/>
  <c r="P549" i="2"/>
  <c r="R548" i="2"/>
  <c r="Q548" i="2"/>
  <c r="P548" i="2"/>
  <c r="R547" i="2"/>
  <c r="Q547" i="2"/>
  <c r="P547" i="2"/>
  <c r="R546" i="2"/>
  <c r="Q546" i="2"/>
  <c r="P546" i="2"/>
  <c r="R545" i="2"/>
  <c r="Q545" i="2"/>
  <c r="P545" i="2"/>
  <c r="R544" i="2"/>
  <c r="Q544" i="2"/>
  <c r="P544" i="2"/>
  <c r="R543" i="2"/>
  <c r="Q543" i="2"/>
  <c r="P543" i="2"/>
  <c r="R542" i="2"/>
  <c r="Q542" i="2"/>
  <c r="P542" i="2"/>
  <c r="R541" i="2"/>
  <c r="Q541" i="2"/>
  <c r="P541" i="2"/>
  <c r="R540" i="2"/>
  <c r="Q540" i="2"/>
  <c r="P540" i="2"/>
  <c r="R539" i="2"/>
  <c r="Q539" i="2"/>
  <c r="P539" i="2"/>
  <c r="R538" i="2"/>
  <c r="Q538" i="2"/>
  <c r="P538" i="2"/>
  <c r="R537" i="2"/>
  <c r="Q537" i="2"/>
  <c r="P537" i="2"/>
  <c r="R536" i="2"/>
  <c r="Q536" i="2"/>
  <c r="P536" i="2"/>
  <c r="R535" i="2"/>
  <c r="Q535" i="2"/>
  <c r="P535" i="2"/>
  <c r="R534" i="2"/>
  <c r="Q534" i="2"/>
  <c r="P534" i="2"/>
  <c r="R533" i="2"/>
  <c r="Q533" i="2"/>
  <c r="P533" i="2"/>
  <c r="R532" i="2"/>
  <c r="Q532" i="2"/>
  <c r="P532" i="2"/>
  <c r="R531" i="2"/>
  <c r="Q531" i="2"/>
  <c r="P531" i="2"/>
  <c r="R530" i="2"/>
  <c r="Q530" i="2"/>
  <c r="P530" i="2"/>
  <c r="R529" i="2"/>
  <c r="Q529" i="2"/>
  <c r="P529" i="2"/>
  <c r="R528" i="2"/>
  <c r="Q528" i="2"/>
  <c r="P528" i="2"/>
  <c r="R527" i="2"/>
  <c r="Q527" i="2"/>
  <c r="P527" i="2"/>
  <c r="R526" i="2"/>
  <c r="Q526" i="2"/>
  <c r="P526" i="2"/>
  <c r="R525" i="2"/>
  <c r="Q525" i="2"/>
  <c r="P525" i="2"/>
  <c r="R524" i="2"/>
  <c r="Q524" i="2"/>
  <c r="P524" i="2"/>
  <c r="R523" i="2"/>
  <c r="Q523" i="2"/>
  <c r="P523" i="2"/>
  <c r="R522" i="2"/>
  <c r="Q522" i="2"/>
  <c r="P522" i="2"/>
  <c r="R521" i="2"/>
  <c r="Q521" i="2"/>
  <c r="P521" i="2"/>
  <c r="R520" i="2"/>
  <c r="Q520" i="2"/>
  <c r="P520" i="2"/>
  <c r="R519" i="2"/>
  <c r="Q519" i="2"/>
  <c r="P519" i="2"/>
  <c r="R518" i="2"/>
  <c r="Q518" i="2"/>
  <c r="P518" i="2"/>
  <c r="R517" i="2"/>
  <c r="Q517" i="2"/>
  <c r="P517" i="2"/>
  <c r="R516" i="2"/>
  <c r="Q516" i="2"/>
  <c r="P516" i="2"/>
  <c r="R515" i="2"/>
  <c r="Q515" i="2"/>
  <c r="P515" i="2"/>
  <c r="R514" i="2"/>
  <c r="Q514" i="2"/>
  <c r="P514" i="2"/>
  <c r="R513" i="2"/>
  <c r="Q513" i="2"/>
  <c r="P513" i="2"/>
  <c r="R512" i="2"/>
  <c r="Q512" i="2"/>
  <c r="P512" i="2"/>
  <c r="R511" i="2"/>
  <c r="Q511" i="2"/>
  <c r="P511" i="2"/>
  <c r="R510" i="2"/>
  <c r="Q510" i="2"/>
  <c r="P510" i="2"/>
  <c r="R509" i="2"/>
  <c r="Q509" i="2"/>
  <c r="P509" i="2"/>
  <c r="R508" i="2"/>
  <c r="Q508" i="2"/>
  <c r="P508" i="2"/>
  <c r="R507" i="2"/>
  <c r="Q507" i="2"/>
  <c r="P507" i="2"/>
  <c r="R506" i="2"/>
  <c r="Q506" i="2"/>
  <c r="P506" i="2"/>
  <c r="R505" i="2"/>
  <c r="Q505" i="2"/>
  <c r="P505" i="2"/>
  <c r="R504" i="2"/>
  <c r="Q504" i="2"/>
  <c r="P504" i="2"/>
  <c r="R503" i="2"/>
  <c r="Q503" i="2"/>
  <c r="P503" i="2"/>
  <c r="R502" i="2"/>
  <c r="Q502" i="2"/>
  <c r="P502" i="2"/>
  <c r="R501" i="2"/>
  <c r="Q501" i="2"/>
  <c r="P501" i="2"/>
  <c r="R500" i="2"/>
  <c r="Q500" i="2"/>
  <c r="P500" i="2"/>
  <c r="R499" i="2"/>
  <c r="Q499" i="2"/>
  <c r="P499" i="2"/>
  <c r="R498" i="2"/>
  <c r="Q498" i="2"/>
  <c r="P498" i="2"/>
  <c r="R497" i="2"/>
  <c r="Q497" i="2"/>
  <c r="P497" i="2"/>
  <c r="R496" i="2"/>
  <c r="Q496" i="2"/>
  <c r="P496" i="2"/>
  <c r="R495" i="2"/>
  <c r="Q495" i="2"/>
  <c r="P495" i="2"/>
  <c r="R494" i="2"/>
  <c r="Q494" i="2"/>
  <c r="P494" i="2"/>
  <c r="R493" i="2"/>
  <c r="Q493" i="2"/>
  <c r="P493" i="2"/>
  <c r="R492" i="2"/>
  <c r="Q492" i="2"/>
  <c r="P492" i="2"/>
  <c r="R491" i="2"/>
  <c r="Q491" i="2"/>
  <c r="P491" i="2"/>
  <c r="R490" i="2"/>
  <c r="Q490" i="2"/>
  <c r="P490" i="2"/>
  <c r="R489" i="2"/>
  <c r="Q489" i="2"/>
  <c r="P489" i="2"/>
  <c r="R488" i="2"/>
  <c r="Q488" i="2"/>
  <c r="P488" i="2"/>
  <c r="R487" i="2"/>
  <c r="Q487" i="2"/>
  <c r="P487" i="2"/>
  <c r="R486" i="2"/>
  <c r="Q486" i="2"/>
  <c r="P486" i="2"/>
  <c r="R485" i="2"/>
  <c r="Q485" i="2"/>
  <c r="P485" i="2"/>
  <c r="R484" i="2"/>
  <c r="Q484" i="2"/>
  <c r="P484" i="2"/>
  <c r="R483" i="2"/>
  <c r="Q483" i="2"/>
  <c r="P483" i="2"/>
  <c r="R482" i="2"/>
  <c r="Q482" i="2"/>
  <c r="P482" i="2"/>
  <c r="R481" i="2"/>
  <c r="Q481" i="2"/>
  <c r="P481" i="2"/>
  <c r="R480" i="2"/>
  <c r="Q480" i="2"/>
  <c r="P480" i="2"/>
  <c r="R479" i="2"/>
  <c r="Q479" i="2"/>
  <c r="P479" i="2"/>
  <c r="R478" i="2"/>
  <c r="Q478" i="2"/>
  <c r="P478" i="2"/>
  <c r="R477" i="2"/>
  <c r="Q477" i="2"/>
  <c r="P477" i="2"/>
  <c r="R476" i="2"/>
  <c r="Q476" i="2"/>
  <c r="P476" i="2"/>
  <c r="R475" i="2"/>
  <c r="Q475" i="2"/>
  <c r="P475" i="2"/>
  <c r="R474" i="2"/>
  <c r="Q474" i="2"/>
  <c r="P474" i="2"/>
  <c r="R473" i="2"/>
  <c r="Q473" i="2"/>
  <c r="P473" i="2"/>
  <c r="R472" i="2"/>
  <c r="Q472" i="2"/>
  <c r="P472" i="2"/>
  <c r="R471" i="2"/>
  <c r="Q471" i="2"/>
  <c r="P471" i="2"/>
  <c r="R470" i="2"/>
  <c r="Q470" i="2"/>
  <c r="P470" i="2"/>
  <c r="R469" i="2"/>
  <c r="Q469" i="2"/>
  <c r="P469" i="2"/>
  <c r="R468" i="2"/>
  <c r="Q468" i="2"/>
  <c r="P468" i="2"/>
  <c r="R467" i="2"/>
  <c r="Q467" i="2"/>
  <c r="P467" i="2"/>
  <c r="R466" i="2"/>
  <c r="Q466" i="2"/>
  <c r="P466" i="2"/>
  <c r="R465" i="2"/>
  <c r="Q465" i="2"/>
  <c r="P465" i="2"/>
  <c r="R464" i="2"/>
  <c r="Q464" i="2"/>
  <c r="P464" i="2"/>
  <c r="R463" i="2"/>
  <c r="Q463" i="2"/>
  <c r="P463" i="2"/>
  <c r="R462" i="2"/>
  <c r="Q462" i="2"/>
  <c r="P462" i="2"/>
  <c r="R461" i="2"/>
  <c r="Q461" i="2"/>
  <c r="P461" i="2"/>
  <c r="R460" i="2"/>
  <c r="Q460" i="2"/>
  <c r="P460" i="2"/>
  <c r="R459" i="2"/>
  <c r="Q459" i="2"/>
  <c r="P459" i="2"/>
  <c r="R458" i="2"/>
  <c r="Q458" i="2"/>
  <c r="P458" i="2"/>
  <c r="R457" i="2"/>
  <c r="Q457" i="2"/>
  <c r="P457" i="2"/>
  <c r="R456" i="2"/>
  <c r="Q456" i="2"/>
  <c r="P456" i="2"/>
  <c r="R455" i="2"/>
  <c r="Q455" i="2"/>
  <c r="P455" i="2"/>
  <c r="R454" i="2"/>
  <c r="Q454" i="2"/>
  <c r="P454" i="2"/>
  <c r="R453" i="2"/>
  <c r="Q453" i="2"/>
  <c r="P453" i="2"/>
  <c r="R452" i="2"/>
  <c r="Q452" i="2"/>
  <c r="P452" i="2"/>
  <c r="R451" i="2"/>
  <c r="Q451" i="2"/>
  <c r="P451" i="2"/>
  <c r="R450" i="2"/>
  <c r="Q450" i="2"/>
  <c r="P450" i="2"/>
  <c r="R449" i="2"/>
  <c r="Q449" i="2"/>
  <c r="P449" i="2"/>
  <c r="R448" i="2"/>
  <c r="Q448" i="2"/>
  <c r="P448" i="2"/>
  <c r="R447" i="2"/>
  <c r="Q447" i="2"/>
  <c r="P447" i="2"/>
  <c r="R446" i="2"/>
  <c r="Q446" i="2"/>
  <c r="P446" i="2"/>
  <c r="R445" i="2"/>
  <c r="Q445" i="2"/>
  <c r="P445" i="2"/>
  <c r="R444" i="2"/>
  <c r="Q444" i="2"/>
  <c r="P444" i="2"/>
  <c r="R443" i="2"/>
  <c r="Q443" i="2"/>
  <c r="P443" i="2"/>
  <c r="R442" i="2"/>
  <c r="Q442" i="2"/>
  <c r="P442" i="2"/>
  <c r="R441" i="2"/>
  <c r="Q441" i="2"/>
  <c r="P441" i="2"/>
  <c r="R440" i="2"/>
  <c r="Q440" i="2"/>
  <c r="P440" i="2"/>
  <c r="R439" i="2"/>
  <c r="Q439" i="2"/>
  <c r="P439" i="2"/>
  <c r="R438" i="2"/>
  <c r="Q438" i="2"/>
  <c r="P438" i="2"/>
  <c r="R437" i="2"/>
  <c r="Q437" i="2"/>
  <c r="P437" i="2"/>
  <c r="R436" i="2"/>
  <c r="Q436" i="2"/>
  <c r="P436" i="2"/>
  <c r="R435" i="2"/>
  <c r="Q435" i="2"/>
  <c r="P435" i="2"/>
  <c r="R434" i="2"/>
  <c r="Q434" i="2"/>
  <c r="P434" i="2"/>
  <c r="R433" i="2"/>
  <c r="Q433" i="2"/>
  <c r="P433" i="2"/>
  <c r="R432" i="2"/>
  <c r="Q432" i="2"/>
  <c r="P432" i="2"/>
  <c r="R431" i="2"/>
  <c r="Q431" i="2"/>
  <c r="P431" i="2"/>
  <c r="R430" i="2"/>
  <c r="Q430" i="2"/>
  <c r="P430" i="2"/>
  <c r="R429" i="2"/>
  <c r="Q429" i="2"/>
  <c r="P429" i="2"/>
  <c r="R428" i="2"/>
  <c r="Q428" i="2"/>
  <c r="P428" i="2"/>
  <c r="R427" i="2"/>
  <c r="Q427" i="2"/>
  <c r="P427" i="2"/>
  <c r="R426" i="2"/>
  <c r="Q426" i="2"/>
  <c r="P426" i="2"/>
  <c r="R425" i="2"/>
  <c r="Q425" i="2"/>
  <c r="P425" i="2"/>
  <c r="R424" i="2"/>
  <c r="Q424" i="2"/>
  <c r="P424" i="2"/>
  <c r="R423" i="2"/>
  <c r="Q423" i="2"/>
  <c r="P423" i="2"/>
  <c r="R422" i="2"/>
  <c r="Q422" i="2"/>
  <c r="P422" i="2"/>
  <c r="R421" i="2"/>
  <c r="Q421" i="2"/>
  <c r="P421" i="2"/>
  <c r="R420" i="2"/>
  <c r="Q420" i="2"/>
  <c r="P420" i="2"/>
  <c r="R419" i="2"/>
  <c r="Q419" i="2"/>
  <c r="P419" i="2"/>
  <c r="R418" i="2"/>
  <c r="Q418" i="2"/>
  <c r="P418" i="2"/>
  <c r="R417" i="2"/>
  <c r="Q417" i="2"/>
  <c r="P417" i="2"/>
  <c r="R416" i="2"/>
  <c r="Q416" i="2"/>
  <c r="P416" i="2"/>
  <c r="R415" i="2"/>
  <c r="Q415" i="2"/>
  <c r="P415" i="2"/>
  <c r="R414" i="2"/>
  <c r="Q414" i="2"/>
  <c r="P414" i="2"/>
  <c r="R413" i="2"/>
  <c r="Q413" i="2"/>
  <c r="P413" i="2"/>
  <c r="R412" i="2"/>
  <c r="Q412" i="2"/>
  <c r="P412" i="2"/>
  <c r="R411" i="2"/>
  <c r="Q411" i="2"/>
  <c r="P411" i="2"/>
  <c r="R410" i="2"/>
  <c r="Q410" i="2"/>
  <c r="P410" i="2"/>
  <c r="R409" i="2"/>
  <c r="Q409" i="2"/>
  <c r="P409" i="2"/>
  <c r="R408" i="2"/>
  <c r="Q408" i="2"/>
  <c r="P408" i="2"/>
  <c r="R407" i="2"/>
  <c r="Q407" i="2"/>
  <c r="P407" i="2"/>
  <c r="R406" i="2"/>
  <c r="Q406" i="2"/>
  <c r="P406" i="2"/>
  <c r="R405" i="2"/>
  <c r="Q405" i="2"/>
  <c r="P405" i="2"/>
  <c r="R404" i="2"/>
  <c r="Q404" i="2"/>
  <c r="P404" i="2"/>
  <c r="R403" i="2"/>
  <c r="Q403" i="2"/>
  <c r="P403" i="2"/>
  <c r="R402" i="2"/>
  <c r="Q402" i="2"/>
  <c r="P402" i="2"/>
  <c r="R401" i="2"/>
  <c r="Q401" i="2"/>
  <c r="P401" i="2"/>
  <c r="R400" i="2"/>
  <c r="Q400" i="2"/>
  <c r="P400" i="2"/>
  <c r="R399" i="2"/>
  <c r="Q399" i="2"/>
  <c r="P399" i="2"/>
  <c r="R398" i="2"/>
  <c r="Q398" i="2"/>
  <c r="P398" i="2"/>
  <c r="R397" i="2"/>
  <c r="Q397" i="2"/>
  <c r="P397" i="2"/>
  <c r="R396" i="2"/>
  <c r="Q396" i="2"/>
  <c r="P396" i="2"/>
  <c r="R395" i="2"/>
  <c r="Q395" i="2"/>
  <c r="P395" i="2"/>
  <c r="R394" i="2"/>
  <c r="Q394" i="2"/>
  <c r="P394" i="2"/>
  <c r="R393" i="2"/>
  <c r="Q393" i="2"/>
  <c r="P393" i="2"/>
  <c r="R392" i="2"/>
  <c r="Q392" i="2"/>
  <c r="P392" i="2"/>
  <c r="R391" i="2"/>
  <c r="Q391" i="2"/>
  <c r="P391" i="2"/>
  <c r="R390" i="2"/>
  <c r="Q390" i="2"/>
  <c r="P390" i="2"/>
  <c r="R389" i="2"/>
  <c r="Q389" i="2"/>
  <c r="P389" i="2"/>
  <c r="R388" i="2"/>
  <c r="Q388" i="2"/>
  <c r="P388" i="2"/>
  <c r="R387" i="2"/>
  <c r="Q387" i="2"/>
  <c r="P387" i="2"/>
  <c r="R386" i="2"/>
  <c r="Q386" i="2"/>
  <c r="P386" i="2"/>
  <c r="R385" i="2"/>
  <c r="Q385" i="2"/>
  <c r="P385" i="2"/>
  <c r="R384" i="2"/>
  <c r="Q384" i="2"/>
  <c r="P384" i="2"/>
  <c r="R383" i="2"/>
  <c r="Q383" i="2"/>
  <c r="P383" i="2"/>
  <c r="R382" i="2"/>
  <c r="Q382" i="2"/>
  <c r="P382" i="2"/>
  <c r="R381" i="2"/>
  <c r="Q381" i="2"/>
  <c r="P381" i="2"/>
  <c r="R380" i="2"/>
  <c r="Q380" i="2"/>
  <c r="P380" i="2"/>
  <c r="R379" i="2"/>
  <c r="Q379" i="2"/>
  <c r="P379" i="2"/>
  <c r="R378" i="2"/>
  <c r="Q378" i="2"/>
  <c r="P378" i="2"/>
  <c r="R377" i="2"/>
  <c r="Q377" i="2"/>
  <c r="P377" i="2"/>
  <c r="R376" i="2"/>
  <c r="Q376" i="2"/>
  <c r="P376" i="2"/>
  <c r="R375" i="2"/>
  <c r="Q375" i="2"/>
  <c r="P375" i="2"/>
  <c r="R374" i="2"/>
  <c r="Q374" i="2"/>
  <c r="P374" i="2"/>
  <c r="R373" i="2"/>
  <c r="Q373" i="2"/>
  <c r="P373" i="2"/>
  <c r="R372" i="2"/>
  <c r="Q372" i="2"/>
  <c r="P372" i="2"/>
  <c r="R371" i="2"/>
  <c r="Q371" i="2"/>
  <c r="P371" i="2"/>
  <c r="R370" i="2"/>
  <c r="Q370" i="2"/>
  <c r="P370" i="2"/>
  <c r="R369" i="2"/>
  <c r="Q369" i="2"/>
  <c r="P369" i="2"/>
  <c r="R368" i="2"/>
  <c r="Q368" i="2"/>
  <c r="P368" i="2"/>
  <c r="R367" i="2"/>
  <c r="Q367" i="2"/>
  <c r="P367" i="2"/>
  <c r="R366" i="2"/>
  <c r="Q366" i="2"/>
  <c r="P366" i="2"/>
  <c r="R365" i="2"/>
  <c r="Q365" i="2"/>
  <c r="P365" i="2"/>
  <c r="R364" i="2"/>
  <c r="Q364" i="2"/>
  <c r="P364" i="2"/>
  <c r="R363" i="2"/>
  <c r="Q363" i="2"/>
  <c r="P363" i="2"/>
  <c r="R362" i="2"/>
  <c r="Q362" i="2"/>
  <c r="P362" i="2"/>
  <c r="R361" i="2"/>
  <c r="Q361" i="2"/>
  <c r="P361" i="2"/>
  <c r="R360" i="2"/>
  <c r="Q360" i="2"/>
  <c r="P360" i="2"/>
  <c r="R359" i="2"/>
  <c r="Q359" i="2"/>
  <c r="P359" i="2"/>
  <c r="R358" i="2"/>
  <c r="Q358" i="2"/>
  <c r="P358" i="2"/>
  <c r="R357" i="2"/>
  <c r="Q357" i="2"/>
  <c r="P357" i="2"/>
  <c r="R356" i="2"/>
  <c r="Q356" i="2"/>
  <c r="P356" i="2"/>
  <c r="R355" i="2"/>
  <c r="Q355" i="2"/>
  <c r="P355" i="2"/>
  <c r="R354" i="2"/>
  <c r="Q354" i="2"/>
  <c r="P354" i="2"/>
  <c r="R353" i="2"/>
  <c r="Q353" i="2"/>
  <c r="P353" i="2"/>
  <c r="R352" i="2"/>
  <c r="Q352" i="2"/>
  <c r="P352" i="2"/>
  <c r="R351" i="2"/>
  <c r="Q351" i="2"/>
  <c r="P351" i="2"/>
  <c r="R350" i="2"/>
  <c r="Q350" i="2"/>
  <c r="P350" i="2"/>
  <c r="R349" i="2"/>
  <c r="Q349" i="2"/>
  <c r="P349" i="2"/>
  <c r="R348" i="2"/>
  <c r="Q348" i="2"/>
  <c r="P348" i="2"/>
  <c r="R347" i="2"/>
  <c r="Q347" i="2"/>
  <c r="P347" i="2"/>
  <c r="R346" i="2"/>
  <c r="Q346" i="2"/>
  <c r="P346" i="2"/>
  <c r="R345" i="2"/>
  <c r="Q345" i="2"/>
  <c r="P345" i="2"/>
  <c r="R344" i="2"/>
  <c r="Q344" i="2"/>
  <c r="P344" i="2"/>
  <c r="R343" i="2"/>
  <c r="Q343" i="2"/>
  <c r="P343" i="2"/>
  <c r="R342" i="2"/>
  <c r="Q342" i="2"/>
  <c r="P342" i="2"/>
  <c r="R341" i="2"/>
  <c r="Q341" i="2"/>
  <c r="P341" i="2"/>
  <c r="R340" i="2"/>
  <c r="Q340" i="2"/>
  <c r="P340" i="2"/>
  <c r="R339" i="2"/>
  <c r="Q339" i="2"/>
  <c r="P339" i="2"/>
  <c r="R338" i="2"/>
  <c r="Q338" i="2"/>
  <c r="P338" i="2"/>
  <c r="R337" i="2"/>
  <c r="Q337" i="2"/>
  <c r="P337" i="2"/>
  <c r="R336" i="2"/>
  <c r="Q336" i="2"/>
  <c r="P336" i="2"/>
  <c r="R335" i="2"/>
  <c r="Q335" i="2"/>
  <c r="P335" i="2"/>
  <c r="R334" i="2"/>
  <c r="Q334" i="2"/>
  <c r="P334" i="2"/>
  <c r="R333" i="2"/>
  <c r="Q333" i="2"/>
  <c r="P333" i="2"/>
  <c r="R332" i="2"/>
  <c r="Q332" i="2"/>
  <c r="P332" i="2"/>
  <c r="R331" i="2"/>
  <c r="Q331" i="2"/>
  <c r="P331" i="2"/>
  <c r="R330" i="2"/>
  <c r="Q330" i="2"/>
  <c r="P330" i="2"/>
  <c r="R329" i="2"/>
  <c r="Q329" i="2"/>
  <c r="P329" i="2"/>
  <c r="R328" i="2"/>
  <c r="Q328" i="2"/>
  <c r="P328" i="2"/>
  <c r="R327" i="2"/>
  <c r="Q327" i="2"/>
  <c r="P327" i="2"/>
  <c r="R326" i="2"/>
  <c r="Q326" i="2"/>
  <c r="P326" i="2"/>
  <c r="R325" i="2"/>
  <c r="Q325" i="2"/>
  <c r="P325" i="2"/>
  <c r="R324" i="2"/>
  <c r="Q324" i="2"/>
  <c r="P324" i="2"/>
  <c r="R323" i="2"/>
  <c r="Q323" i="2"/>
  <c r="P323" i="2"/>
  <c r="R322" i="2"/>
  <c r="Q322" i="2"/>
  <c r="P322" i="2"/>
  <c r="R321" i="2"/>
  <c r="Q321" i="2"/>
  <c r="P321" i="2"/>
  <c r="R320" i="2"/>
  <c r="Q320" i="2"/>
  <c r="P320" i="2"/>
  <c r="R319" i="2"/>
  <c r="Q319" i="2"/>
  <c r="P319" i="2"/>
  <c r="R318" i="2"/>
  <c r="Q318" i="2"/>
  <c r="P318" i="2"/>
  <c r="R317" i="2"/>
  <c r="Q317" i="2"/>
  <c r="P317" i="2"/>
  <c r="R316" i="2"/>
  <c r="Q316" i="2"/>
  <c r="P316" i="2"/>
  <c r="R315" i="2"/>
  <c r="Q315" i="2"/>
  <c r="P315" i="2"/>
  <c r="R314" i="2"/>
  <c r="Q314" i="2"/>
  <c r="P314" i="2"/>
  <c r="R313" i="2"/>
  <c r="Q313" i="2"/>
  <c r="P313" i="2"/>
  <c r="R312" i="2"/>
  <c r="Q312" i="2"/>
  <c r="P312" i="2"/>
  <c r="R311" i="2"/>
  <c r="Q311" i="2"/>
  <c r="P311" i="2"/>
  <c r="R310" i="2"/>
  <c r="Q310" i="2"/>
  <c r="P310" i="2"/>
  <c r="R309" i="2"/>
  <c r="Q309" i="2"/>
  <c r="P309" i="2"/>
  <c r="R308" i="2"/>
  <c r="Q308" i="2"/>
  <c r="P308" i="2"/>
  <c r="R307" i="2"/>
  <c r="Q307" i="2"/>
  <c r="P307" i="2"/>
  <c r="R306" i="2"/>
  <c r="Q306" i="2"/>
  <c r="P306" i="2"/>
  <c r="R305" i="2"/>
  <c r="Q305" i="2"/>
  <c r="P305" i="2"/>
  <c r="R304" i="2"/>
  <c r="Q304" i="2"/>
  <c r="P304" i="2"/>
  <c r="R303" i="2"/>
  <c r="Q303" i="2"/>
  <c r="P303" i="2"/>
  <c r="R302" i="2"/>
  <c r="Q302" i="2"/>
  <c r="P302" i="2"/>
  <c r="R301" i="2"/>
  <c r="Q301" i="2"/>
  <c r="P301" i="2"/>
  <c r="R300" i="2"/>
  <c r="Q300" i="2"/>
  <c r="P300" i="2"/>
  <c r="R299" i="2"/>
  <c r="Q299" i="2"/>
  <c r="P299" i="2"/>
  <c r="R298" i="2"/>
  <c r="Q298" i="2"/>
  <c r="P298" i="2"/>
  <c r="R297" i="2"/>
  <c r="Q297" i="2"/>
  <c r="P297" i="2"/>
  <c r="R296" i="2"/>
  <c r="Q296" i="2"/>
  <c r="P296" i="2"/>
  <c r="R295" i="2"/>
  <c r="Q295" i="2"/>
  <c r="P295" i="2"/>
  <c r="R294" i="2"/>
  <c r="Q294" i="2"/>
  <c r="P294" i="2"/>
  <c r="R293" i="2"/>
  <c r="Q293" i="2"/>
  <c r="P293" i="2"/>
  <c r="R292" i="2"/>
  <c r="Q292" i="2"/>
  <c r="P292" i="2"/>
  <c r="R291" i="2"/>
  <c r="Q291" i="2"/>
  <c r="P291" i="2"/>
  <c r="R290" i="2"/>
  <c r="Q290" i="2"/>
  <c r="P290" i="2"/>
  <c r="R289" i="2"/>
  <c r="Q289" i="2"/>
  <c r="P289" i="2"/>
  <c r="R288" i="2"/>
  <c r="Q288" i="2"/>
  <c r="P288" i="2"/>
  <c r="R287" i="2"/>
  <c r="Q287" i="2"/>
  <c r="P287" i="2"/>
  <c r="R286" i="2"/>
  <c r="Q286" i="2"/>
  <c r="P286" i="2"/>
  <c r="R285" i="2"/>
  <c r="Q285" i="2"/>
  <c r="P285" i="2"/>
  <c r="R284" i="2"/>
  <c r="Q284" i="2"/>
  <c r="P284" i="2"/>
  <c r="R283" i="2"/>
  <c r="Q283" i="2"/>
  <c r="P283" i="2"/>
  <c r="R282" i="2"/>
  <c r="Q282" i="2"/>
  <c r="P282" i="2"/>
  <c r="R281" i="2"/>
  <c r="Q281" i="2"/>
  <c r="P281" i="2"/>
  <c r="R280" i="2"/>
  <c r="Q280" i="2"/>
  <c r="P280" i="2"/>
  <c r="R279" i="2"/>
  <c r="Q279" i="2"/>
  <c r="P279" i="2"/>
  <c r="R278" i="2"/>
  <c r="Q278" i="2"/>
  <c r="P278" i="2"/>
  <c r="R277" i="2"/>
  <c r="Q277" i="2"/>
  <c r="P277" i="2"/>
  <c r="R276" i="2"/>
  <c r="Q276" i="2"/>
  <c r="P276" i="2"/>
  <c r="R275" i="2"/>
  <c r="Q275" i="2"/>
  <c r="P275" i="2"/>
  <c r="R274" i="2"/>
  <c r="Q274" i="2"/>
  <c r="P274" i="2"/>
  <c r="R273" i="2"/>
  <c r="Q273" i="2"/>
  <c r="P273" i="2"/>
  <c r="R272" i="2"/>
  <c r="Q272" i="2"/>
  <c r="P272" i="2"/>
  <c r="R271" i="2"/>
  <c r="Q271" i="2"/>
  <c r="P271" i="2"/>
  <c r="R270" i="2"/>
  <c r="Q270" i="2"/>
  <c r="P270" i="2"/>
  <c r="R269" i="2"/>
  <c r="Q269" i="2"/>
  <c r="P269" i="2"/>
  <c r="R268" i="2"/>
  <c r="Q268" i="2"/>
  <c r="P268" i="2"/>
  <c r="R267" i="2"/>
  <c r="Q267" i="2"/>
  <c r="P267" i="2"/>
  <c r="R266" i="2"/>
  <c r="Q266" i="2"/>
  <c r="P266" i="2"/>
  <c r="R265" i="2"/>
  <c r="Q265" i="2"/>
  <c r="P265" i="2"/>
  <c r="R264" i="2"/>
  <c r="Q264" i="2"/>
  <c r="P264" i="2"/>
  <c r="R263" i="2"/>
  <c r="Q263" i="2"/>
  <c r="P263" i="2"/>
  <c r="R262" i="2"/>
  <c r="Q262" i="2"/>
  <c r="P262" i="2"/>
  <c r="R261" i="2"/>
  <c r="Q261" i="2"/>
  <c r="P261" i="2"/>
  <c r="R260" i="2"/>
  <c r="Q260" i="2"/>
  <c r="P260" i="2"/>
  <c r="R259" i="2"/>
  <c r="Q259" i="2"/>
  <c r="P259" i="2"/>
  <c r="R258" i="2"/>
  <c r="Q258" i="2"/>
  <c r="P258" i="2"/>
  <c r="R257" i="2"/>
  <c r="Q257" i="2"/>
  <c r="P257" i="2"/>
  <c r="R256" i="2"/>
  <c r="Q256" i="2"/>
  <c r="P256" i="2"/>
  <c r="R255" i="2"/>
  <c r="Q255" i="2"/>
  <c r="P255" i="2"/>
  <c r="R254" i="2"/>
  <c r="Q254" i="2"/>
  <c r="P254" i="2"/>
  <c r="R253" i="2"/>
  <c r="Q253" i="2"/>
  <c r="P253" i="2"/>
  <c r="R252" i="2"/>
  <c r="Q252" i="2"/>
  <c r="P252" i="2"/>
  <c r="R251" i="2"/>
  <c r="Q251" i="2"/>
  <c r="P251" i="2"/>
  <c r="R250" i="2"/>
  <c r="Q250" i="2"/>
  <c r="P250" i="2"/>
  <c r="R249" i="2"/>
  <c r="Q249" i="2"/>
  <c r="P249" i="2"/>
  <c r="R248" i="2"/>
  <c r="Q248" i="2"/>
  <c r="P248" i="2"/>
  <c r="R247" i="2"/>
  <c r="Q247" i="2"/>
  <c r="P247" i="2"/>
  <c r="R246" i="2"/>
  <c r="Q246" i="2"/>
  <c r="P246" i="2"/>
  <c r="R245" i="2"/>
  <c r="Q245" i="2"/>
  <c r="P245" i="2"/>
  <c r="R244" i="2"/>
  <c r="Q244" i="2"/>
  <c r="P244" i="2"/>
  <c r="R243" i="2"/>
  <c r="Q243" i="2"/>
  <c r="P243" i="2"/>
  <c r="R242" i="2"/>
  <c r="Q242" i="2"/>
  <c r="P242" i="2"/>
  <c r="R241" i="2"/>
  <c r="Q241" i="2"/>
  <c r="P241" i="2"/>
  <c r="R240" i="2"/>
  <c r="Q240" i="2"/>
  <c r="P240" i="2"/>
  <c r="R239" i="2"/>
  <c r="Q239" i="2"/>
  <c r="P239" i="2"/>
  <c r="R238" i="2"/>
  <c r="Q238" i="2"/>
  <c r="P238" i="2"/>
  <c r="R237" i="2"/>
  <c r="Q237" i="2"/>
  <c r="P237" i="2"/>
  <c r="R236" i="2"/>
  <c r="Q236" i="2"/>
  <c r="P236" i="2"/>
  <c r="R235" i="2"/>
  <c r="Q235" i="2"/>
  <c r="P235" i="2"/>
  <c r="R234" i="2"/>
  <c r="Q234" i="2"/>
  <c r="P234" i="2"/>
  <c r="R233" i="2"/>
  <c r="Q233" i="2"/>
  <c r="P233" i="2"/>
  <c r="R232" i="2"/>
  <c r="Q232" i="2"/>
  <c r="P232" i="2"/>
  <c r="R231" i="2"/>
  <c r="Q231" i="2"/>
  <c r="P231" i="2"/>
  <c r="R230" i="2"/>
  <c r="Q230" i="2"/>
  <c r="P230" i="2"/>
  <c r="R229" i="2"/>
  <c r="Q229" i="2"/>
  <c r="P229" i="2"/>
  <c r="R228" i="2"/>
  <c r="Q228" i="2"/>
  <c r="P228" i="2"/>
  <c r="R227" i="2"/>
  <c r="Q227" i="2"/>
  <c r="P227" i="2"/>
  <c r="R226" i="2"/>
  <c r="Q226" i="2"/>
  <c r="P226" i="2"/>
  <c r="R225" i="2"/>
  <c r="Q225" i="2"/>
  <c r="P225" i="2"/>
  <c r="R224" i="2"/>
  <c r="Q224" i="2"/>
  <c r="P224" i="2"/>
  <c r="R223" i="2"/>
  <c r="Q223" i="2"/>
  <c r="P223" i="2"/>
  <c r="R222" i="2"/>
  <c r="Q222" i="2"/>
  <c r="P222" i="2"/>
  <c r="R221" i="2"/>
  <c r="Q221" i="2"/>
  <c r="P221" i="2"/>
  <c r="R220" i="2"/>
  <c r="Q220" i="2"/>
  <c r="P220" i="2"/>
  <c r="R219" i="2"/>
  <c r="Q219" i="2"/>
  <c r="P219" i="2"/>
  <c r="R218" i="2"/>
  <c r="Q218" i="2"/>
  <c r="P218" i="2"/>
  <c r="R217" i="2"/>
  <c r="Q217" i="2"/>
  <c r="P217" i="2"/>
  <c r="R216" i="2"/>
  <c r="Q216" i="2"/>
  <c r="P216" i="2"/>
  <c r="R215" i="2"/>
  <c r="Q215" i="2"/>
  <c r="P215" i="2"/>
  <c r="R214" i="2"/>
  <c r="Q214" i="2"/>
  <c r="P214" i="2"/>
  <c r="R213" i="2"/>
  <c r="Q213" i="2"/>
  <c r="P213" i="2"/>
  <c r="R212" i="2"/>
  <c r="Q212" i="2"/>
  <c r="P212" i="2"/>
  <c r="R211" i="2"/>
  <c r="Q211" i="2"/>
  <c r="P211" i="2"/>
  <c r="R210" i="2"/>
  <c r="Q210" i="2"/>
  <c r="P210" i="2"/>
  <c r="R209" i="2"/>
  <c r="Q209" i="2"/>
  <c r="P209" i="2"/>
  <c r="R208" i="2"/>
  <c r="Q208" i="2"/>
  <c r="P208" i="2"/>
  <c r="R207" i="2"/>
  <c r="Q207" i="2"/>
  <c r="P207" i="2"/>
  <c r="R206" i="2"/>
  <c r="Q206" i="2"/>
  <c r="P206" i="2"/>
  <c r="R205" i="2"/>
  <c r="Q205" i="2"/>
  <c r="P205" i="2"/>
  <c r="R204" i="2"/>
  <c r="Q204" i="2"/>
  <c r="P204" i="2"/>
  <c r="R203" i="2"/>
  <c r="Q203" i="2"/>
  <c r="P203" i="2"/>
  <c r="R202" i="2"/>
  <c r="Q202" i="2"/>
  <c r="P202" i="2"/>
  <c r="R201" i="2"/>
  <c r="Q201" i="2"/>
  <c r="P201" i="2"/>
  <c r="R200" i="2"/>
  <c r="Q200" i="2"/>
  <c r="P200" i="2"/>
  <c r="R199" i="2"/>
  <c r="Q199" i="2"/>
  <c r="P199" i="2"/>
  <c r="R198" i="2"/>
  <c r="Q198" i="2"/>
  <c r="P198" i="2"/>
  <c r="R197" i="2"/>
  <c r="Q197" i="2"/>
  <c r="P197" i="2"/>
  <c r="R196" i="2"/>
  <c r="Q196" i="2"/>
  <c r="P196" i="2"/>
  <c r="R195" i="2"/>
  <c r="Q195" i="2"/>
  <c r="P195" i="2"/>
  <c r="R194" i="2"/>
  <c r="Q194" i="2"/>
  <c r="P194" i="2"/>
  <c r="R193" i="2"/>
  <c r="Q193" i="2"/>
  <c r="P193" i="2"/>
  <c r="R192" i="2"/>
  <c r="Q192" i="2"/>
  <c r="P192" i="2"/>
  <c r="R191" i="2"/>
  <c r="Q191" i="2"/>
  <c r="P191" i="2"/>
  <c r="R190" i="2"/>
  <c r="Q190" i="2"/>
  <c r="P190" i="2"/>
  <c r="R189" i="2"/>
  <c r="Q189" i="2"/>
  <c r="P189" i="2"/>
  <c r="R188" i="2"/>
  <c r="Q188" i="2"/>
  <c r="P188" i="2"/>
  <c r="R187" i="2"/>
  <c r="Q187" i="2"/>
  <c r="P187" i="2"/>
  <c r="R186" i="2"/>
  <c r="Q186" i="2"/>
  <c r="P186" i="2"/>
  <c r="R185" i="2"/>
  <c r="Q185" i="2"/>
  <c r="P185" i="2"/>
  <c r="R184" i="2"/>
  <c r="Q184" i="2"/>
  <c r="P184" i="2"/>
  <c r="R183" i="2"/>
  <c r="Q183" i="2"/>
  <c r="P183" i="2"/>
  <c r="R182" i="2"/>
  <c r="Q182" i="2"/>
  <c r="P182" i="2"/>
  <c r="R181" i="2"/>
  <c r="Q181" i="2"/>
  <c r="P181" i="2"/>
  <c r="R180" i="2"/>
  <c r="Q180" i="2"/>
  <c r="P180" i="2"/>
  <c r="R179" i="2"/>
  <c r="Q179" i="2"/>
  <c r="P179" i="2"/>
  <c r="R178" i="2"/>
  <c r="Q178" i="2"/>
  <c r="P178" i="2"/>
  <c r="R177" i="2"/>
  <c r="Q177" i="2"/>
  <c r="P177" i="2"/>
  <c r="R176" i="2"/>
  <c r="Q176" i="2"/>
  <c r="P176" i="2"/>
  <c r="R175" i="2"/>
  <c r="Q175" i="2"/>
  <c r="P175" i="2"/>
  <c r="R174" i="2"/>
  <c r="Q174" i="2"/>
  <c r="P174" i="2"/>
  <c r="R173" i="2"/>
  <c r="Q173" i="2"/>
  <c r="P173" i="2"/>
  <c r="R172" i="2"/>
  <c r="Q172" i="2"/>
  <c r="P172" i="2"/>
  <c r="R171" i="2"/>
  <c r="Q171" i="2"/>
  <c r="P171" i="2"/>
  <c r="R170" i="2"/>
  <c r="Q170" i="2"/>
  <c r="P170" i="2"/>
  <c r="R169" i="2"/>
  <c r="Q169" i="2"/>
  <c r="P169" i="2"/>
  <c r="R168" i="2"/>
  <c r="Q168" i="2"/>
  <c r="P168" i="2"/>
  <c r="R167" i="2"/>
  <c r="Q167" i="2"/>
  <c r="P167" i="2"/>
  <c r="R166" i="2"/>
  <c r="Q166" i="2"/>
  <c r="P166" i="2"/>
  <c r="R165" i="2"/>
  <c r="Q165" i="2"/>
  <c r="P165" i="2"/>
  <c r="R164" i="2"/>
  <c r="Q164" i="2"/>
  <c r="P164" i="2"/>
  <c r="R163" i="2"/>
  <c r="Q163" i="2"/>
  <c r="P163" i="2"/>
  <c r="R162" i="2"/>
  <c r="Q162" i="2"/>
  <c r="P162" i="2"/>
  <c r="R161" i="2"/>
  <c r="Q161" i="2"/>
  <c r="P161" i="2"/>
  <c r="R160" i="2"/>
  <c r="Q160" i="2"/>
  <c r="P160" i="2"/>
  <c r="R159" i="2"/>
  <c r="Q159" i="2"/>
  <c r="P159" i="2"/>
  <c r="R158" i="2"/>
  <c r="Q158" i="2"/>
  <c r="P158" i="2"/>
  <c r="R157" i="2"/>
  <c r="Q157" i="2"/>
  <c r="P157" i="2"/>
  <c r="R156" i="2"/>
  <c r="Q156" i="2"/>
  <c r="P156" i="2"/>
  <c r="R155" i="2"/>
  <c r="Q155" i="2"/>
  <c r="P155" i="2"/>
  <c r="R154" i="2"/>
  <c r="Q154" i="2"/>
  <c r="P154" i="2"/>
  <c r="R153" i="2"/>
  <c r="Q153" i="2"/>
  <c r="P153" i="2"/>
  <c r="R152" i="2"/>
  <c r="Q152" i="2"/>
  <c r="P152" i="2"/>
  <c r="R151" i="2"/>
  <c r="Q151" i="2"/>
  <c r="P151" i="2"/>
  <c r="R150" i="2"/>
  <c r="Q150" i="2"/>
  <c r="P150" i="2"/>
  <c r="R149" i="2"/>
  <c r="Q149" i="2"/>
  <c r="P149" i="2"/>
  <c r="R148" i="2"/>
  <c r="Q148" i="2"/>
  <c r="P148" i="2"/>
  <c r="R147" i="2"/>
  <c r="Q147" i="2"/>
  <c r="P147" i="2"/>
  <c r="R146" i="2"/>
  <c r="Q146" i="2"/>
  <c r="P146" i="2"/>
  <c r="R145" i="2"/>
  <c r="Q145" i="2"/>
  <c r="P145" i="2"/>
  <c r="R144" i="2"/>
  <c r="Q144" i="2"/>
  <c r="P144" i="2"/>
  <c r="R143" i="2"/>
  <c r="Q143" i="2"/>
  <c r="P143" i="2"/>
  <c r="R142" i="2"/>
  <c r="Q142" i="2"/>
  <c r="P142" i="2"/>
  <c r="R141" i="2"/>
  <c r="Q141" i="2"/>
  <c r="P141" i="2"/>
  <c r="R140" i="2"/>
  <c r="Q140" i="2"/>
  <c r="P140" i="2"/>
  <c r="R139" i="2"/>
  <c r="Q139" i="2"/>
  <c r="P139" i="2"/>
  <c r="R138" i="2"/>
  <c r="Q138" i="2"/>
  <c r="P138" i="2"/>
  <c r="R137" i="2"/>
  <c r="Q137" i="2"/>
  <c r="P137" i="2"/>
  <c r="R136" i="2"/>
  <c r="Q136" i="2"/>
  <c r="P136" i="2"/>
  <c r="R135" i="2"/>
  <c r="Q135" i="2"/>
  <c r="P135" i="2"/>
  <c r="R134" i="2"/>
  <c r="Q134" i="2"/>
  <c r="P134" i="2"/>
  <c r="R133" i="2"/>
  <c r="Q133" i="2"/>
  <c r="P133" i="2"/>
  <c r="R132" i="2"/>
  <c r="Q132" i="2"/>
  <c r="P132" i="2"/>
  <c r="R131" i="2"/>
  <c r="Q131" i="2"/>
  <c r="P131" i="2"/>
  <c r="R130" i="2"/>
  <c r="Q130" i="2"/>
  <c r="P130" i="2"/>
  <c r="R129" i="2"/>
  <c r="Q129" i="2"/>
  <c r="P129" i="2"/>
  <c r="R128" i="2"/>
  <c r="Q128" i="2"/>
  <c r="P128" i="2"/>
  <c r="R127" i="2"/>
  <c r="Q127" i="2"/>
  <c r="P127" i="2"/>
  <c r="R126" i="2"/>
  <c r="Q126" i="2"/>
  <c r="P126" i="2"/>
  <c r="R125" i="2"/>
  <c r="Q125" i="2"/>
  <c r="P125" i="2"/>
  <c r="R124" i="2"/>
  <c r="Q124" i="2"/>
  <c r="P124" i="2"/>
  <c r="R123" i="2"/>
  <c r="Q123" i="2"/>
  <c r="P123" i="2"/>
  <c r="R122" i="2"/>
  <c r="Q122" i="2"/>
  <c r="P122" i="2"/>
  <c r="R121" i="2"/>
  <c r="Q121" i="2"/>
  <c r="P121" i="2"/>
  <c r="R120" i="2"/>
  <c r="Q120" i="2"/>
  <c r="P120" i="2"/>
  <c r="R119" i="2"/>
  <c r="Q119" i="2"/>
  <c r="P119" i="2"/>
  <c r="R118" i="2"/>
  <c r="Q118" i="2"/>
  <c r="P118" i="2"/>
  <c r="R117" i="2"/>
  <c r="Q117" i="2"/>
  <c r="P117" i="2"/>
  <c r="R116" i="2"/>
  <c r="Q116" i="2"/>
  <c r="P116" i="2"/>
  <c r="R115" i="2"/>
  <c r="Q115" i="2"/>
  <c r="P115" i="2"/>
  <c r="R114" i="2"/>
  <c r="Q114" i="2"/>
  <c r="P114" i="2"/>
  <c r="R113" i="2"/>
  <c r="Q113" i="2"/>
  <c r="P113" i="2"/>
  <c r="R112" i="2"/>
  <c r="Q112" i="2"/>
  <c r="P112" i="2"/>
  <c r="R111" i="2"/>
  <c r="Q111" i="2"/>
  <c r="P111" i="2"/>
  <c r="R110" i="2"/>
  <c r="Q110" i="2"/>
  <c r="P110" i="2"/>
  <c r="R109" i="2"/>
  <c r="Q109" i="2"/>
  <c r="P109" i="2"/>
  <c r="R108" i="2"/>
  <c r="Q108" i="2"/>
  <c r="P108" i="2"/>
  <c r="R107" i="2"/>
  <c r="Q107" i="2"/>
  <c r="P107" i="2"/>
  <c r="R106" i="2"/>
  <c r="Q106" i="2"/>
  <c r="P106" i="2"/>
  <c r="R105" i="2"/>
  <c r="Q105" i="2"/>
  <c r="P105" i="2"/>
  <c r="R104" i="2"/>
  <c r="Q104" i="2"/>
  <c r="P104" i="2"/>
  <c r="R103" i="2"/>
  <c r="Q103" i="2"/>
  <c r="P103" i="2"/>
  <c r="R102" i="2"/>
  <c r="Q102" i="2"/>
  <c r="P102" i="2"/>
  <c r="R101" i="2"/>
  <c r="Q101" i="2"/>
  <c r="P101" i="2"/>
  <c r="R100" i="2"/>
  <c r="Q100" i="2"/>
  <c r="R99" i="2"/>
  <c r="Q99" i="2"/>
  <c r="P99" i="2"/>
  <c r="R98" i="2"/>
  <c r="Q98" i="2"/>
  <c r="R97" i="2"/>
  <c r="Q97" i="2"/>
  <c r="R96" i="2"/>
  <c r="Q96" i="2"/>
  <c r="R95" i="2"/>
  <c r="Q95" i="2"/>
  <c r="R94" i="2"/>
  <c r="Q94" i="2"/>
  <c r="R93" i="2"/>
  <c r="Q93" i="2"/>
  <c r="R92" i="2"/>
  <c r="Q92" i="2"/>
  <c r="R91" i="2"/>
  <c r="Q91" i="2"/>
  <c r="P91" i="2"/>
  <c r="R90" i="2"/>
  <c r="Q90" i="2"/>
  <c r="R89" i="2"/>
  <c r="Q89" i="2"/>
  <c r="R88" i="2"/>
  <c r="Q88" i="2"/>
  <c r="R87" i="2"/>
  <c r="Q87" i="2"/>
  <c r="R86" i="2"/>
  <c r="Q86" i="2"/>
  <c r="R85" i="2"/>
  <c r="Q85" i="2"/>
  <c r="R84" i="2"/>
  <c r="Q84" i="2"/>
  <c r="R83" i="2"/>
  <c r="Q83" i="2"/>
  <c r="R82" i="2"/>
  <c r="Q82" i="2"/>
  <c r="R81" i="2"/>
  <c r="Q81" i="2"/>
  <c r="R80" i="2"/>
  <c r="Q80" i="2"/>
  <c r="R79" i="2"/>
  <c r="Q79" i="2"/>
  <c r="R78" i="2"/>
  <c r="Q78" i="2"/>
  <c r="R77" i="2"/>
  <c r="Q77" i="2"/>
  <c r="R76" i="2"/>
  <c r="Q76" i="2"/>
  <c r="R75" i="2"/>
  <c r="Q75" i="2"/>
  <c r="R74" i="2"/>
  <c r="Q74" i="2"/>
  <c r="R73" i="2"/>
  <c r="Q73" i="2"/>
  <c r="R72" i="2"/>
  <c r="Q72" i="2"/>
  <c r="R71" i="2"/>
  <c r="Q71" i="2"/>
  <c r="R70" i="2"/>
  <c r="Q70" i="2"/>
  <c r="R69" i="2"/>
  <c r="Q69" i="2"/>
  <c r="R68" i="2"/>
  <c r="Q68" i="2"/>
  <c r="R67" i="2"/>
  <c r="Q67" i="2"/>
  <c r="R66" i="2"/>
  <c r="Q66" i="2"/>
  <c r="R65" i="2"/>
  <c r="Q65" i="2"/>
  <c r="R64" i="2"/>
  <c r="Q64" i="2"/>
  <c r="R63" i="2"/>
  <c r="Q63" i="2"/>
  <c r="R62" i="2"/>
  <c r="Q62" i="2"/>
  <c r="R61" i="2"/>
  <c r="Q61" i="2"/>
  <c r="R60" i="2"/>
  <c r="Q60" i="2"/>
  <c r="R59" i="2"/>
  <c r="Q59" i="2"/>
  <c r="R58" i="2"/>
  <c r="Q58" i="2"/>
  <c r="R57" i="2"/>
  <c r="Q57" i="2"/>
  <c r="R56" i="2"/>
  <c r="Q56" i="2"/>
  <c r="R55" i="2"/>
  <c r="Q55" i="2"/>
  <c r="R54" i="2"/>
  <c r="Q54" i="2"/>
  <c r="R53" i="2"/>
  <c r="Q53" i="2"/>
  <c r="R52" i="2"/>
  <c r="Q52" i="2"/>
  <c r="R51" i="2"/>
  <c r="Q51" i="2"/>
  <c r="P51" i="2"/>
  <c r="R50" i="2"/>
  <c r="Q50" i="2"/>
  <c r="R49" i="2"/>
  <c r="Q49" i="2"/>
  <c r="R48" i="2"/>
  <c r="Q48" i="2"/>
  <c r="R47" i="2"/>
  <c r="Q47" i="2"/>
  <c r="R46" i="2"/>
  <c r="Q46" i="2"/>
  <c r="R45" i="2"/>
  <c r="Q45" i="2"/>
  <c r="R44" i="2"/>
  <c r="Q44" i="2"/>
  <c r="R43" i="2"/>
  <c r="Q43" i="2"/>
  <c r="R42" i="2"/>
  <c r="Q42" i="2"/>
  <c r="R41" i="2"/>
  <c r="Q41" i="2"/>
  <c r="R40" i="2"/>
  <c r="Q40" i="2"/>
  <c r="R39" i="2"/>
  <c r="Q39" i="2"/>
  <c r="R38" i="2"/>
  <c r="Q38" i="2"/>
  <c r="R37" i="2"/>
  <c r="Q37" i="2"/>
  <c r="R36" i="2"/>
  <c r="Q36" i="2"/>
  <c r="R35" i="2"/>
  <c r="Q35" i="2"/>
  <c r="P35" i="2"/>
  <c r="R34" i="2"/>
  <c r="Q34" i="2"/>
  <c r="R33" i="2"/>
  <c r="Q33" i="2"/>
  <c r="R32" i="2"/>
  <c r="Q32" i="2"/>
  <c r="R31" i="2"/>
  <c r="Q31" i="2"/>
  <c r="R30" i="2"/>
  <c r="Q30" i="2"/>
  <c r="R29" i="2"/>
  <c r="Q29" i="2"/>
  <c r="R28" i="2"/>
  <c r="Q28" i="2"/>
  <c r="R27" i="2"/>
  <c r="Q27" i="2"/>
  <c r="P27" i="2"/>
  <c r="R26" i="2"/>
  <c r="Q26" i="2"/>
  <c r="R25" i="2"/>
  <c r="Q25" i="2"/>
  <c r="R24" i="2"/>
  <c r="Q24" i="2"/>
  <c r="R23" i="2"/>
  <c r="Q23" i="2"/>
  <c r="R22" i="2"/>
  <c r="Q22" i="2"/>
  <c r="R21" i="2"/>
  <c r="Q21" i="2"/>
  <c r="R20" i="2"/>
  <c r="Q20" i="2"/>
  <c r="R19" i="2"/>
  <c r="Q19" i="2"/>
  <c r="R18" i="2"/>
  <c r="Q18" i="2"/>
  <c r="R17" i="2"/>
  <c r="Q17" i="2"/>
  <c r="R16" i="2"/>
  <c r="Q16" i="2"/>
  <c r="R15" i="2"/>
  <c r="Q15" i="2"/>
  <c r="R14" i="2"/>
  <c r="Q14" i="2"/>
  <c r="R13" i="2"/>
  <c r="Q13" i="2"/>
  <c r="R12" i="2"/>
  <c r="Q12" i="2"/>
  <c r="R11" i="2"/>
  <c r="Q11" i="2"/>
  <c r="P96" i="2" s="1"/>
  <c r="R10" i="2"/>
  <c r="P10" i="2"/>
  <c r="B110" i="2"/>
  <c r="B109" i="2"/>
  <c r="B108" i="2"/>
  <c r="B107" i="2"/>
  <c r="B106" i="2"/>
  <c r="B105" i="2"/>
  <c r="B104" i="2"/>
  <c r="B103" i="2"/>
  <c r="B102" i="2"/>
  <c r="B101" i="2"/>
  <c r="B100" i="2"/>
  <c r="B99" i="2"/>
  <c r="B98" i="2"/>
  <c r="B97" i="2"/>
  <c r="B96" i="2"/>
  <c r="B95" i="2"/>
  <c r="B94" i="2"/>
  <c r="B93" i="2"/>
  <c r="B92" i="2"/>
  <c r="B91" i="2"/>
  <c r="B90" i="2"/>
  <c r="B89" i="2"/>
  <c r="B88" i="2"/>
  <c r="B87" i="2"/>
  <c r="B86" i="2"/>
  <c r="B85" i="2"/>
  <c r="B84" i="2"/>
  <c r="B83" i="2"/>
  <c r="B82" i="2"/>
  <c r="B81" i="2"/>
  <c r="B80" i="2"/>
  <c r="B79" i="2"/>
  <c r="B78" i="2"/>
  <c r="B77" i="2"/>
  <c r="B76" i="2"/>
  <c r="B75" i="2"/>
  <c r="B74" i="2"/>
  <c r="B73" i="2"/>
  <c r="B72" i="2"/>
  <c r="B71" i="2"/>
  <c r="B70" i="2"/>
  <c r="B69" i="2"/>
  <c r="B68" i="2"/>
  <c r="B67" i="2"/>
  <c r="B66" i="2"/>
  <c r="B65" i="2"/>
  <c r="B64" i="2"/>
  <c r="B63" i="2"/>
  <c r="B62" i="2"/>
  <c r="B61" i="2"/>
  <c r="B60" i="2"/>
  <c r="B59" i="2"/>
  <c r="B58" i="2"/>
  <c r="B57" i="2"/>
  <c r="B56" i="2"/>
  <c r="B55" i="2"/>
  <c r="B54" i="2"/>
  <c r="B53" i="2"/>
  <c r="B52" i="2"/>
  <c r="B51" i="2"/>
  <c r="B50" i="2"/>
  <c r="B49" i="2"/>
  <c r="B48" i="2"/>
  <c r="B47" i="2"/>
  <c r="B46" i="2"/>
  <c r="B45" i="2"/>
  <c r="B44" i="2"/>
  <c r="B43" i="2"/>
  <c r="B42" i="2"/>
  <c r="B41" i="2"/>
  <c r="B40" i="2"/>
  <c r="B39" i="2"/>
  <c r="B38" i="2"/>
  <c r="B37" i="2"/>
  <c r="B36" i="2"/>
  <c r="B35" i="2"/>
  <c r="B34" i="2"/>
  <c r="B33" i="2"/>
  <c r="B32" i="2"/>
  <c r="B31" i="2"/>
  <c r="B30" i="2"/>
  <c r="B29" i="2"/>
  <c r="B28" i="2"/>
  <c r="B27" i="2"/>
  <c r="B26" i="2"/>
  <c r="B25" i="2"/>
  <c r="B24" i="2"/>
  <c r="B23" i="2"/>
  <c r="B22" i="2"/>
  <c r="B21" i="2"/>
  <c r="B20" i="2"/>
  <c r="B19" i="2"/>
  <c r="B18" i="2"/>
  <c r="B17" i="2"/>
  <c r="B16" i="2"/>
  <c r="B15" i="2"/>
  <c r="B14" i="2"/>
  <c r="B13" i="2"/>
  <c r="B12" i="2"/>
  <c r="P43" i="2" l="1"/>
  <c r="P67" i="2"/>
  <c r="P59" i="2"/>
  <c r="P11" i="2"/>
  <c r="P75" i="2"/>
  <c r="P19" i="2"/>
  <c r="P83" i="2"/>
  <c r="P78" i="2"/>
  <c r="P94" i="2"/>
  <c r="P17" i="2"/>
  <c r="P25" i="2"/>
  <c r="P33" i="2"/>
  <c r="P41" i="2"/>
  <c r="P49" i="2"/>
  <c r="P57" i="2"/>
  <c r="P65" i="2"/>
  <c r="P73" i="2"/>
  <c r="P81" i="2"/>
  <c r="P89" i="2"/>
  <c r="P97" i="2"/>
  <c r="P12" i="2"/>
  <c r="P20" i="2"/>
  <c r="P28" i="2"/>
  <c r="P36" i="2"/>
  <c r="P44" i="2"/>
  <c r="P52" i="2"/>
  <c r="P60" i="2"/>
  <c r="P68" i="2"/>
  <c r="P76" i="2"/>
  <c r="P84" i="2"/>
  <c r="P92" i="2"/>
  <c r="P100" i="2"/>
  <c r="P30" i="2"/>
  <c r="P54" i="2"/>
  <c r="P15" i="2"/>
  <c r="P23" i="2"/>
  <c r="P31" i="2"/>
  <c r="P39" i="2"/>
  <c r="P47" i="2"/>
  <c r="P55" i="2"/>
  <c r="P63" i="2"/>
  <c r="P71" i="2"/>
  <c r="P79" i="2"/>
  <c r="P87" i="2"/>
  <c r="P95" i="2"/>
  <c r="P14" i="2"/>
  <c r="P22" i="2"/>
  <c r="P62" i="2"/>
  <c r="P86" i="2"/>
  <c r="P26" i="2"/>
  <c r="P34" i="2"/>
  <c r="P42" i="2"/>
  <c r="P50" i="2"/>
  <c r="P58" i="2"/>
  <c r="P66" i="2"/>
  <c r="P74" i="2"/>
  <c r="P82" i="2"/>
  <c r="P90" i="2"/>
  <c r="P98" i="2"/>
  <c r="P38" i="2"/>
  <c r="P46" i="2"/>
  <c r="P70" i="2"/>
  <c r="P13" i="2"/>
  <c r="P21" i="2"/>
  <c r="P29" i="2"/>
  <c r="P37" i="2"/>
  <c r="P45" i="2"/>
  <c r="P53" i="2"/>
  <c r="P61" i="2"/>
  <c r="P69" i="2"/>
  <c r="P77" i="2"/>
  <c r="P85" i="2"/>
  <c r="P93" i="2"/>
  <c r="P18" i="2"/>
  <c r="P16" i="2"/>
  <c r="P24" i="2"/>
  <c r="P32" i="2"/>
  <c r="P40" i="2"/>
  <c r="P48" i="2"/>
  <c r="P56" i="2"/>
  <c r="P64" i="2"/>
  <c r="P72" i="2"/>
  <c r="P80" i="2"/>
  <c r="P88" i="2"/>
  <c r="S36" i="1"/>
  <c r="S37" i="1"/>
  <c r="S38" i="1"/>
  <c r="S39" i="1"/>
  <c r="S40" i="1"/>
  <c r="S35" i="1"/>
  <c r="A15" i="2" l="1"/>
  <c r="A14" i="2"/>
  <c r="A16" i="2" l="1"/>
  <c r="A17" i="2"/>
  <c r="AC1" i="2" l="1"/>
  <c r="A274" i="2" l="1"/>
  <c r="A21" i="2" l="1"/>
  <c r="B172" i="2"/>
  <c r="B162" i="2"/>
  <c r="B152" i="2"/>
  <c r="B142" i="2"/>
  <c r="B132" i="2"/>
  <c r="B122" i="2"/>
  <c r="B112" i="2"/>
</calcChain>
</file>

<file path=xl/sharedStrings.xml><?xml version="1.0" encoding="utf-8"?>
<sst xmlns="http://schemas.openxmlformats.org/spreadsheetml/2006/main" count="381" uniqueCount="101">
  <si>
    <t>TL Intensity</t>
  </si>
  <si>
    <t>a.u.</t>
  </si>
  <si>
    <t>Intensity</t>
  </si>
  <si>
    <t>Tmin</t>
  </si>
  <si>
    <t>Tmax</t>
  </si>
  <si>
    <t>DosesMax</t>
  </si>
  <si>
    <t>DosesMin</t>
  </si>
  <si>
    <t>P1</t>
  </si>
  <si>
    <t>Residual Position</t>
  </si>
  <si>
    <t>Type:</t>
  </si>
  <si>
    <t>Ndata:</t>
  </si>
  <si>
    <t>Range:</t>
  </si>
  <si>
    <t>Name:</t>
  </si>
  <si>
    <t>BG:</t>
  </si>
  <si>
    <t>b:</t>
  </si>
  <si>
    <t>RT:</t>
  </si>
  <si>
    <t>-</t>
  </si>
  <si>
    <t>Notes:</t>
  </si>
  <si>
    <t>i</t>
  </si>
  <si>
    <t>T(i)</t>
  </si>
  <si>
    <t>L(i)</t>
  </si>
  <si>
    <t>BG Data</t>
  </si>
  <si>
    <t>Maximum</t>
  </si>
  <si>
    <t>Highest</t>
  </si>
  <si>
    <t>High</t>
  </si>
  <si>
    <t>Medium</t>
  </si>
  <si>
    <t>Low</t>
  </si>
  <si>
    <t>Lowest</t>
  </si>
  <si>
    <t>TL (oC)</t>
  </si>
  <si>
    <t>CGCD</t>
  </si>
  <si>
    <t>b</t>
  </si>
  <si>
    <t>Tm (oC)</t>
  </si>
  <si>
    <t>E (eV)</t>
  </si>
  <si>
    <t>s (s^-1)</t>
  </si>
  <si>
    <t>t (day)</t>
  </si>
  <si>
    <t>Area</t>
  </si>
  <si>
    <t>P2</t>
  </si>
  <si>
    <t>P3</t>
  </si>
  <si>
    <t>P4</t>
  </si>
  <si>
    <t>P5</t>
  </si>
  <si>
    <t>Temperature</t>
  </si>
  <si>
    <t>G</t>
  </si>
  <si>
    <t>Pn</t>
  </si>
  <si>
    <t>FitLum 1.1</t>
  </si>
  <si>
    <t>5 to 450</t>
  </si>
  <si>
    <t>Order</t>
  </si>
  <si>
    <t>Function:</t>
  </si>
  <si>
    <t>A:</t>
  </si>
  <si>
    <t>B:</t>
  </si>
  <si>
    <t>C:</t>
  </si>
  <si>
    <t>D:</t>
  </si>
  <si>
    <t>P2-215.5</t>
  </si>
  <si>
    <t>P1-158.8</t>
  </si>
  <si>
    <t>P2-216.6</t>
  </si>
  <si>
    <t>P4-327.1</t>
  </si>
  <si>
    <t>P2-215.8</t>
  </si>
  <si>
    <t>P1-158</t>
  </si>
  <si>
    <t>P2-215</t>
  </si>
  <si>
    <t>P5-397.4</t>
  </si>
  <si>
    <t>P2-213.8</t>
  </si>
  <si>
    <t>Name</t>
  </si>
  <si>
    <t>I=A*d+B</t>
  </si>
  <si>
    <t>I=A*(1-exp(-(d+B)/C))+D*d</t>
  </si>
  <si>
    <t>I=A+B*d+C*d^2+D*d^3</t>
  </si>
  <si>
    <t>I=A*exp(-B/(d-C))</t>
  </si>
  <si>
    <t>P1-164.4</t>
  </si>
  <si>
    <t>°C</t>
  </si>
  <si>
    <t>Dose</t>
  </si>
  <si>
    <t>Gy</t>
  </si>
  <si>
    <t>P2-214.5</t>
  </si>
  <si>
    <t>P4-323.6</t>
  </si>
  <si>
    <t>P1-161.3</t>
  </si>
  <si>
    <t>P3-275.5</t>
  </si>
  <si>
    <t>P5-396</t>
  </si>
  <si>
    <t>P1-159.8</t>
  </si>
  <si>
    <t>P2-216.4</t>
  </si>
  <si>
    <t>P3-271.6</t>
  </si>
  <si>
    <t>P4-328.8</t>
  </si>
  <si>
    <t>P5-400.9</t>
  </si>
  <si>
    <t>P4-327.4</t>
  </si>
  <si>
    <t>P5-399.7</t>
  </si>
  <si>
    <t>P3-268.1</t>
  </si>
  <si>
    <t>P3-275.8</t>
  </si>
  <si>
    <t>P5-396.7</t>
  </si>
  <si>
    <t>P1-158.5</t>
  </si>
  <si>
    <t>P3-277.8</t>
  </si>
  <si>
    <t>P1-159.4</t>
  </si>
  <si>
    <t>P3-276.6</t>
  </si>
  <si>
    <t>P4-324.9</t>
  </si>
  <si>
    <t>P5-396.3</t>
  </si>
  <si>
    <t>P1-162.3</t>
  </si>
  <si>
    <t>P2-213.9</t>
  </si>
  <si>
    <t>P4-321.6</t>
  </si>
  <si>
    <t>P5-396.1</t>
  </si>
  <si>
    <t>P3-274.9</t>
  </si>
  <si>
    <t>P4-319.9</t>
  </si>
  <si>
    <t>P5-397.7</t>
  </si>
  <si>
    <t>I=A*(1-exp(-(d+B)/C))</t>
  </si>
  <si>
    <t>I=A+B*d+C*d^2</t>
  </si>
  <si>
    <t>Fit1</t>
  </si>
  <si>
    <t>Peak1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</si>
</sst>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FOM= &quot;#,##0.0000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1"/>
      <color theme="1"/>
      <name val="symbol"/>
      <family val="1"/>
      <charset val="2"/>
    </font>
    <font>
      <sz val="10"/>
      <color rgb="FF000000"/>
      <name val="Times New Roman"/>
      <family val="1"/>
    </font>
    <font>
      <sz val="11"/>
      <color rgb="FFB2B2B2"/>
      <name val="Calibri"/>
      <family val="2"/>
      <scheme val="minor"/>
    </font>
    <font>
      <sz val="11"/>
      <color rgb="FF000000"/>
      <name val="Times New Roman"/>
      <family val="1"/>
    </font>
    <font>
      <sz val="11"/>
      <color theme="0"/>
      <name val="Calibri"/>
      <family val="2"/>
      <scheme val="minor"/>
    </font>
    <font>
      <sz val="11"/>
      <color theme="0"/>
      <name val="Agency FB"/>
      <family val="2"/>
    </font>
    <font>
      <sz val="11"/>
      <color rgb="FF0000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0F243E"/>
        <bgColor indexed="64"/>
      </patternFill>
    </fill>
    <fill>
      <patternFill patternType="solid">
        <fgColor rgb="FF4BACC6"/>
        <bgColor indexed="64"/>
      </patternFill>
    </fill>
    <fill>
      <patternFill patternType="solid">
        <fgColor rgb="FF003C5A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theme="0"/>
      </top>
      <bottom/>
      <diagonal/>
    </border>
    <border>
      <left/>
      <right/>
      <top/>
      <bottom style="thin">
        <color theme="0"/>
      </bottom>
      <diagonal/>
    </border>
  </borders>
  <cellStyleXfs count="1">
    <xf numFmtId="0" fontId="0" fillId="0" borderId="0"/>
  </cellStyleXfs>
  <cellXfs count="32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1" fillId="2" borderId="0" xfId="0" applyFont="1" applyFill="1" applyAlignment="1">
      <alignment horizontal="center"/>
    </xf>
    <xf numFmtId="0" fontId="2" fillId="3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1" fillId="4" borderId="0" xfId="0" applyFont="1" applyFill="1" applyAlignment="1">
      <alignment horizontal="center"/>
    </xf>
    <xf numFmtId="0" fontId="3" fillId="2" borderId="0" xfId="0" applyFont="1" applyFill="1" applyAlignment="1">
      <alignment horizontal="center"/>
    </xf>
    <xf numFmtId="0" fontId="4" fillId="4" borderId="0" xfId="0" applyFont="1" applyFill="1" applyAlignment="1">
      <alignment horizontal="center"/>
    </xf>
    <xf numFmtId="164" fontId="1" fillId="2" borderId="0" xfId="0" applyNumberFormat="1" applyFont="1" applyFill="1" applyAlignment="1">
      <alignment horizontal="center"/>
    </xf>
    <xf numFmtId="0" fontId="6" fillId="0" borderId="0" xfId="0" applyFont="1"/>
    <xf numFmtId="0" fontId="0" fillId="2" borderId="0" xfId="0" applyFill="1"/>
    <xf numFmtId="0" fontId="9" fillId="5" borderId="0" xfId="0" applyFont="1" applyFill="1"/>
    <xf numFmtId="0" fontId="8" fillId="5" borderId="0" xfId="0" applyFont="1" applyFill="1" applyAlignment="1">
      <alignment horizontal="center"/>
    </xf>
    <xf numFmtId="0" fontId="2" fillId="3" borderId="0" xfId="0" applyFont="1" applyFill="1"/>
    <xf numFmtId="0" fontId="0" fillId="0" borderId="0" xfId="0" applyNumberFormat="1"/>
    <xf numFmtId="11" fontId="10" fillId="0" borderId="0" xfId="0" applyNumberFormat="1" applyFont="1"/>
    <xf numFmtId="0" fontId="10" fillId="0" borderId="0" xfId="0" applyNumberFormat="1" applyFont="1"/>
    <xf numFmtId="0" fontId="10" fillId="0" borderId="0" xfId="0" applyFont="1"/>
    <xf numFmtId="2" fontId="10" fillId="0" borderId="0" xfId="0" applyNumberFormat="1" applyFont="1"/>
    <xf numFmtId="0" fontId="8" fillId="0" borderId="0" xfId="0" applyFont="1" applyFill="1" applyAlignment="1">
      <alignment horizontal="center"/>
    </xf>
    <xf numFmtId="0" fontId="11" fillId="0" borderId="0" xfId="0" applyFont="1" applyFill="1" applyAlignment="1">
      <alignment horizontal="center"/>
    </xf>
    <xf numFmtId="0" fontId="8" fillId="0" borderId="0" xfId="0" applyFont="1" applyFill="1"/>
    <xf numFmtId="0" fontId="11" fillId="0" borderId="0" xfId="0" applyFont="1" applyFill="1" applyAlignment="1">
      <alignment horizontal="left"/>
    </xf>
    <xf numFmtId="0" fontId="11" fillId="0" borderId="0" xfId="0" applyFont="1" applyFill="1"/>
    <xf numFmtId="11" fontId="8" fillId="0" borderId="0" xfId="0" applyNumberFormat="1" applyFont="1" applyFill="1"/>
    <xf numFmtId="0" fontId="8" fillId="0" borderId="0" xfId="0" applyFont="1" applyFill="1" applyBorder="1" applyAlignment="1">
      <alignment horizontal="center"/>
    </xf>
    <xf numFmtId="0" fontId="11" fillId="0" borderId="0" xfId="0" applyFont="1" applyFill="1" applyBorder="1" applyAlignment="1">
      <alignment horizontal="center"/>
    </xf>
    <xf numFmtId="0" fontId="12" fillId="6" borderId="0" xfId="0" applyFont="1" applyFill="1" applyAlignment="1">
      <alignment horizontal="center"/>
    </xf>
    <xf numFmtId="0" fontId="11" fillId="5" borderId="0" xfId="0" applyFont="1" applyFill="1" applyAlignment="1">
      <alignment horizontal="center"/>
    </xf>
    <xf numFmtId="0" fontId="11" fillId="3" borderId="1" xfId="0" applyFont="1" applyFill="1" applyBorder="1" applyAlignment="1">
      <alignment horizontal="center"/>
    </xf>
    <xf numFmtId="0" fontId="11" fillId="5" borderId="2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3C5A"/>
      <color rgb="FF003C50"/>
      <color rgb="FF003264"/>
      <color rgb="FF003C64"/>
      <color rgb="FF1E3C64"/>
      <color rgb="FF003200"/>
      <color rgb="FF004600"/>
      <color rgb="FF143C50"/>
      <color rgb="FF001E00"/>
      <color rgb="FF0028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781060673836426"/>
          <c:y val="2.1611360940602058E-2"/>
          <c:w val="0.60611624533775388"/>
          <c:h val="0.82885911426821812"/>
        </c:manualLayout>
      </c:layout>
      <c:scatterChart>
        <c:scatterStyle val="lineMarker"/>
        <c:varyColors val="0"/>
        <c:ser>
          <c:idx val="0"/>
          <c:order val="0"/>
          <c:tx>
            <c:strRef>
              <c:f>'Data-Plot'!$E$10</c:f>
              <c:strCache>
                <c:ptCount val="1"/>
                <c:pt idx="0">
                  <c:v>P1-159.8</c:v>
                </c:pt>
              </c:strCache>
            </c:strRef>
          </c:tx>
          <c:spPr>
            <a:ln w="22225" cap="rnd">
              <a:solidFill>
                <a:srgbClr val="007800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105</c:v>
                </c:pt>
                <c:pt idx="21">
                  <c:v>110</c:v>
                </c:pt>
                <c:pt idx="22">
                  <c:v>115</c:v>
                </c:pt>
                <c:pt idx="23">
                  <c:v>120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185</c:v>
                </c:pt>
                <c:pt idx="37">
                  <c:v>190</c:v>
                </c:pt>
                <c:pt idx="38">
                  <c:v>195</c:v>
                </c:pt>
                <c:pt idx="39">
                  <c:v>200</c:v>
                </c:pt>
                <c:pt idx="40">
                  <c:v>205</c:v>
                </c:pt>
                <c:pt idx="41">
                  <c:v>210</c:v>
                </c:pt>
                <c:pt idx="42">
                  <c:v>215</c:v>
                </c:pt>
                <c:pt idx="43">
                  <c:v>220</c:v>
                </c:pt>
                <c:pt idx="44">
                  <c:v>225</c:v>
                </c:pt>
                <c:pt idx="45">
                  <c:v>230</c:v>
                </c:pt>
                <c:pt idx="46">
                  <c:v>235</c:v>
                </c:pt>
                <c:pt idx="47">
                  <c:v>240</c:v>
                </c:pt>
                <c:pt idx="48">
                  <c:v>245</c:v>
                </c:pt>
                <c:pt idx="49">
                  <c:v>250</c:v>
                </c:pt>
                <c:pt idx="50">
                  <c:v>255</c:v>
                </c:pt>
                <c:pt idx="51">
                  <c:v>260</c:v>
                </c:pt>
                <c:pt idx="52">
                  <c:v>265</c:v>
                </c:pt>
                <c:pt idx="53">
                  <c:v>270</c:v>
                </c:pt>
                <c:pt idx="54">
                  <c:v>275</c:v>
                </c:pt>
                <c:pt idx="55">
                  <c:v>280</c:v>
                </c:pt>
                <c:pt idx="56">
                  <c:v>285</c:v>
                </c:pt>
                <c:pt idx="57">
                  <c:v>290</c:v>
                </c:pt>
                <c:pt idx="58">
                  <c:v>295</c:v>
                </c:pt>
                <c:pt idx="59">
                  <c:v>300</c:v>
                </c:pt>
                <c:pt idx="60">
                  <c:v>305</c:v>
                </c:pt>
                <c:pt idx="61">
                  <c:v>310</c:v>
                </c:pt>
                <c:pt idx="62">
                  <c:v>315</c:v>
                </c:pt>
                <c:pt idx="63">
                  <c:v>320</c:v>
                </c:pt>
                <c:pt idx="64">
                  <c:v>325</c:v>
                </c:pt>
                <c:pt idx="65">
                  <c:v>330</c:v>
                </c:pt>
                <c:pt idx="66">
                  <c:v>335</c:v>
                </c:pt>
                <c:pt idx="67">
                  <c:v>340</c:v>
                </c:pt>
                <c:pt idx="68">
                  <c:v>345</c:v>
                </c:pt>
                <c:pt idx="69">
                  <c:v>350</c:v>
                </c:pt>
                <c:pt idx="70">
                  <c:v>355</c:v>
                </c:pt>
                <c:pt idx="71">
                  <c:v>360</c:v>
                </c:pt>
                <c:pt idx="72">
                  <c:v>365</c:v>
                </c:pt>
                <c:pt idx="73">
                  <c:v>370</c:v>
                </c:pt>
                <c:pt idx="74">
                  <c:v>375</c:v>
                </c:pt>
                <c:pt idx="75">
                  <c:v>380</c:v>
                </c:pt>
                <c:pt idx="76">
                  <c:v>385</c:v>
                </c:pt>
                <c:pt idx="77">
                  <c:v>390</c:v>
                </c:pt>
                <c:pt idx="78">
                  <c:v>395</c:v>
                </c:pt>
                <c:pt idx="79">
                  <c:v>400</c:v>
                </c:pt>
                <c:pt idx="80">
                  <c:v>405</c:v>
                </c:pt>
                <c:pt idx="81">
                  <c:v>410</c:v>
                </c:pt>
                <c:pt idx="82">
                  <c:v>415</c:v>
                </c:pt>
                <c:pt idx="83">
                  <c:v>420</c:v>
                </c:pt>
                <c:pt idx="84">
                  <c:v>425</c:v>
                </c:pt>
                <c:pt idx="85">
                  <c:v>430</c:v>
                </c:pt>
                <c:pt idx="86">
                  <c:v>435</c:v>
                </c:pt>
                <c:pt idx="87">
                  <c:v>440</c:v>
                </c:pt>
                <c:pt idx="88">
                  <c:v>445</c:v>
                </c:pt>
                <c:pt idx="89">
                  <c:v>450</c:v>
                </c:pt>
              </c:numCache>
            </c:numRef>
          </c:xVal>
          <c:yVal>
            <c:numRef>
              <c:f>'Data-Plot'!$E$11:$E$1020</c:f>
              <c:numCache>
                <c:formatCode>General</c:formatCode>
                <c:ptCount val="1010"/>
                <c:pt idx="0">
                  <c:v>2.1782884899653869E-3</c:v>
                </c:pt>
                <c:pt idx="1">
                  <c:v>4.581204822145064E-3</c:v>
                </c:pt>
                <c:pt idx="2">
                  <c:v>9.3894294200521627E-3</c:v>
                </c:pt>
                <c:pt idx="3">
                  <c:v>1.8778768913655996E-2</c:v>
                </c:pt>
                <c:pt idx="4">
                  <c:v>3.6694262821091908E-2</c:v>
                </c:pt>
                <c:pt idx="5">
                  <c:v>7.0134489549746368E-2</c:v>
                </c:pt>
                <c:pt idx="6">
                  <c:v>0.13126053494010878</c:v>
                </c:pt>
                <c:pt idx="7">
                  <c:v>0.24079205414468249</c:v>
                </c:pt>
                <c:pt idx="8">
                  <c:v>0.43337496089343225</c:v>
                </c:pt>
                <c:pt idx="9">
                  <c:v>0.76591558873375643</c:v>
                </c:pt>
                <c:pt idx="10">
                  <c:v>1.3303010324060087</c:v>
                </c:pt>
                <c:pt idx="11">
                  <c:v>2.2724942074291814</c:v>
                </c:pt>
                <c:pt idx="12">
                  <c:v>3.820733383994499</c:v>
                </c:pt>
                <c:pt idx="13">
                  <c:v>6.3264969212601967</c:v>
                </c:pt>
                <c:pt idx="14">
                  <c:v>10.322998417884795</c:v>
                </c:pt>
                <c:pt idx="15">
                  <c:v>16.607158193169148</c:v>
                </c:pt>
                <c:pt idx="16">
                  <c:v>26.351980175420504</c:v>
                </c:pt>
                <c:pt idx="17">
                  <c:v>41.25641605821059</c:v>
                </c:pt>
                <c:pt idx="18">
                  <c:v>63.737798073599969</c:v>
                </c:pt>
                <c:pt idx="19">
                  <c:v>97.165199443962891</c:v>
                </c:pt>
                <c:pt idx="20">
                  <c:v>146.1160012360055</c:v>
                </c:pt>
                <c:pt idx="21">
                  <c:v>216.60487459676463</c:v>
                </c:pt>
                <c:pt idx="22">
                  <c:v>316.17348694266707</c:v>
                </c:pt>
                <c:pt idx="23">
                  <c:v>453.62939946207047</c:v>
                </c:pt>
                <c:pt idx="24">
                  <c:v>638.0841399344398</c:v>
                </c:pt>
                <c:pt idx="25">
                  <c:v>876.80478460500638</c:v>
                </c:pt>
                <c:pt idx="26">
                  <c:v>1171.3979311063642</c:v>
                </c:pt>
                <c:pt idx="27">
                  <c:v>1512.2794367717488</c:v>
                </c:pt>
                <c:pt idx="28">
                  <c:v>1872.6338742071075</c:v>
                </c:pt>
                <c:pt idx="29">
                  <c:v>2205.2047565308981</c:v>
                </c:pt>
                <c:pt idx="30">
                  <c:v>2447.1336269650642</c:v>
                </c:pt>
                <c:pt idx="31">
                  <c:v>2536.7363266053003</c:v>
                </c:pt>
                <c:pt idx="32">
                  <c:v>2438.8537282880916</c:v>
                </c:pt>
                <c:pt idx="33">
                  <c:v>2165.2396228022949</c:v>
                </c:pt>
                <c:pt idx="34">
                  <c:v>1774.1375180085797</c:v>
                </c:pt>
                <c:pt idx="35">
                  <c:v>1346.2651116507393</c:v>
                </c:pt>
                <c:pt idx="36">
                  <c:v>952.73218323845572</c:v>
                </c:pt>
                <c:pt idx="37">
                  <c:v>634.76054343599969</c:v>
                </c:pt>
                <c:pt idx="38">
                  <c:v>402.39668804581555</c:v>
                </c:pt>
                <c:pt idx="39">
                  <c:v>245.306539787704</c:v>
                </c:pt>
                <c:pt idx="40">
                  <c:v>145.21642369712436</c:v>
                </c:pt>
                <c:pt idx="41">
                  <c:v>84.188629752627463</c:v>
                </c:pt>
                <c:pt idx="42">
                  <c:v>48.136374382566103</c:v>
                </c:pt>
                <c:pt idx="43">
                  <c:v>27.29740077106921</c:v>
                </c:pt>
                <c:pt idx="44">
                  <c:v>15.420811282961912</c:v>
                </c:pt>
                <c:pt idx="45">
                  <c:v>8.7074780442268462</c:v>
                </c:pt>
                <c:pt idx="46">
                  <c:v>4.9269219390053998</c:v>
                </c:pt>
                <c:pt idx="47">
                  <c:v>2.7987929177934823</c:v>
                </c:pt>
                <c:pt idx="48">
                  <c:v>1.598345668788582</c:v>
                </c:pt>
                <c:pt idx="49">
                  <c:v>0.91854418105162305</c:v>
                </c:pt>
                <c:pt idx="50">
                  <c:v>0.53156417874851458</c:v>
                </c:pt>
                <c:pt idx="51">
                  <c:v>0.30991210916203643</c:v>
                </c:pt>
                <c:pt idx="52">
                  <c:v>0.1820863949976301</c:v>
                </c:pt>
                <c:pt idx="53">
                  <c:v>0.10783204285180763</c:v>
                </c:pt>
                <c:pt idx="54">
                  <c:v>6.4370213572956539E-2</c:v>
                </c:pt>
                <c:pt idx="55">
                  <c:v>3.8734214512612448E-2</c:v>
                </c:pt>
                <c:pt idx="56">
                  <c:v>2.3494242655239649E-2</c:v>
                </c:pt>
                <c:pt idx="57">
                  <c:v>1.4363272714221857E-2</c:v>
                </c:pt>
                <c:pt idx="58">
                  <c:v>8.8496795994484467E-3</c:v>
                </c:pt>
                <c:pt idx="59">
                  <c:v>5.4945566990482475E-3</c:v>
                </c:pt>
                <c:pt idx="60">
                  <c:v>3.4372559490039862E-3</c:v>
                </c:pt>
                <c:pt idx="61">
                  <c:v>2.1662297970032468E-3</c:v>
                </c:pt>
                <c:pt idx="62">
                  <c:v>1.3751420608246578E-3</c:v>
                </c:pt>
                <c:pt idx="63">
                  <c:v>8.7917756880561315E-4</c:v>
                </c:pt>
                <c:pt idx="64">
                  <c:v>5.6601334839439046E-4</c:v>
                </c:pt>
                <c:pt idx="65">
                  <c:v>3.6688745756172976E-4</c:v>
                </c:pt>
                <c:pt idx="66">
                  <c:v>2.3940361960200765E-4</c:v>
                </c:pt>
                <c:pt idx="67">
                  <c:v>1.5723764556721255E-4</c:v>
                </c:pt>
                <c:pt idx="68">
                  <c:v>1.0393160946680933E-4</c:v>
                </c:pt>
                <c:pt idx="69">
                  <c:v>6.9126183016662089E-5</c:v>
                </c:pt>
                <c:pt idx="70">
                  <c:v>4.6257386936724382E-5</c:v>
                </c:pt>
                <c:pt idx="71">
                  <c:v>3.1138978793228853E-5</c:v>
                </c:pt>
                <c:pt idx="72">
                  <c:v>2.1084094382251618E-5</c:v>
                </c:pt>
                <c:pt idx="73">
                  <c:v>1.4357434821731974E-5</c:v>
                </c:pt>
                <c:pt idx="74">
                  <c:v>9.8314032965506414E-6</c:v>
                </c:pt>
                <c:pt idx="75">
                  <c:v>6.7688954065906922E-6</c:v>
                </c:pt>
                <c:pt idx="76">
                  <c:v>4.6852419797777088E-6</c:v>
                </c:pt>
                <c:pt idx="77">
                  <c:v>3.2599270095136077E-6</c:v>
                </c:pt>
                <c:pt idx="78">
                  <c:v>2.2797982913904466E-6</c:v>
                </c:pt>
                <c:pt idx="79">
                  <c:v>1.6023230509217566E-6</c:v>
                </c:pt>
                <c:pt idx="80">
                  <c:v>1.1316772029066607E-6</c:v>
                </c:pt>
                <c:pt idx="81">
                  <c:v>8.0309862203103419E-7</c:v>
                </c:pt>
                <c:pt idx="82">
                  <c:v>5.7259197489773415E-7</c:v>
                </c:pt>
                <c:pt idx="83">
                  <c:v>4.1011828844990648E-7</c:v>
                </c:pt>
                <c:pt idx="84">
                  <c:v>2.9506597169546488E-7</c:v>
                </c:pt>
                <c:pt idx="85">
                  <c:v>2.1322345340453828E-7</c:v>
                </c:pt>
                <c:pt idx="86">
                  <c:v>1.5474531603950041E-7</c:v>
                </c:pt>
                <c:pt idx="87">
                  <c:v>1.127791064657756E-7</c:v>
                </c:pt>
                <c:pt idx="88">
                  <c:v>8.253370062562236E-8</c:v>
                </c:pt>
                <c:pt idx="89">
                  <c:v>6.0644225039662138E-8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'Data-Plot'!$F$10</c:f>
              <c:strCache>
                <c:ptCount val="1"/>
                <c:pt idx="0">
                  <c:v>P2-216.4</c:v>
                </c:pt>
              </c:strCache>
            </c:strRef>
          </c:tx>
          <c:spPr>
            <a:ln w="22225" cap="rnd">
              <a:solidFill>
                <a:srgbClr val="F004C8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105</c:v>
                </c:pt>
                <c:pt idx="21">
                  <c:v>110</c:v>
                </c:pt>
                <c:pt idx="22">
                  <c:v>115</c:v>
                </c:pt>
                <c:pt idx="23">
                  <c:v>120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185</c:v>
                </c:pt>
                <c:pt idx="37">
                  <c:v>190</c:v>
                </c:pt>
                <c:pt idx="38">
                  <c:v>195</c:v>
                </c:pt>
                <c:pt idx="39">
                  <c:v>200</c:v>
                </c:pt>
                <c:pt idx="40">
                  <c:v>205</c:v>
                </c:pt>
                <c:pt idx="41">
                  <c:v>210</c:v>
                </c:pt>
                <c:pt idx="42">
                  <c:v>215</c:v>
                </c:pt>
                <c:pt idx="43">
                  <c:v>220</c:v>
                </c:pt>
                <c:pt idx="44">
                  <c:v>225</c:v>
                </c:pt>
                <c:pt idx="45">
                  <c:v>230</c:v>
                </c:pt>
                <c:pt idx="46">
                  <c:v>235</c:v>
                </c:pt>
                <c:pt idx="47">
                  <c:v>240</c:v>
                </c:pt>
                <c:pt idx="48">
                  <c:v>245</c:v>
                </c:pt>
                <c:pt idx="49">
                  <c:v>250</c:v>
                </c:pt>
                <c:pt idx="50">
                  <c:v>255</c:v>
                </c:pt>
                <c:pt idx="51">
                  <c:v>260</c:v>
                </c:pt>
                <c:pt idx="52">
                  <c:v>265</c:v>
                </c:pt>
                <c:pt idx="53">
                  <c:v>270</c:v>
                </c:pt>
                <c:pt idx="54">
                  <c:v>275</c:v>
                </c:pt>
                <c:pt idx="55">
                  <c:v>280</c:v>
                </c:pt>
                <c:pt idx="56">
                  <c:v>285</c:v>
                </c:pt>
                <c:pt idx="57">
                  <c:v>290</c:v>
                </c:pt>
                <c:pt idx="58">
                  <c:v>295</c:v>
                </c:pt>
                <c:pt idx="59">
                  <c:v>300</c:v>
                </c:pt>
                <c:pt idx="60">
                  <c:v>305</c:v>
                </c:pt>
                <c:pt idx="61">
                  <c:v>310</c:v>
                </c:pt>
                <c:pt idx="62">
                  <c:v>315</c:v>
                </c:pt>
                <c:pt idx="63">
                  <c:v>320</c:v>
                </c:pt>
                <c:pt idx="64">
                  <c:v>325</c:v>
                </c:pt>
                <c:pt idx="65">
                  <c:v>330</c:v>
                </c:pt>
                <c:pt idx="66">
                  <c:v>335</c:v>
                </c:pt>
                <c:pt idx="67">
                  <c:v>340</c:v>
                </c:pt>
                <c:pt idx="68">
                  <c:v>345</c:v>
                </c:pt>
                <c:pt idx="69">
                  <c:v>350</c:v>
                </c:pt>
                <c:pt idx="70">
                  <c:v>355</c:v>
                </c:pt>
                <c:pt idx="71">
                  <c:v>360</c:v>
                </c:pt>
                <c:pt idx="72">
                  <c:v>365</c:v>
                </c:pt>
                <c:pt idx="73">
                  <c:v>370</c:v>
                </c:pt>
                <c:pt idx="74">
                  <c:v>375</c:v>
                </c:pt>
                <c:pt idx="75">
                  <c:v>380</c:v>
                </c:pt>
                <c:pt idx="76">
                  <c:v>385</c:v>
                </c:pt>
                <c:pt idx="77">
                  <c:v>390</c:v>
                </c:pt>
                <c:pt idx="78">
                  <c:v>395</c:v>
                </c:pt>
                <c:pt idx="79">
                  <c:v>400</c:v>
                </c:pt>
                <c:pt idx="80">
                  <c:v>405</c:v>
                </c:pt>
                <c:pt idx="81">
                  <c:v>410</c:v>
                </c:pt>
                <c:pt idx="82">
                  <c:v>415</c:v>
                </c:pt>
                <c:pt idx="83">
                  <c:v>420</c:v>
                </c:pt>
                <c:pt idx="84">
                  <c:v>425</c:v>
                </c:pt>
                <c:pt idx="85">
                  <c:v>430</c:v>
                </c:pt>
                <c:pt idx="86">
                  <c:v>435</c:v>
                </c:pt>
                <c:pt idx="87">
                  <c:v>440</c:v>
                </c:pt>
                <c:pt idx="88">
                  <c:v>445</c:v>
                </c:pt>
                <c:pt idx="89">
                  <c:v>450</c:v>
                </c:pt>
              </c:numCache>
            </c:numRef>
          </c:xVal>
          <c:yVal>
            <c:numRef>
              <c:f>'Data-Plot'!$F$11:$F$1020</c:f>
              <c:numCache>
                <c:formatCode>General</c:formatCode>
                <c:ptCount val="1010"/>
                <c:pt idx="0">
                  <c:v>2.3205094801885206E-4</c:v>
                </c:pt>
                <c:pt idx="1">
                  <c:v>4.884270255792046E-4</c:v>
                </c:pt>
                <c:pt idx="2">
                  <c:v>1.0018416337575818E-3</c:v>
                </c:pt>
                <c:pt idx="3">
                  <c:v>2.0051897044776586E-3</c:v>
                </c:pt>
                <c:pt idx="4">
                  <c:v>3.9210673745775056E-3</c:v>
                </c:pt>
                <c:pt idx="5">
                  <c:v>7.4997314073205435E-3</c:v>
                </c:pt>
                <c:pt idx="6">
                  <c:v>1.4045827624933768E-2</c:v>
                </c:pt>
                <c:pt idx="7">
                  <c:v>2.5783801623759695E-2</c:v>
                </c:pt>
                <c:pt idx="8">
                  <c:v>4.6435999196031363E-2</c:v>
                </c:pt>
                <c:pt idx="9">
                  <c:v>8.2121274173294193E-2</c:v>
                </c:pt>
                <c:pt idx="10">
                  <c:v>0.14272856906335135</c:v>
                </c:pt>
                <c:pt idx="11">
                  <c:v>0.24398325884715291</c:v>
                </c:pt>
                <c:pt idx="12">
                  <c:v>0.41050868485295949</c:v>
                </c:pt>
                <c:pt idx="13">
                  <c:v>0.68029673195552953</c:v>
                </c:pt>
                <c:pt idx="14">
                  <c:v>1.1111458408047721</c:v>
                </c:pt>
                <c:pt idx="15">
                  <c:v>1.78980957181744</c:v>
                </c:pt>
                <c:pt idx="16">
                  <c:v>2.844831314631874</c:v>
                </c:pt>
                <c:pt idx="17">
                  <c:v>4.464328451840295</c:v>
                </c:pt>
                <c:pt idx="18">
                  <c:v>6.920338516279446</c:v>
                </c:pt>
                <c:pt idx="19">
                  <c:v>10.60175356302193</c:v>
                </c:pt>
                <c:pt idx="20">
                  <c:v>16.058342807639114</c:v>
                </c:pt>
                <c:pt idx="21">
                  <c:v>24.058879073485233</c:v>
                </c:pt>
                <c:pt idx="22">
                  <c:v>35.66689698230855</c:v>
                </c:pt>
                <c:pt idx="23">
                  <c:v>52.338028555943204</c:v>
                </c:pt>
                <c:pt idx="24">
                  <c:v>76.043012688923824</c:v>
                </c:pt>
                <c:pt idx="25">
                  <c:v>109.42005145383132</c:v>
                </c:pt>
                <c:pt idx="26">
                  <c:v>155.9586623056193</c:v>
                </c:pt>
                <c:pt idx="27">
                  <c:v>220.21368383957835</c:v>
                </c:pt>
                <c:pt idx="28">
                  <c:v>308.04126081228753</c:v>
                </c:pt>
                <c:pt idx="29">
                  <c:v>426.83638978464433</c:v>
                </c:pt>
                <c:pt idx="30">
                  <c:v>585.73102093078717</c:v>
                </c:pt>
                <c:pt idx="31">
                  <c:v>795.67904277742809</c:v>
                </c:pt>
                <c:pt idx="32">
                  <c:v>1069.30579330655</c:v>
                </c:pt>
                <c:pt idx="33">
                  <c:v>1420.3328483099529</c:v>
                </c:pt>
                <c:pt idx="34">
                  <c:v>1862.3077342387851</c:v>
                </c:pt>
                <c:pt idx="35">
                  <c:v>2406.2917377875883</c:v>
                </c:pt>
                <c:pt idx="36">
                  <c:v>3057.1349667181098</c:v>
                </c:pt>
                <c:pt idx="37">
                  <c:v>3808.0910136287816</c:v>
                </c:pt>
                <c:pt idx="38">
                  <c:v>4633.9466014052687</c:v>
                </c:pt>
                <c:pt idx="39">
                  <c:v>5483.7489810951392</c:v>
                </c:pt>
                <c:pt idx="40">
                  <c:v>6275.7028591363305</c:v>
                </c:pt>
                <c:pt idx="41">
                  <c:v>6898.6129223021944</c:v>
                </c:pt>
                <c:pt idx="42">
                  <c:v>7225.3284902954074</c:v>
                </c:pt>
                <c:pt idx="43">
                  <c:v>7141.9700633341026</c:v>
                </c:pt>
                <c:pt idx="44">
                  <c:v>6590.0229428239909</c:v>
                </c:pt>
                <c:pt idx="45">
                  <c:v>5606.8138040519489</c:v>
                </c:pt>
                <c:pt idx="46">
                  <c:v>4339.6690866104063</c:v>
                </c:pt>
                <c:pt idx="47">
                  <c:v>3012.4700536947644</c:v>
                </c:pt>
                <c:pt idx="48">
                  <c:v>1848.5792288621485</c:v>
                </c:pt>
                <c:pt idx="49">
                  <c:v>988.9173511559917</c:v>
                </c:pt>
                <c:pt idx="50">
                  <c:v>455.47510593605443</c:v>
                </c:pt>
                <c:pt idx="51">
                  <c:v>178.79502149447381</c:v>
                </c:pt>
                <c:pt idx="52">
                  <c:v>59.407793747694562</c:v>
                </c:pt>
                <c:pt idx="53">
                  <c:v>16.65872435490893</c:v>
                </c:pt>
                <c:pt idx="54">
                  <c:v>3.9475091532114002</c:v>
                </c:pt>
                <c:pt idx="55">
                  <c:v>0.79489917012292199</c:v>
                </c:pt>
                <c:pt idx="56">
                  <c:v>0.13731301563641954</c:v>
                </c:pt>
                <c:pt idx="57">
                  <c:v>2.0606182944343805E-2</c:v>
                </c:pt>
                <c:pt idx="58">
                  <c:v>2.7266410094681881E-3</c:v>
                </c:pt>
                <c:pt idx="59">
                  <c:v>3.2331854840113663E-4</c:v>
                </c:pt>
                <c:pt idx="60">
                  <c:v>3.4931362368030508E-5</c:v>
                </c:pt>
                <c:pt idx="61">
                  <c:v>3.4950250914210237E-6</c:v>
                </c:pt>
                <c:pt idx="62">
                  <c:v>3.2886326813512112E-7</c:v>
                </c:pt>
                <c:pt idx="63">
                  <c:v>2.9514872799599214E-8</c:v>
                </c:pt>
                <c:pt idx="64">
                  <c:v>2.5586845342361592E-9</c:v>
                </c:pt>
                <c:pt idx="65">
                  <c:v>2.1665097295912984E-10</c:v>
                </c:pt>
                <c:pt idx="66">
                  <c:v>1.8089620430826698E-11</c:v>
                </c:pt>
                <c:pt idx="67">
                  <c:v>1.5016140588218833E-12</c:v>
                </c:pt>
                <c:pt idx="68">
                  <c:v>1.2477176191925687E-13</c:v>
                </c:pt>
                <c:pt idx="69">
                  <c:v>1.043684792642573E-14</c:v>
                </c:pt>
                <c:pt idx="70">
                  <c:v>8.829671896562538E-16</c:v>
                </c:pt>
                <c:pt idx="71">
                  <c:v>7.5838843415219143E-17</c:v>
                </c:pt>
                <c:pt idx="72">
                  <c:v>6.633454189328347E-18</c:v>
                </c:pt>
                <c:pt idx="73">
                  <c:v>5.9230765607046721E-19</c:v>
                </c:pt>
                <c:pt idx="74">
                  <c:v>5.4093750281762783E-20</c:v>
                </c:pt>
                <c:pt idx="75">
                  <c:v>5.0603835118035952E-21</c:v>
                </c:pt>
                <c:pt idx="76">
                  <c:v>4.8545067410897542E-22</c:v>
                </c:pt>
                <c:pt idx="77">
                  <c:v>4.7796099623849064E-23</c:v>
                </c:pt>
                <c:pt idx="78">
                  <c:v>4.83259391068987E-24</c:v>
                </c:pt>
                <c:pt idx="79">
                  <c:v>5.0196916392759529E-25</c:v>
                </c:pt>
                <c:pt idx="80">
                  <c:v>5.357725923884655E-26</c:v>
                </c:pt>
                <c:pt idx="81">
                  <c:v>5.8766665587096968E-27</c:v>
                </c:pt>
                <c:pt idx="82">
                  <c:v>6.6240332502520338E-28</c:v>
                </c:pt>
                <c:pt idx="83">
                  <c:v>7.67204280220792E-29</c:v>
                </c:pt>
                <c:pt idx="84">
                  <c:v>9.1289850355295938E-30</c:v>
                </c:pt>
                <c:pt idx="85">
                  <c:v>1.1157288531728289E-30</c:v>
                </c:pt>
                <c:pt idx="86">
                  <c:v>1.4002386813187836E-31</c:v>
                </c:pt>
                <c:pt idx="87">
                  <c:v>1.8039321267265731E-32</c:v>
                </c:pt>
                <c:pt idx="88">
                  <c:v>2.3848925715341858E-33</c:v>
                </c:pt>
                <c:pt idx="89">
                  <c:v>3.2344082122691397E-34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'Data-Plot'!$G$10</c:f>
              <c:strCache>
                <c:ptCount val="1"/>
                <c:pt idx="0">
                  <c:v>P3-271.6</c:v>
                </c:pt>
              </c:strCache>
            </c:strRef>
          </c:tx>
          <c:spPr>
            <a:ln w="22225" cap="rnd">
              <a:solidFill>
                <a:srgbClr val="00008C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105</c:v>
                </c:pt>
                <c:pt idx="21">
                  <c:v>110</c:v>
                </c:pt>
                <c:pt idx="22">
                  <c:v>115</c:v>
                </c:pt>
                <c:pt idx="23">
                  <c:v>120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185</c:v>
                </c:pt>
                <c:pt idx="37">
                  <c:v>190</c:v>
                </c:pt>
                <c:pt idx="38">
                  <c:v>195</c:v>
                </c:pt>
                <c:pt idx="39">
                  <c:v>200</c:v>
                </c:pt>
                <c:pt idx="40">
                  <c:v>205</c:v>
                </c:pt>
                <c:pt idx="41">
                  <c:v>210</c:v>
                </c:pt>
                <c:pt idx="42">
                  <c:v>215</c:v>
                </c:pt>
                <c:pt idx="43">
                  <c:v>220</c:v>
                </c:pt>
                <c:pt idx="44">
                  <c:v>225</c:v>
                </c:pt>
                <c:pt idx="45">
                  <c:v>230</c:v>
                </c:pt>
                <c:pt idx="46">
                  <c:v>235</c:v>
                </c:pt>
                <c:pt idx="47">
                  <c:v>240</c:v>
                </c:pt>
                <c:pt idx="48">
                  <c:v>245</c:v>
                </c:pt>
                <c:pt idx="49">
                  <c:v>250</c:v>
                </c:pt>
                <c:pt idx="50">
                  <c:v>255</c:v>
                </c:pt>
                <c:pt idx="51">
                  <c:v>260</c:v>
                </c:pt>
                <c:pt idx="52">
                  <c:v>265</c:v>
                </c:pt>
                <c:pt idx="53">
                  <c:v>270</c:v>
                </c:pt>
                <c:pt idx="54">
                  <c:v>275</c:v>
                </c:pt>
                <c:pt idx="55">
                  <c:v>280</c:v>
                </c:pt>
                <c:pt idx="56">
                  <c:v>285</c:v>
                </c:pt>
                <c:pt idx="57">
                  <c:v>290</c:v>
                </c:pt>
                <c:pt idx="58">
                  <c:v>295</c:v>
                </c:pt>
                <c:pt idx="59">
                  <c:v>300</c:v>
                </c:pt>
                <c:pt idx="60">
                  <c:v>305</c:v>
                </c:pt>
                <c:pt idx="61">
                  <c:v>310</c:v>
                </c:pt>
                <c:pt idx="62">
                  <c:v>315</c:v>
                </c:pt>
                <c:pt idx="63">
                  <c:v>320</c:v>
                </c:pt>
                <c:pt idx="64">
                  <c:v>325</c:v>
                </c:pt>
                <c:pt idx="65">
                  <c:v>330</c:v>
                </c:pt>
                <c:pt idx="66">
                  <c:v>335</c:v>
                </c:pt>
                <c:pt idx="67">
                  <c:v>340</c:v>
                </c:pt>
                <c:pt idx="68">
                  <c:v>345</c:v>
                </c:pt>
                <c:pt idx="69">
                  <c:v>350</c:v>
                </c:pt>
                <c:pt idx="70">
                  <c:v>355</c:v>
                </c:pt>
                <c:pt idx="71">
                  <c:v>360</c:v>
                </c:pt>
                <c:pt idx="72">
                  <c:v>365</c:v>
                </c:pt>
                <c:pt idx="73">
                  <c:v>370</c:v>
                </c:pt>
                <c:pt idx="74">
                  <c:v>375</c:v>
                </c:pt>
                <c:pt idx="75">
                  <c:v>380</c:v>
                </c:pt>
                <c:pt idx="76">
                  <c:v>385</c:v>
                </c:pt>
                <c:pt idx="77">
                  <c:v>390</c:v>
                </c:pt>
                <c:pt idx="78">
                  <c:v>395</c:v>
                </c:pt>
                <c:pt idx="79">
                  <c:v>400</c:v>
                </c:pt>
                <c:pt idx="80">
                  <c:v>405</c:v>
                </c:pt>
                <c:pt idx="81">
                  <c:v>410</c:v>
                </c:pt>
                <c:pt idx="82">
                  <c:v>415</c:v>
                </c:pt>
                <c:pt idx="83">
                  <c:v>420</c:v>
                </c:pt>
                <c:pt idx="84">
                  <c:v>425</c:v>
                </c:pt>
                <c:pt idx="85">
                  <c:v>430</c:v>
                </c:pt>
                <c:pt idx="86">
                  <c:v>435</c:v>
                </c:pt>
                <c:pt idx="87">
                  <c:v>440</c:v>
                </c:pt>
                <c:pt idx="88">
                  <c:v>445</c:v>
                </c:pt>
                <c:pt idx="89">
                  <c:v>450</c:v>
                </c:pt>
              </c:numCache>
            </c:numRef>
          </c:xVal>
          <c:yVal>
            <c:numRef>
              <c:f>'Data-Plot'!$G$11:$G$1020</c:f>
              <c:numCache>
                <c:formatCode>General</c:formatCode>
                <c:ptCount val="1010"/>
                <c:pt idx="0">
                  <c:v>1.3538829805376832E-7</c:v>
                </c:pt>
                <c:pt idx="1">
                  <c:v>3.1530219392910794E-7</c:v>
                </c:pt>
                <c:pt idx="2">
                  <c:v>7.1306869800410838E-7</c:v>
                </c:pt>
                <c:pt idx="3">
                  <c:v>1.5683617018164082E-6</c:v>
                </c:pt>
                <c:pt idx="4">
                  <c:v>3.3595397824384635E-6</c:v>
                </c:pt>
                <c:pt idx="5">
                  <c:v>7.0177864863694557E-6</c:v>
                </c:pt>
                <c:pt idx="6">
                  <c:v>1.4313259475573714E-5</c:v>
                </c:pt>
                <c:pt idx="7">
                  <c:v>2.8535945611256009E-5</c:v>
                </c:pt>
                <c:pt idx="8">
                  <c:v>5.5670786986508676E-5</c:v>
                </c:pt>
                <c:pt idx="9">
                  <c:v>1.063851509245822E-4</c:v>
                </c:pt>
                <c:pt idx="10">
                  <c:v>1.9932591872323004E-4</c:v>
                </c:pt>
                <c:pt idx="11">
                  <c:v>3.6648950259271572E-4</c:v>
                </c:pt>
                <c:pt idx="12">
                  <c:v>6.618161777237903E-4</c:v>
                </c:pt>
                <c:pt idx="13">
                  <c:v>1.1747168418383453E-3</c:v>
                </c:pt>
                <c:pt idx="14">
                  <c:v>2.0510263470555406E-3</c:v>
                </c:pt>
                <c:pt idx="15">
                  <c:v>3.5249705690009818E-3</c:v>
                </c:pt>
                <c:pt idx="16">
                  <c:v>5.9672323096113923E-3</c:v>
                </c:pt>
                <c:pt idx="17">
                  <c:v>9.9562255231696786E-3</c:v>
                </c:pt>
                <c:pt idx="18">
                  <c:v>1.6382386778513766E-2</c:v>
                </c:pt>
                <c:pt idx="19">
                  <c:v>2.6598846066228192E-2</c:v>
                </c:pt>
                <c:pt idx="20">
                  <c:v>4.2636457450237593E-2</c:v>
                </c:pt>
                <c:pt idx="21">
                  <c:v>6.7507098908910976E-2</c:v>
                </c:pt>
                <c:pt idx="22">
                  <c:v>0.10562666769624111</c:v>
                </c:pt>
                <c:pt idx="23">
                  <c:v>0.16339860664926395</c:v>
                </c:pt>
                <c:pt idx="24">
                  <c:v>0.25001041367752203</c:v>
                </c:pt>
                <c:pt idx="25">
                  <c:v>0.37850970866083927</c:v>
                </c:pt>
                <c:pt idx="26">
                  <c:v>0.56724328224726595</c:v>
                </c:pt>
                <c:pt idx="27">
                  <c:v>0.84176217647742291</c:v>
                </c:pt>
                <c:pt idx="28">
                  <c:v>1.2373179394950846</c:v>
                </c:pt>
                <c:pt idx="29">
                  <c:v>1.8020987856252735</c:v>
                </c:pt>
                <c:pt idx="30">
                  <c:v>2.6013773321152383</c:v>
                </c:pt>
                <c:pt idx="31">
                  <c:v>3.7227597151548339</c:v>
                </c:pt>
                <c:pt idx="32">
                  <c:v>5.2827317057389349</c:v>
                </c:pt>
                <c:pt idx="33">
                  <c:v>7.4346780593123718</c:v>
                </c:pt>
                <c:pt idx="34">
                  <c:v>10.37848547072177</c:v>
                </c:pt>
                <c:pt idx="35">
                  <c:v>14.371693401980497</c:v>
                </c:pt>
                <c:pt idx="36">
                  <c:v>19.741879356896781</c:v>
                </c:pt>
                <c:pt idx="37">
                  <c:v>26.899481902104476</c:v>
                </c:pt>
                <c:pt idx="38">
                  <c:v>36.349477091184085</c:v>
                </c:pt>
                <c:pt idx="39">
                  <c:v>48.699115659752174</c:v>
                </c:pt>
                <c:pt idx="40">
                  <c:v>64.657195191795694</c:v>
                </c:pt>
                <c:pt idx="41">
                  <c:v>85.018064505113529</c:v>
                </c:pt>
                <c:pt idx="42">
                  <c:v>110.62094975880264</c:v>
                </c:pt>
                <c:pt idx="43">
                  <c:v>142.2729435302831</c:v>
                </c:pt>
                <c:pt idx="44">
                  <c:v>180.62360418969439</c:v>
                </c:pt>
                <c:pt idx="45">
                  <c:v>225.98313998894307</c:v>
                </c:pt>
                <c:pt idx="46">
                  <c:v>278.08805905243332</c:v>
                </c:pt>
                <c:pt idx="47">
                  <c:v>335.84098447128434</c:v>
                </c:pt>
                <c:pt idx="48">
                  <c:v>397.08449170197508</c:v>
                </c:pt>
                <c:pt idx="49">
                  <c:v>458.50340037805336</c:v>
                </c:pt>
                <c:pt idx="50">
                  <c:v>515.76535658125863</c:v>
                </c:pt>
                <c:pt idx="51">
                  <c:v>563.97806665528321</c:v>
                </c:pt>
                <c:pt idx="52">
                  <c:v>598.44646097589305</c:v>
                </c:pt>
                <c:pt idx="53">
                  <c:v>615.57476413939094</c:v>
                </c:pt>
                <c:pt idx="54">
                  <c:v>613.64470842013941</c:v>
                </c:pt>
                <c:pt idx="55">
                  <c:v>593.19484872012356</c:v>
                </c:pt>
                <c:pt idx="56">
                  <c:v>556.85897704121646</c:v>
                </c:pt>
                <c:pt idx="57">
                  <c:v>508.73278579286693</c:v>
                </c:pt>
                <c:pt idx="58">
                  <c:v>453.5082484308727</c:v>
                </c:pt>
                <c:pt idx="59">
                  <c:v>395.65727955264163</c:v>
                </c:pt>
                <c:pt idx="60">
                  <c:v>338.8631111567941</c:v>
                </c:pt>
                <c:pt idx="61">
                  <c:v>285.76218678082563</c:v>
                </c:pt>
                <c:pt idx="62">
                  <c:v>237.948190422398</c:v>
                </c:pt>
                <c:pt idx="63">
                  <c:v>196.13860694175855</c:v>
                </c:pt>
                <c:pt idx="64">
                  <c:v>160.40593353849584</c:v>
                </c:pt>
                <c:pt idx="65">
                  <c:v>130.40458406398778</c:v>
                </c:pt>
                <c:pt idx="66">
                  <c:v>105.55761851805435</c:v>
                </c:pt>
                <c:pt idx="67">
                  <c:v>85.19260162102465</c:v>
                </c:pt>
                <c:pt idx="68">
                  <c:v>68.630454354839657</c:v>
                </c:pt>
                <c:pt idx="69">
                  <c:v>55.237231591518707</c:v>
                </c:pt>
                <c:pt idx="70">
                  <c:v>44.449645784959621</c:v>
                </c:pt>
                <c:pt idx="71">
                  <c:v>35.783591649970084</c:v>
                </c:pt>
                <c:pt idx="72">
                  <c:v>28.832623522405921</c:v>
                </c:pt>
                <c:pt idx="73">
                  <c:v>23.261158835620531</c:v>
                </c:pt>
                <c:pt idx="74">
                  <c:v>18.795450558006603</c:v>
                </c:pt>
                <c:pt idx="75">
                  <c:v>15.214129707627496</c:v>
                </c:pt>
                <c:pt idx="76">
                  <c:v>12.339290710396449</c:v>
                </c:pt>
                <c:pt idx="77">
                  <c:v>10.02857263882211</c:v>
                </c:pt>
                <c:pt idx="78">
                  <c:v>8.1683826058575324</c:v>
                </c:pt>
                <c:pt idx="79">
                  <c:v>6.6682394181991853</c:v>
                </c:pt>
                <c:pt idx="80">
                  <c:v>5.4561331692231683</c:v>
                </c:pt>
                <c:pt idx="81">
                  <c:v>4.4747644420647505</c:v>
                </c:pt>
                <c:pt idx="82">
                  <c:v>3.6785226662213741</c:v>
                </c:pt>
                <c:pt idx="83">
                  <c:v>3.0310731468421519</c:v>
                </c:pt>
                <c:pt idx="84">
                  <c:v>2.5034382919699554</c:v>
                </c:pt>
                <c:pt idx="85">
                  <c:v>2.0724761082848411</c:v>
                </c:pt>
                <c:pt idx="86">
                  <c:v>1.7196757994013976</c:v>
                </c:pt>
                <c:pt idx="87">
                  <c:v>1.4302052292495304</c:v>
                </c:pt>
                <c:pt idx="88">
                  <c:v>1.1921577617164107</c:v>
                </c:pt>
                <c:pt idx="89">
                  <c:v>0.99595658371091222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'Data-Plot'!$H$10</c:f>
              <c:strCache>
                <c:ptCount val="1"/>
                <c:pt idx="0">
                  <c:v>P4-328.8</c:v>
                </c:pt>
              </c:strCache>
            </c:strRef>
          </c:tx>
          <c:spPr>
            <a:ln w="22225" cap="rnd">
              <a:solidFill>
                <a:srgbClr val="E6A00A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105</c:v>
                </c:pt>
                <c:pt idx="21">
                  <c:v>110</c:v>
                </c:pt>
                <c:pt idx="22">
                  <c:v>115</c:v>
                </c:pt>
                <c:pt idx="23">
                  <c:v>120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185</c:v>
                </c:pt>
                <c:pt idx="37">
                  <c:v>190</c:v>
                </c:pt>
                <c:pt idx="38">
                  <c:v>195</c:v>
                </c:pt>
                <c:pt idx="39">
                  <c:v>200</c:v>
                </c:pt>
                <c:pt idx="40">
                  <c:v>205</c:v>
                </c:pt>
                <c:pt idx="41">
                  <c:v>210</c:v>
                </c:pt>
                <c:pt idx="42">
                  <c:v>215</c:v>
                </c:pt>
                <c:pt idx="43">
                  <c:v>220</c:v>
                </c:pt>
                <c:pt idx="44">
                  <c:v>225</c:v>
                </c:pt>
                <c:pt idx="45">
                  <c:v>230</c:v>
                </c:pt>
                <c:pt idx="46">
                  <c:v>235</c:v>
                </c:pt>
                <c:pt idx="47">
                  <c:v>240</c:v>
                </c:pt>
                <c:pt idx="48">
                  <c:v>245</c:v>
                </c:pt>
                <c:pt idx="49">
                  <c:v>250</c:v>
                </c:pt>
                <c:pt idx="50">
                  <c:v>255</c:v>
                </c:pt>
                <c:pt idx="51">
                  <c:v>260</c:v>
                </c:pt>
                <c:pt idx="52">
                  <c:v>265</c:v>
                </c:pt>
                <c:pt idx="53">
                  <c:v>270</c:v>
                </c:pt>
                <c:pt idx="54">
                  <c:v>275</c:v>
                </c:pt>
                <c:pt idx="55">
                  <c:v>280</c:v>
                </c:pt>
                <c:pt idx="56">
                  <c:v>285</c:v>
                </c:pt>
                <c:pt idx="57">
                  <c:v>290</c:v>
                </c:pt>
                <c:pt idx="58">
                  <c:v>295</c:v>
                </c:pt>
                <c:pt idx="59">
                  <c:v>300</c:v>
                </c:pt>
                <c:pt idx="60">
                  <c:v>305</c:v>
                </c:pt>
                <c:pt idx="61">
                  <c:v>310</c:v>
                </c:pt>
                <c:pt idx="62">
                  <c:v>315</c:v>
                </c:pt>
                <c:pt idx="63">
                  <c:v>320</c:v>
                </c:pt>
                <c:pt idx="64">
                  <c:v>325</c:v>
                </c:pt>
                <c:pt idx="65">
                  <c:v>330</c:v>
                </c:pt>
                <c:pt idx="66">
                  <c:v>335</c:v>
                </c:pt>
                <c:pt idx="67">
                  <c:v>340</c:v>
                </c:pt>
                <c:pt idx="68">
                  <c:v>345</c:v>
                </c:pt>
                <c:pt idx="69">
                  <c:v>350</c:v>
                </c:pt>
                <c:pt idx="70">
                  <c:v>355</c:v>
                </c:pt>
                <c:pt idx="71">
                  <c:v>360</c:v>
                </c:pt>
                <c:pt idx="72">
                  <c:v>365</c:v>
                </c:pt>
                <c:pt idx="73">
                  <c:v>370</c:v>
                </c:pt>
                <c:pt idx="74">
                  <c:v>375</c:v>
                </c:pt>
                <c:pt idx="75">
                  <c:v>380</c:v>
                </c:pt>
                <c:pt idx="76">
                  <c:v>385</c:v>
                </c:pt>
                <c:pt idx="77">
                  <c:v>390</c:v>
                </c:pt>
                <c:pt idx="78">
                  <c:v>395</c:v>
                </c:pt>
                <c:pt idx="79">
                  <c:v>400</c:v>
                </c:pt>
                <c:pt idx="80">
                  <c:v>405</c:v>
                </c:pt>
                <c:pt idx="81">
                  <c:v>410</c:v>
                </c:pt>
                <c:pt idx="82">
                  <c:v>415</c:v>
                </c:pt>
                <c:pt idx="83">
                  <c:v>420</c:v>
                </c:pt>
                <c:pt idx="84">
                  <c:v>425</c:v>
                </c:pt>
                <c:pt idx="85">
                  <c:v>430</c:v>
                </c:pt>
                <c:pt idx="86">
                  <c:v>435</c:v>
                </c:pt>
                <c:pt idx="87">
                  <c:v>440</c:v>
                </c:pt>
                <c:pt idx="88">
                  <c:v>445</c:v>
                </c:pt>
                <c:pt idx="89">
                  <c:v>450</c:v>
                </c:pt>
              </c:numCache>
            </c:numRef>
          </c:xVal>
          <c:yVal>
            <c:numRef>
              <c:f>'Data-Plot'!$H$11:$H$1020</c:f>
              <c:numCache>
                <c:formatCode>General</c:formatCode>
                <c:ptCount val="1010"/>
                <c:pt idx="0">
                  <c:v>1.5631364071924042E-9</c:v>
                </c:pt>
                <c:pt idx="1">
                  <c:v>4.0450881595609869E-9</c:v>
                </c:pt>
                <c:pt idx="2">
                  <c:v>1.0128116350495522E-8</c:v>
                </c:pt>
                <c:pt idx="3">
                  <c:v>2.4577189288844439E-8</c:v>
                </c:pt>
                <c:pt idx="4">
                  <c:v>5.7892548094741663E-8</c:v>
                </c:pt>
                <c:pt idx="5">
                  <c:v>1.3256808393972086E-7</c:v>
                </c:pt>
                <c:pt idx="6">
                  <c:v>2.9551438911299135E-7</c:v>
                </c:pt>
                <c:pt idx="7">
                  <c:v>6.4209744302866656E-7</c:v>
                </c:pt>
                <c:pt idx="8">
                  <c:v>1.3615389179088763E-6</c:v>
                </c:pt>
                <c:pt idx="9">
                  <c:v>2.8207052390178135E-6</c:v>
                </c:pt>
                <c:pt idx="10">
                  <c:v>5.7153867486369596E-6</c:v>
                </c:pt>
                <c:pt idx="11">
                  <c:v>1.1337775184613521E-5</c:v>
                </c:pt>
                <c:pt idx="12">
                  <c:v>2.2040057019143624E-5</c:v>
                </c:pt>
                <c:pt idx="13">
                  <c:v>4.2022781633356935E-5</c:v>
                </c:pt>
                <c:pt idx="14">
                  <c:v>7.8651417325691314E-5</c:v>
                </c:pt>
                <c:pt idx="15">
                  <c:v>1.4461719040688561E-4</c:v>
                </c:pt>
                <c:pt idx="16">
                  <c:v>2.6142537390384519E-4</c:v>
                </c:pt>
                <c:pt idx="17">
                  <c:v>4.6493802618500829E-4</c:v>
                </c:pt>
                <c:pt idx="18">
                  <c:v>8.1404871674322981E-4</c:v>
                </c:pt>
                <c:pt idx="19">
                  <c:v>1.4040634896620055E-3</c:v>
                </c:pt>
                <c:pt idx="20">
                  <c:v>2.3870565043659251E-3</c:v>
                </c:pt>
                <c:pt idx="21">
                  <c:v>4.002426212012326E-3</c:v>
                </c:pt>
                <c:pt idx="22">
                  <c:v>6.6221817389566532E-3</c:v>
                </c:pt>
                <c:pt idx="23">
                  <c:v>1.0817243191678051E-2</c:v>
                </c:pt>
                <c:pt idx="24">
                  <c:v>1.7453371894338942E-2</c:v>
                </c:pt>
                <c:pt idx="25">
                  <c:v>2.7828413030710295E-2</c:v>
                </c:pt>
                <c:pt idx="26">
                  <c:v>4.38665213389971E-2</c:v>
                </c:pt>
                <c:pt idx="27">
                  <c:v>6.8390173223199902E-2</c:v>
                </c:pt>
                <c:pt idx="28">
                  <c:v>0.10549730718997635</c:v>
                </c:pt>
                <c:pt idx="29">
                  <c:v>0.16107918095242069</c:v>
                </c:pt>
                <c:pt idx="30">
                  <c:v>0.24352483128836891</c:v>
                </c:pt>
                <c:pt idx="31">
                  <c:v>0.36467075420782885</c:v>
                </c:pt>
                <c:pt idx="32">
                  <c:v>0.54107000200223432</c:v>
                </c:pt>
                <c:pt idx="33">
                  <c:v>0.79567374923178913</c:v>
                </c:pt>
                <c:pt idx="34">
                  <c:v>1.1600409245730756</c:v>
                </c:pt>
                <c:pt idx="35">
                  <c:v>1.6772180810792987</c:v>
                </c:pt>
                <c:pt idx="36">
                  <c:v>2.4054624580530657</c:v>
                </c:pt>
                <c:pt idx="37">
                  <c:v>3.4230160202224265</c:v>
                </c:pt>
                <c:pt idx="38">
                  <c:v>4.8341764004402688</c:v>
                </c:pt>
                <c:pt idx="39">
                  <c:v>6.7769503621721814</c:v>
                </c:pt>
                <c:pt idx="40">
                  <c:v>9.4326131936331699</c:v>
                </c:pt>
                <c:pt idx="41">
                  <c:v>13.037527176845582</c:v>
                </c:pt>
                <c:pt idx="42">
                  <c:v>17.897583467648747</c:v>
                </c:pt>
                <c:pt idx="43">
                  <c:v>24.405607261241752</c:v>
                </c:pt>
                <c:pt idx="44">
                  <c:v>33.061978896069562</c:v>
                </c:pt>
                <c:pt idx="45">
                  <c:v>44.498531865458141</c:v>
                </c:pt>
                <c:pt idx="46">
                  <c:v>59.505430307203142</c:v>
                </c:pt>
                <c:pt idx="47">
                  <c:v>79.060113638286523</c:v>
                </c:pt>
                <c:pt idx="48">
                  <c:v>104.35640058116049</c:v>
                </c:pt>
                <c:pt idx="49">
                  <c:v>136.83030754294089</c:v>
                </c:pt>
                <c:pt idx="50">
                  <c:v>178.1768658872349</c:v>
                </c:pt>
                <c:pt idx="51">
                  <c:v>230.34902878399291</c:v>
                </c:pt>
                <c:pt idx="52">
                  <c:v>295.52552802847362</c:v>
                </c:pt>
                <c:pt idx="53">
                  <c:v>376.02939322746408</c:v>
                </c:pt>
                <c:pt idx="54">
                  <c:v>474.17340348733813</c:v>
                </c:pt>
                <c:pt idx="55">
                  <c:v>592.0045554856847</c:v>
                </c:pt>
                <c:pt idx="56">
                  <c:v>730.91972477149966</c:v>
                </c:pt>
                <c:pt idx="57">
                  <c:v>891.13405922407981</c:v>
                </c:pt>
                <c:pt idx="58">
                  <c:v>1071.009197678216</c:v>
                </c:pt>
                <c:pt idx="59">
                  <c:v>1266.2975292458541</c:v>
                </c:pt>
                <c:pt idx="60">
                  <c:v>1469.4350124742584</c:v>
                </c:pt>
                <c:pt idx="61">
                  <c:v>1669.1105016891938</c:v>
                </c:pt>
                <c:pt idx="62">
                  <c:v>1850.4240385112462</c:v>
                </c:pt>
                <c:pt idx="63">
                  <c:v>1995.9618005821376</c:v>
                </c:pt>
                <c:pt idx="64">
                  <c:v>2087.9853486121219</c:v>
                </c:pt>
                <c:pt idx="65">
                  <c:v>2111.605519530041</c:v>
                </c:pt>
                <c:pt idx="66">
                  <c:v>2058.3286692057659</c:v>
                </c:pt>
                <c:pt idx="67">
                  <c:v>1928.9157219833783</c:v>
                </c:pt>
                <c:pt idx="68">
                  <c:v>1734.3835768722006</c:v>
                </c:pt>
                <c:pt idx="69">
                  <c:v>1494.4349598175722</c:v>
                </c:pt>
                <c:pt idx="70">
                  <c:v>1233.5518953610413</c:v>
                </c:pt>
                <c:pt idx="71">
                  <c:v>975.97742354268541</c:v>
                </c:pt>
                <c:pt idx="72">
                  <c:v>741.26230097731514</c:v>
                </c:pt>
                <c:pt idx="73">
                  <c:v>541.69425886833335</c:v>
                </c:pt>
                <c:pt idx="74">
                  <c:v>382.00842692586673</c:v>
                </c:pt>
                <c:pt idx="75">
                  <c:v>260.86673129999519</c:v>
                </c:pt>
                <c:pt idx="76">
                  <c:v>173.141581530705</c:v>
                </c:pt>
                <c:pt idx="77">
                  <c:v>112.11676786821046</c:v>
                </c:pt>
                <c:pt idx="78">
                  <c:v>71.096503079058905</c:v>
                </c:pt>
                <c:pt idx="79">
                  <c:v>44.307487131895229</c:v>
                </c:pt>
                <c:pt idx="80">
                  <c:v>27.226084782919663</c:v>
                </c:pt>
                <c:pt idx="81">
                  <c:v>16.544927519594506</c:v>
                </c:pt>
                <c:pt idx="82">
                  <c:v>9.9692896793459926</c:v>
                </c:pt>
                <c:pt idx="83">
                  <c:v>5.9701779430714463</c:v>
                </c:pt>
                <c:pt idx="84">
                  <c:v>3.5604153781260104</c:v>
                </c:pt>
                <c:pt idx="85">
                  <c:v>2.1180883868222269</c:v>
                </c:pt>
                <c:pt idx="86">
                  <c:v>1.2587595645666516</c:v>
                </c:pt>
                <c:pt idx="87">
                  <c:v>0.74820542555922509</c:v>
                </c:pt>
                <c:pt idx="88">
                  <c:v>0.44526046769452454</c:v>
                </c:pt>
                <c:pt idx="89">
                  <c:v>0.26551096623132392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'Data-Plot'!$I$10</c:f>
              <c:strCache>
                <c:ptCount val="1"/>
                <c:pt idx="0">
                  <c:v>P5-400.9</c:v>
                </c:pt>
              </c:strCache>
            </c:strRef>
          </c:tx>
          <c:spPr>
            <a:ln w="22225" cap="rnd">
              <a:solidFill>
                <a:srgbClr val="9600AA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105</c:v>
                </c:pt>
                <c:pt idx="21">
                  <c:v>110</c:v>
                </c:pt>
                <c:pt idx="22">
                  <c:v>115</c:v>
                </c:pt>
                <c:pt idx="23">
                  <c:v>120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185</c:v>
                </c:pt>
                <c:pt idx="37">
                  <c:v>190</c:v>
                </c:pt>
                <c:pt idx="38">
                  <c:v>195</c:v>
                </c:pt>
                <c:pt idx="39">
                  <c:v>200</c:v>
                </c:pt>
                <c:pt idx="40">
                  <c:v>205</c:v>
                </c:pt>
                <c:pt idx="41">
                  <c:v>210</c:v>
                </c:pt>
                <c:pt idx="42">
                  <c:v>215</c:v>
                </c:pt>
                <c:pt idx="43">
                  <c:v>220</c:v>
                </c:pt>
                <c:pt idx="44">
                  <c:v>225</c:v>
                </c:pt>
                <c:pt idx="45">
                  <c:v>230</c:v>
                </c:pt>
                <c:pt idx="46">
                  <c:v>235</c:v>
                </c:pt>
                <c:pt idx="47">
                  <c:v>240</c:v>
                </c:pt>
                <c:pt idx="48">
                  <c:v>245</c:v>
                </c:pt>
                <c:pt idx="49">
                  <c:v>250</c:v>
                </c:pt>
                <c:pt idx="50">
                  <c:v>255</c:v>
                </c:pt>
                <c:pt idx="51">
                  <c:v>260</c:v>
                </c:pt>
                <c:pt idx="52">
                  <c:v>265</c:v>
                </c:pt>
                <c:pt idx="53">
                  <c:v>270</c:v>
                </c:pt>
                <c:pt idx="54">
                  <c:v>275</c:v>
                </c:pt>
                <c:pt idx="55">
                  <c:v>280</c:v>
                </c:pt>
                <c:pt idx="56">
                  <c:v>285</c:v>
                </c:pt>
                <c:pt idx="57">
                  <c:v>290</c:v>
                </c:pt>
                <c:pt idx="58">
                  <c:v>295</c:v>
                </c:pt>
                <c:pt idx="59">
                  <c:v>300</c:v>
                </c:pt>
                <c:pt idx="60">
                  <c:v>305</c:v>
                </c:pt>
                <c:pt idx="61">
                  <c:v>310</c:v>
                </c:pt>
                <c:pt idx="62">
                  <c:v>315</c:v>
                </c:pt>
                <c:pt idx="63">
                  <c:v>320</c:v>
                </c:pt>
                <c:pt idx="64">
                  <c:v>325</c:v>
                </c:pt>
                <c:pt idx="65">
                  <c:v>330</c:v>
                </c:pt>
                <c:pt idx="66">
                  <c:v>335</c:v>
                </c:pt>
                <c:pt idx="67">
                  <c:v>340</c:v>
                </c:pt>
                <c:pt idx="68">
                  <c:v>345</c:v>
                </c:pt>
                <c:pt idx="69">
                  <c:v>350</c:v>
                </c:pt>
                <c:pt idx="70">
                  <c:v>355</c:v>
                </c:pt>
                <c:pt idx="71">
                  <c:v>360</c:v>
                </c:pt>
                <c:pt idx="72">
                  <c:v>365</c:v>
                </c:pt>
                <c:pt idx="73">
                  <c:v>370</c:v>
                </c:pt>
                <c:pt idx="74">
                  <c:v>375</c:v>
                </c:pt>
                <c:pt idx="75">
                  <c:v>380</c:v>
                </c:pt>
                <c:pt idx="76">
                  <c:v>385</c:v>
                </c:pt>
                <c:pt idx="77">
                  <c:v>390</c:v>
                </c:pt>
                <c:pt idx="78">
                  <c:v>395</c:v>
                </c:pt>
                <c:pt idx="79">
                  <c:v>400</c:v>
                </c:pt>
                <c:pt idx="80">
                  <c:v>405</c:v>
                </c:pt>
                <c:pt idx="81">
                  <c:v>410</c:v>
                </c:pt>
                <c:pt idx="82">
                  <c:v>415</c:v>
                </c:pt>
                <c:pt idx="83">
                  <c:v>420</c:v>
                </c:pt>
                <c:pt idx="84">
                  <c:v>425</c:v>
                </c:pt>
                <c:pt idx="85">
                  <c:v>430</c:v>
                </c:pt>
                <c:pt idx="86">
                  <c:v>435</c:v>
                </c:pt>
                <c:pt idx="87">
                  <c:v>440</c:v>
                </c:pt>
                <c:pt idx="88">
                  <c:v>445</c:v>
                </c:pt>
                <c:pt idx="89">
                  <c:v>450</c:v>
                </c:pt>
              </c:numCache>
            </c:numRef>
          </c:xVal>
          <c:yVal>
            <c:numRef>
              <c:f>'Data-Plot'!$I$11:$I$1020</c:f>
              <c:numCache>
                <c:formatCode>General</c:formatCode>
                <c:ptCount val="1010"/>
                <c:pt idx="0">
                  <c:v>2.4071570406678346E-23</c:v>
                </c:pt>
                <c:pt idx="1">
                  <c:v>1.463918234896403E-22</c:v>
                </c:pt>
                <c:pt idx="2">
                  <c:v>8.3622035587196226E-22</c:v>
                </c:pt>
                <c:pt idx="3">
                  <c:v>4.5009934546020578E-21</c:v>
                </c:pt>
                <c:pt idx="4">
                  <c:v>2.2896999872968822E-20</c:v>
                </c:pt>
                <c:pt idx="5">
                  <c:v>1.1039374603178842E-19</c:v>
                </c:pt>
                <c:pt idx="6">
                  <c:v>5.057553039141678E-19</c:v>
                </c:pt>
                <c:pt idx="7">
                  <c:v>2.2071327481516452E-18</c:v>
                </c:pt>
                <c:pt idx="8">
                  <c:v>9.1961000168022241E-18</c:v>
                </c:pt>
                <c:pt idx="9">
                  <c:v>3.666061418041178E-17</c:v>
                </c:pt>
                <c:pt idx="10">
                  <c:v>1.4011779741533082E-16</c:v>
                </c:pt>
                <c:pt idx="11">
                  <c:v>5.1440886817735701E-16</c:v>
                </c:pt>
                <c:pt idx="12">
                  <c:v>1.817274353538014E-15</c:v>
                </c:pt>
                <c:pt idx="13">
                  <c:v>6.1881323014426951E-15</c:v>
                </c:pt>
                <c:pt idx="14">
                  <c:v>2.0342949359193952E-14</c:v>
                </c:pt>
                <c:pt idx="15">
                  <c:v>6.4659553170972649E-14</c:v>
                </c:pt>
                <c:pt idx="16">
                  <c:v>1.9898892142311493E-13</c:v>
                </c:pt>
                <c:pt idx="17">
                  <c:v>5.9372005767013467E-13</c:v>
                </c:pt>
                <c:pt idx="18">
                  <c:v>1.7196454238880518E-12</c:v>
                </c:pt>
                <c:pt idx="19">
                  <c:v>4.8408189826136658E-12</c:v>
                </c:pt>
                <c:pt idx="20">
                  <c:v>1.3259052516874352E-11</c:v>
                </c:pt>
                <c:pt idx="21">
                  <c:v>3.5374082955885735E-11</c:v>
                </c:pt>
                <c:pt idx="22">
                  <c:v>9.2019167813463489E-11</c:v>
                </c:pt>
                <c:pt idx="23">
                  <c:v>2.336203839412594E-10</c:v>
                </c:pt>
                <c:pt idx="24">
                  <c:v>5.7940248231004814E-10</c:v>
                </c:pt>
                <c:pt idx="25">
                  <c:v>1.4049642825811581E-9</c:v>
                </c:pt>
                <c:pt idx="26">
                  <c:v>3.3336893573463818E-9</c:v>
                </c:pt>
                <c:pt idx="27">
                  <c:v>7.746438505718845E-9</c:v>
                </c:pt>
                <c:pt idx="28">
                  <c:v>1.7640949432356876E-8</c:v>
                </c:pt>
                <c:pt idx="29">
                  <c:v>3.9399905962610429E-8</c:v>
                </c:pt>
                <c:pt idx="30">
                  <c:v>8.6361005843468189E-8</c:v>
                </c:pt>
                <c:pt idx="31">
                  <c:v>1.8589672330901762E-7</c:v>
                </c:pt>
                <c:pt idx="32">
                  <c:v>3.9321193345120766E-7</c:v>
                </c:pt>
                <c:pt idx="33">
                  <c:v>8.1778619452136744E-7</c:v>
                </c:pt>
                <c:pt idx="34">
                  <c:v>1.6732341869586283E-6</c:v>
                </c:pt>
                <c:pt idx="35">
                  <c:v>3.3698645647575921E-6</c:v>
                </c:pt>
                <c:pt idx="36">
                  <c:v>6.6839249777771527E-6</c:v>
                </c:pt>
                <c:pt idx="37">
                  <c:v>1.3062581925873253E-5</c:v>
                </c:pt>
                <c:pt idx="38">
                  <c:v>2.516579096698227E-5</c:v>
                </c:pt>
                <c:pt idx="39">
                  <c:v>4.7816006076482E-5</c:v>
                </c:pt>
                <c:pt idx="40">
                  <c:v>8.9640853265587474E-5</c:v>
                </c:pt>
                <c:pt idx="41">
                  <c:v>1.6587832238774671E-4</c:v>
                </c:pt>
                <c:pt idx="42">
                  <c:v>3.0310830542668721E-4</c:v>
                </c:pt>
                <c:pt idx="43">
                  <c:v>5.4713831126693472E-4</c:v>
                </c:pt>
                <c:pt idx="44">
                  <c:v>9.7599444827607522E-4</c:v>
                </c:pt>
                <c:pt idx="45">
                  <c:v>1.7210836683972631E-3</c:v>
                </c:pt>
                <c:pt idx="46">
                  <c:v>3.0012934427056347E-3</c:v>
                </c:pt>
                <c:pt idx="47">
                  <c:v>5.1773607491587322E-3</c:v>
                </c:pt>
                <c:pt idx="48">
                  <c:v>8.8376749940744341E-3</c:v>
                </c:pt>
                <c:pt idx="49">
                  <c:v>1.4932348644337299E-2</c:v>
                </c:pt>
                <c:pt idx="50">
                  <c:v>2.4980694301035226E-2</c:v>
                </c:pt>
                <c:pt idx="51">
                  <c:v>4.1389298561072776E-2</c:v>
                </c:pt>
                <c:pt idx="52">
                  <c:v>6.7935208548223935E-2</c:v>
                </c:pt>
                <c:pt idx="53">
                  <c:v>0.1104934216524087</c:v>
                </c:pt>
                <c:pt idx="54">
                  <c:v>0.178122674143915</c:v>
                </c:pt>
                <c:pt idx="55">
                  <c:v>0.28467212385068802</c:v>
                </c:pt>
                <c:pt idx="56">
                  <c:v>0.45113862925386244</c:v>
                </c:pt>
                <c:pt idx="57">
                  <c:v>0.70909579161006187</c:v>
                </c:pt>
                <c:pt idx="58">
                  <c:v>1.1056385822925965</c:v>
                </c:pt>
                <c:pt idx="59">
                  <c:v>1.710448317799506</c:v>
                </c:pt>
                <c:pt idx="60">
                  <c:v>2.6257873382428891</c:v>
                </c:pt>
                <c:pt idx="61">
                  <c:v>4.000480049456888</c:v>
                </c:pt>
                <c:pt idx="62">
                  <c:v>6.0492100197031862</c:v>
                </c:pt>
                <c:pt idx="63">
                  <c:v>9.0787090631918694</c:v>
                </c:pt>
                <c:pt idx="64">
                  <c:v>13.522508539000571</c:v>
                </c:pt>
                <c:pt idx="65">
                  <c:v>19.985600808880744</c:v>
                </c:pt>
                <c:pt idx="66">
                  <c:v>29.299104032864623</c:v>
                </c:pt>
                <c:pt idx="67">
                  <c:v>42.581903424932413</c:v>
                </c:pt>
                <c:pt idx="68">
                  <c:v>61.299717334102404</c:v>
                </c:pt>
                <c:pt idx="69">
                  <c:v>87.299902253841054</c:v>
                </c:pt>
                <c:pt idx="70">
                  <c:v>122.78023245759016</c:v>
                </c:pt>
                <c:pt idx="71">
                  <c:v>170.12158301312667</c:v>
                </c:pt>
                <c:pt idx="72">
                  <c:v>231.48522072740326</c:v>
                </c:pt>
                <c:pt idx="73">
                  <c:v>308.07021108141544</c:v>
                </c:pt>
                <c:pt idx="74">
                  <c:v>398.99777471923187</c:v>
                </c:pt>
                <c:pt idx="75">
                  <c:v>500.00634098907329</c:v>
                </c:pt>
                <c:pt idx="76">
                  <c:v>602.5170050324582</c:v>
                </c:pt>
                <c:pt idx="77">
                  <c:v>693.97635654399221</c:v>
                </c:pt>
                <c:pt idx="78">
                  <c:v>760.24058988846264</c:v>
                </c:pt>
                <c:pt idx="79">
                  <c:v>789.72994044755137</c:v>
                </c:pt>
                <c:pt idx="80">
                  <c:v>777.56939649612275</c:v>
                </c:pt>
                <c:pt idx="81">
                  <c:v>727.34252640799502</c:v>
                </c:pt>
                <c:pt idx="82">
                  <c:v>649.40165765796485</c:v>
                </c:pt>
                <c:pt idx="83">
                  <c:v>556.91349769992621</c:v>
                </c:pt>
                <c:pt idx="84">
                  <c:v>461.93745579083077</c:v>
                </c:pt>
                <c:pt idx="85">
                  <c:v>373.14308494952684</c:v>
                </c:pt>
                <c:pt idx="86">
                  <c:v>295.36805586023922</c:v>
                </c:pt>
                <c:pt idx="87">
                  <c:v>230.33174901834565</c:v>
                </c:pt>
                <c:pt idx="88">
                  <c:v>177.71832410580708</c:v>
                </c:pt>
                <c:pt idx="89">
                  <c:v>136.14195415033078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'Data-Plot'!$J$10</c:f>
              <c:strCache>
                <c:ptCount val="1"/>
              </c:strCache>
            </c:strRef>
          </c:tx>
          <c:spPr>
            <a:ln w="22225" cap="rnd">
              <a:solidFill>
                <a:srgbClr val="1400C8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105</c:v>
                </c:pt>
                <c:pt idx="21">
                  <c:v>110</c:v>
                </c:pt>
                <c:pt idx="22">
                  <c:v>115</c:v>
                </c:pt>
                <c:pt idx="23">
                  <c:v>120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185</c:v>
                </c:pt>
                <c:pt idx="37">
                  <c:v>190</c:v>
                </c:pt>
                <c:pt idx="38">
                  <c:v>195</c:v>
                </c:pt>
                <c:pt idx="39">
                  <c:v>200</c:v>
                </c:pt>
                <c:pt idx="40">
                  <c:v>205</c:v>
                </c:pt>
                <c:pt idx="41">
                  <c:v>210</c:v>
                </c:pt>
                <c:pt idx="42">
                  <c:v>215</c:v>
                </c:pt>
                <c:pt idx="43">
                  <c:v>220</c:v>
                </c:pt>
                <c:pt idx="44">
                  <c:v>225</c:v>
                </c:pt>
                <c:pt idx="45">
                  <c:v>230</c:v>
                </c:pt>
                <c:pt idx="46">
                  <c:v>235</c:v>
                </c:pt>
                <c:pt idx="47">
                  <c:v>240</c:v>
                </c:pt>
                <c:pt idx="48">
                  <c:v>245</c:v>
                </c:pt>
                <c:pt idx="49">
                  <c:v>250</c:v>
                </c:pt>
                <c:pt idx="50">
                  <c:v>255</c:v>
                </c:pt>
                <c:pt idx="51">
                  <c:v>260</c:v>
                </c:pt>
                <c:pt idx="52">
                  <c:v>265</c:v>
                </c:pt>
                <c:pt idx="53">
                  <c:v>270</c:v>
                </c:pt>
                <c:pt idx="54">
                  <c:v>275</c:v>
                </c:pt>
                <c:pt idx="55">
                  <c:v>280</c:v>
                </c:pt>
                <c:pt idx="56">
                  <c:v>285</c:v>
                </c:pt>
                <c:pt idx="57">
                  <c:v>290</c:v>
                </c:pt>
                <c:pt idx="58">
                  <c:v>295</c:v>
                </c:pt>
                <c:pt idx="59">
                  <c:v>300</c:v>
                </c:pt>
                <c:pt idx="60">
                  <c:v>305</c:v>
                </c:pt>
                <c:pt idx="61">
                  <c:v>310</c:v>
                </c:pt>
                <c:pt idx="62">
                  <c:v>315</c:v>
                </c:pt>
                <c:pt idx="63">
                  <c:v>320</c:v>
                </c:pt>
                <c:pt idx="64">
                  <c:v>325</c:v>
                </c:pt>
                <c:pt idx="65">
                  <c:v>330</c:v>
                </c:pt>
                <c:pt idx="66">
                  <c:v>335</c:v>
                </c:pt>
                <c:pt idx="67">
                  <c:v>340</c:v>
                </c:pt>
                <c:pt idx="68">
                  <c:v>345</c:v>
                </c:pt>
                <c:pt idx="69">
                  <c:v>350</c:v>
                </c:pt>
                <c:pt idx="70">
                  <c:v>355</c:v>
                </c:pt>
                <c:pt idx="71">
                  <c:v>360</c:v>
                </c:pt>
                <c:pt idx="72">
                  <c:v>365</c:v>
                </c:pt>
                <c:pt idx="73">
                  <c:v>370</c:v>
                </c:pt>
                <c:pt idx="74">
                  <c:v>375</c:v>
                </c:pt>
                <c:pt idx="75">
                  <c:v>380</c:v>
                </c:pt>
                <c:pt idx="76">
                  <c:v>385</c:v>
                </c:pt>
                <c:pt idx="77">
                  <c:v>390</c:v>
                </c:pt>
                <c:pt idx="78">
                  <c:v>395</c:v>
                </c:pt>
                <c:pt idx="79">
                  <c:v>400</c:v>
                </c:pt>
                <c:pt idx="80">
                  <c:v>405</c:v>
                </c:pt>
                <c:pt idx="81">
                  <c:v>410</c:v>
                </c:pt>
                <c:pt idx="82">
                  <c:v>415</c:v>
                </c:pt>
                <c:pt idx="83">
                  <c:v>420</c:v>
                </c:pt>
                <c:pt idx="84">
                  <c:v>425</c:v>
                </c:pt>
                <c:pt idx="85">
                  <c:v>430</c:v>
                </c:pt>
                <c:pt idx="86">
                  <c:v>435</c:v>
                </c:pt>
                <c:pt idx="87">
                  <c:v>440</c:v>
                </c:pt>
                <c:pt idx="88">
                  <c:v>445</c:v>
                </c:pt>
                <c:pt idx="89">
                  <c:v>450</c:v>
                </c:pt>
              </c:numCache>
            </c:numRef>
          </c:xVal>
          <c:yVal>
            <c:numRef>
              <c:f>'Data-Plot'!$J$11:$J$1020</c:f>
              <c:numCache>
                <c:formatCode>General</c:formatCode>
                <c:ptCount val="1010"/>
              </c:numCache>
            </c:numRef>
          </c:yVal>
          <c:smooth val="0"/>
        </c:ser>
        <c:ser>
          <c:idx val="6"/>
          <c:order val="6"/>
          <c:tx>
            <c:strRef>
              <c:f>'Data-Plot'!$K$10</c:f>
              <c:strCache>
                <c:ptCount val="1"/>
              </c:strCache>
            </c:strRef>
          </c:tx>
          <c:spPr>
            <a:ln w="22225" cap="rnd">
              <a:solidFill>
                <a:srgbClr val="E65A0A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105</c:v>
                </c:pt>
                <c:pt idx="21">
                  <c:v>110</c:v>
                </c:pt>
                <c:pt idx="22">
                  <c:v>115</c:v>
                </c:pt>
                <c:pt idx="23">
                  <c:v>120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185</c:v>
                </c:pt>
                <c:pt idx="37">
                  <c:v>190</c:v>
                </c:pt>
                <c:pt idx="38">
                  <c:v>195</c:v>
                </c:pt>
                <c:pt idx="39">
                  <c:v>200</c:v>
                </c:pt>
                <c:pt idx="40">
                  <c:v>205</c:v>
                </c:pt>
                <c:pt idx="41">
                  <c:v>210</c:v>
                </c:pt>
                <c:pt idx="42">
                  <c:v>215</c:v>
                </c:pt>
                <c:pt idx="43">
                  <c:v>220</c:v>
                </c:pt>
                <c:pt idx="44">
                  <c:v>225</c:v>
                </c:pt>
                <c:pt idx="45">
                  <c:v>230</c:v>
                </c:pt>
                <c:pt idx="46">
                  <c:v>235</c:v>
                </c:pt>
                <c:pt idx="47">
                  <c:v>240</c:v>
                </c:pt>
                <c:pt idx="48">
                  <c:v>245</c:v>
                </c:pt>
                <c:pt idx="49">
                  <c:v>250</c:v>
                </c:pt>
                <c:pt idx="50">
                  <c:v>255</c:v>
                </c:pt>
                <c:pt idx="51">
                  <c:v>260</c:v>
                </c:pt>
                <c:pt idx="52">
                  <c:v>265</c:v>
                </c:pt>
                <c:pt idx="53">
                  <c:v>270</c:v>
                </c:pt>
                <c:pt idx="54">
                  <c:v>275</c:v>
                </c:pt>
                <c:pt idx="55">
                  <c:v>280</c:v>
                </c:pt>
                <c:pt idx="56">
                  <c:v>285</c:v>
                </c:pt>
                <c:pt idx="57">
                  <c:v>290</c:v>
                </c:pt>
                <c:pt idx="58">
                  <c:v>295</c:v>
                </c:pt>
                <c:pt idx="59">
                  <c:v>300</c:v>
                </c:pt>
                <c:pt idx="60">
                  <c:v>305</c:v>
                </c:pt>
                <c:pt idx="61">
                  <c:v>310</c:v>
                </c:pt>
                <c:pt idx="62">
                  <c:v>315</c:v>
                </c:pt>
                <c:pt idx="63">
                  <c:v>320</c:v>
                </c:pt>
                <c:pt idx="64">
                  <c:v>325</c:v>
                </c:pt>
                <c:pt idx="65">
                  <c:v>330</c:v>
                </c:pt>
                <c:pt idx="66">
                  <c:v>335</c:v>
                </c:pt>
                <c:pt idx="67">
                  <c:v>340</c:v>
                </c:pt>
                <c:pt idx="68">
                  <c:v>345</c:v>
                </c:pt>
                <c:pt idx="69">
                  <c:v>350</c:v>
                </c:pt>
                <c:pt idx="70">
                  <c:v>355</c:v>
                </c:pt>
                <c:pt idx="71">
                  <c:v>360</c:v>
                </c:pt>
                <c:pt idx="72">
                  <c:v>365</c:v>
                </c:pt>
                <c:pt idx="73">
                  <c:v>370</c:v>
                </c:pt>
                <c:pt idx="74">
                  <c:v>375</c:v>
                </c:pt>
                <c:pt idx="75">
                  <c:v>380</c:v>
                </c:pt>
                <c:pt idx="76">
                  <c:v>385</c:v>
                </c:pt>
                <c:pt idx="77">
                  <c:v>390</c:v>
                </c:pt>
                <c:pt idx="78">
                  <c:v>395</c:v>
                </c:pt>
                <c:pt idx="79">
                  <c:v>400</c:v>
                </c:pt>
                <c:pt idx="80">
                  <c:v>405</c:v>
                </c:pt>
                <c:pt idx="81">
                  <c:v>410</c:v>
                </c:pt>
                <c:pt idx="82">
                  <c:v>415</c:v>
                </c:pt>
                <c:pt idx="83">
                  <c:v>420</c:v>
                </c:pt>
                <c:pt idx="84">
                  <c:v>425</c:v>
                </c:pt>
                <c:pt idx="85">
                  <c:v>430</c:v>
                </c:pt>
                <c:pt idx="86">
                  <c:v>435</c:v>
                </c:pt>
                <c:pt idx="87">
                  <c:v>440</c:v>
                </c:pt>
                <c:pt idx="88">
                  <c:v>445</c:v>
                </c:pt>
                <c:pt idx="89">
                  <c:v>450</c:v>
                </c:pt>
              </c:numCache>
            </c:numRef>
          </c:xVal>
          <c:yVal>
            <c:numRef>
              <c:f>'Data-Plot'!$K$11:$K$1020</c:f>
              <c:numCache>
                <c:formatCode>General</c:formatCode>
                <c:ptCount val="1010"/>
              </c:numCache>
            </c:numRef>
          </c:yVal>
          <c:smooth val="0"/>
        </c:ser>
        <c:ser>
          <c:idx val="7"/>
          <c:order val="7"/>
          <c:tx>
            <c:strRef>
              <c:f>'Data-Plot'!$L$10</c:f>
              <c:strCache>
                <c:ptCount val="1"/>
              </c:strCache>
            </c:strRef>
          </c:tx>
          <c:spPr>
            <a:ln w="22225" cap="rnd">
              <a:solidFill>
                <a:srgbClr val="28697D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105</c:v>
                </c:pt>
                <c:pt idx="21">
                  <c:v>110</c:v>
                </c:pt>
                <c:pt idx="22">
                  <c:v>115</c:v>
                </c:pt>
                <c:pt idx="23">
                  <c:v>120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185</c:v>
                </c:pt>
                <c:pt idx="37">
                  <c:v>190</c:v>
                </c:pt>
                <c:pt idx="38">
                  <c:v>195</c:v>
                </c:pt>
                <c:pt idx="39">
                  <c:v>200</c:v>
                </c:pt>
                <c:pt idx="40">
                  <c:v>205</c:v>
                </c:pt>
                <c:pt idx="41">
                  <c:v>210</c:v>
                </c:pt>
                <c:pt idx="42">
                  <c:v>215</c:v>
                </c:pt>
                <c:pt idx="43">
                  <c:v>220</c:v>
                </c:pt>
                <c:pt idx="44">
                  <c:v>225</c:v>
                </c:pt>
                <c:pt idx="45">
                  <c:v>230</c:v>
                </c:pt>
                <c:pt idx="46">
                  <c:v>235</c:v>
                </c:pt>
                <c:pt idx="47">
                  <c:v>240</c:v>
                </c:pt>
                <c:pt idx="48">
                  <c:v>245</c:v>
                </c:pt>
                <c:pt idx="49">
                  <c:v>250</c:v>
                </c:pt>
                <c:pt idx="50">
                  <c:v>255</c:v>
                </c:pt>
                <c:pt idx="51">
                  <c:v>260</c:v>
                </c:pt>
                <c:pt idx="52">
                  <c:v>265</c:v>
                </c:pt>
                <c:pt idx="53">
                  <c:v>270</c:v>
                </c:pt>
                <c:pt idx="54">
                  <c:v>275</c:v>
                </c:pt>
                <c:pt idx="55">
                  <c:v>280</c:v>
                </c:pt>
                <c:pt idx="56">
                  <c:v>285</c:v>
                </c:pt>
                <c:pt idx="57">
                  <c:v>290</c:v>
                </c:pt>
                <c:pt idx="58">
                  <c:v>295</c:v>
                </c:pt>
                <c:pt idx="59">
                  <c:v>300</c:v>
                </c:pt>
                <c:pt idx="60">
                  <c:v>305</c:v>
                </c:pt>
                <c:pt idx="61">
                  <c:v>310</c:v>
                </c:pt>
                <c:pt idx="62">
                  <c:v>315</c:v>
                </c:pt>
                <c:pt idx="63">
                  <c:v>320</c:v>
                </c:pt>
                <c:pt idx="64">
                  <c:v>325</c:v>
                </c:pt>
                <c:pt idx="65">
                  <c:v>330</c:v>
                </c:pt>
                <c:pt idx="66">
                  <c:v>335</c:v>
                </c:pt>
                <c:pt idx="67">
                  <c:v>340</c:v>
                </c:pt>
                <c:pt idx="68">
                  <c:v>345</c:v>
                </c:pt>
                <c:pt idx="69">
                  <c:v>350</c:v>
                </c:pt>
                <c:pt idx="70">
                  <c:v>355</c:v>
                </c:pt>
                <c:pt idx="71">
                  <c:v>360</c:v>
                </c:pt>
                <c:pt idx="72">
                  <c:v>365</c:v>
                </c:pt>
                <c:pt idx="73">
                  <c:v>370</c:v>
                </c:pt>
                <c:pt idx="74">
                  <c:v>375</c:v>
                </c:pt>
                <c:pt idx="75">
                  <c:v>380</c:v>
                </c:pt>
                <c:pt idx="76">
                  <c:v>385</c:v>
                </c:pt>
                <c:pt idx="77">
                  <c:v>390</c:v>
                </c:pt>
                <c:pt idx="78">
                  <c:v>395</c:v>
                </c:pt>
                <c:pt idx="79">
                  <c:v>400</c:v>
                </c:pt>
                <c:pt idx="80">
                  <c:v>405</c:v>
                </c:pt>
                <c:pt idx="81">
                  <c:v>410</c:v>
                </c:pt>
                <c:pt idx="82">
                  <c:v>415</c:v>
                </c:pt>
                <c:pt idx="83">
                  <c:v>420</c:v>
                </c:pt>
                <c:pt idx="84">
                  <c:v>425</c:v>
                </c:pt>
                <c:pt idx="85">
                  <c:v>430</c:v>
                </c:pt>
                <c:pt idx="86">
                  <c:v>435</c:v>
                </c:pt>
                <c:pt idx="87">
                  <c:v>440</c:v>
                </c:pt>
                <c:pt idx="88">
                  <c:v>445</c:v>
                </c:pt>
                <c:pt idx="89">
                  <c:v>450</c:v>
                </c:pt>
              </c:numCache>
            </c:numRef>
          </c:xVal>
          <c:yVal>
            <c:numRef>
              <c:f>'Data-Plot'!$L$11:$L$1020</c:f>
              <c:numCache>
                <c:formatCode>General</c:formatCode>
                <c:ptCount val="1010"/>
              </c:numCache>
            </c:numRef>
          </c:yVal>
          <c:smooth val="0"/>
        </c:ser>
        <c:ser>
          <c:idx val="8"/>
          <c:order val="8"/>
          <c:tx>
            <c:strRef>
              <c:f>'Data-Plot'!$M$10</c:f>
              <c:strCache>
                <c:ptCount val="1"/>
              </c:strCache>
            </c:strRef>
          </c:tx>
          <c:spPr>
            <a:ln w="22225" cap="rnd">
              <a:solidFill>
                <a:srgbClr val="FF5A50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105</c:v>
                </c:pt>
                <c:pt idx="21">
                  <c:v>110</c:v>
                </c:pt>
                <c:pt idx="22">
                  <c:v>115</c:v>
                </c:pt>
                <c:pt idx="23">
                  <c:v>120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185</c:v>
                </c:pt>
                <c:pt idx="37">
                  <c:v>190</c:v>
                </c:pt>
                <c:pt idx="38">
                  <c:v>195</c:v>
                </c:pt>
                <c:pt idx="39">
                  <c:v>200</c:v>
                </c:pt>
                <c:pt idx="40">
                  <c:v>205</c:v>
                </c:pt>
                <c:pt idx="41">
                  <c:v>210</c:v>
                </c:pt>
                <c:pt idx="42">
                  <c:v>215</c:v>
                </c:pt>
                <c:pt idx="43">
                  <c:v>220</c:v>
                </c:pt>
                <c:pt idx="44">
                  <c:v>225</c:v>
                </c:pt>
                <c:pt idx="45">
                  <c:v>230</c:v>
                </c:pt>
                <c:pt idx="46">
                  <c:v>235</c:v>
                </c:pt>
                <c:pt idx="47">
                  <c:v>240</c:v>
                </c:pt>
                <c:pt idx="48">
                  <c:v>245</c:v>
                </c:pt>
                <c:pt idx="49">
                  <c:v>250</c:v>
                </c:pt>
                <c:pt idx="50">
                  <c:v>255</c:v>
                </c:pt>
                <c:pt idx="51">
                  <c:v>260</c:v>
                </c:pt>
                <c:pt idx="52">
                  <c:v>265</c:v>
                </c:pt>
                <c:pt idx="53">
                  <c:v>270</c:v>
                </c:pt>
                <c:pt idx="54">
                  <c:v>275</c:v>
                </c:pt>
                <c:pt idx="55">
                  <c:v>280</c:v>
                </c:pt>
                <c:pt idx="56">
                  <c:v>285</c:v>
                </c:pt>
                <c:pt idx="57">
                  <c:v>290</c:v>
                </c:pt>
                <c:pt idx="58">
                  <c:v>295</c:v>
                </c:pt>
                <c:pt idx="59">
                  <c:v>300</c:v>
                </c:pt>
                <c:pt idx="60">
                  <c:v>305</c:v>
                </c:pt>
                <c:pt idx="61">
                  <c:v>310</c:v>
                </c:pt>
                <c:pt idx="62">
                  <c:v>315</c:v>
                </c:pt>
                <c:pt idx="63">
                  <c:v>320</c:v>
                </c:pt>
                <c:pt idx="64">
                  <c:v>325</c:v>
                </c:pt>
                <c:pt idx="65">
                  <c:v>330</c:v>
                </c:pt>
                <c:pt idx="66">
                  <c:v>335</c:v>
                </c:pt>
                <c:pt idx="67">
                  <c:v>340</c:v>
                </c:pt>
                <c:pt idx="68">
                  <c:v>345</c:v>
                </c:pt>
                <c:pt idx="69">
                  <c:v>350</c:v>
                </c:pt>
                <c:pt idx="70">
                  <c:v>355</c:v>
                </c:pt>
                <c:pt idx="71">
                  <c:v>360</c:v>
                </c:pt>
                <c:pt idx="72">
                  <c:v>365</c:v>
                </c:pt>
                <c:pt idx="73">
                  <c:v>370</c:v>
                </c:pt>
                <c:pt idx="74">
                  <c:v>375</c:v>
                </c:pt>
                <c:pt idx="75">
                  <c:v>380</c:v>
                </c:pt>
                <c:pt idx="76">
                  <c:v>385</c:v>
                </c:pt>
                <c:pt idx="77">
                  <c:v>390</c:v>
                </c:pt>
                <c:pt idx="78">
                  <c:v>395</c:v>
                </c:pt>
                <c:pt idx="79">
                  <c:v>400</c:v>
                </c:pt>
                <c:pt idx="80">
                  <c:v>405</c:v>
                </c:pt>
                <c:pt idx="81">
                  <c:v>410</c:v>
                </c:pt>
                <c:pt idx="82">
                  <c:v>415</c:v>
                </c:pt>
                <c:pt idx="83">
                  <c:v>420</c:v>
                </c:pt>
                <c:pt idx="84">
                  <c:v>425</c:v>
                </c:pt>
                <c:pt idx="85">
                  <c:v>430</c:v>
                </c:pt>
                <c:pt idx="86">
                  <c:v>435</c:v>
                </c:pt>
                <c:pt idx="87">
                  <c:v>440</c:v>
                </c:pt>
                <c:pt idx="88">
                  <c:v>445</c:v>
                </c:pt>
                <c:pt idx="89">
                  <c:v>450</c:v>
                </c:pt>
              </c:numCache>
            </c:numRef>
          </c:xVal>
          <c:yVal>
            <c:numRef>
              <c:f>'Data-Plot'!$M$11:$M$1020</c:f>
              <c:numCache>
                <c:formatCode>General</c:formatCode>
                <c:ptCount val="1010"/>
              </c:numCache>
            </c:numRef>
          </c:yVal>
          <c:smooth val="0"/>
        </c:ser>
        <c:ser>
          <c:idx val="9"/>
          <c:order val="9"/>
          <c:tx>
            <c:strRef>
              <c:f>'Data-Plot'!$N$10</c:f>
              <c:strCache>
                <c:ptCount val="1"/>
              </c:strCache>
            </c:strRef>
          </c:tx>
          <c:spPr>
            <a:ln w="22225" cap="rnd">
              <a:solidFill>
                <a:srgbClr val="823C00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105</c:v>
                </c:pt>
                <c:pt idx="21">
                  <c:v>110</c:v>
                </c:pt>
                <c:pt idx="22">
                  <c:v>115</c:v>
                </c:pt>
                <c:pt idx="23">
                  <c:v>120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185</c:v>
                </c:pt>
                <c:pt idx="37">
                  <c:v>190</c:v>
                </c:pt>
                <c:pt idx="38">
                  <c:v>195</c:v>
                </c:pt>
                <c:pt idx="39">
                  <c:v>200</c:v>
                </c:pt>
                <c:pt idx="40">
                  <c:v>205</c:v>
                </c:pt>
                <c:pt idx="41">
                  <c:v>210</c:v>
                </c:pt>
                <c:pt idx="42">
                  <c:v>215</c:v>
                </c:pt>
                <c:pt idx="43">
                  <c:v>220</c:v>
                </c:pt>
                <c:pt idx="44">
                  <c:v>225</c:v>
                </c:pt>
                <c:pt idx="45">
                  <c:v>230</c:v>
                </c:pt>
                <c:pt idx="46">
                  <c:v>235</c:v>
                </c:pt>
                <c:pt idx="47">
                  <c:v>240</c:v>
                </c:pt>
                <c:pt idx="48">
                  <c:v>245</c:v>
                </c:pt>
                <c:pt idx="49">
                  <c:v>250</c:v>
                </c:pt>
                <c:pt idx="50">
                  <c:v>255</c:v>
                </c:pt>
                <c:pt idx="51">
                  <c:v>260</c:v>
                </c:pt>
                <c:pt idx="52">
                  <c:v>265</c:v>
                </c:pt>
                <c:pt idx="53">
                  <c:v>270</c:v>
                </c:pt>
                <c:pt idx="54">
                  <c:v>275</c:v>
                </c:pt>
                <c:pt idx="55">
                  <c:v>280</c:v>
                </c:pt>
                <c:pt idx="56">
                  <c:v>285</c:v>
                </c:pt>
                <c:pt idx="57">
                  <c:v>290</c:v>
                </c:pt>
                <c:pt idx="58">
                  <c:v>295</c:v>
                </c:pt>
                <c:pt idx="59">
                  <c:v>300</c:v>
                </c:pt>
                <c:pt idx="60">
                  <c:v>305</c:v>
                </c:pt>
                <c:pt idx="61">
                  <c:v>310</c:v>
                </c:pt>
                <c:pt idx="62">
                  <c:v>315</c:v>
                </c:pt>
                <c:pt idx="63">
                  <c:v>320</c:v>
                </c:pt>
                <c:pt idx="64">
                  <c:v>325</c:v>
                </c:pt>
                <c:pt idx="65">
                  <c:v>330</c:v>
                </c:pt>
                <c:pt idx="66">
                  <c:v>335</c:v>
                </c:pt>
                <c:pt idx="67">
                  <c:v>340</c:v>
                </c:pt>
                <c:pt idx="68">
                  <c:v>345</c:v>
                </c:pt>
                <c:pt idx="69">
                  <c:v>350</c:v>
                </c:pt>
                <c:pt idx="70">
                  <c:v>355</c:v>
                </c:pt>
                <c:pt idx="71">
                  <c:v>360</c:v>
                </c:pt>
                <c:pt idx="72">
                  <c:v>365</c:v>
                </c:pt>
                <c:pt idx="73">
                  <c:v>370</c:v>
                </c:pt>
                <c:pt idx="74">
                  <c:v>375</c:v>
                </c:pt>
                <c:pt idx="75">
                  <c:v>380</c:v>
                </c:pt>
                <c:pt idx="76">
                  <c:v>385</c:v>
                </c:pt>
                <c:pt idx="77">
                  <c:v>390</c:v>
                </c:pt>
                <c:pt idx="78">
                  <c:v>395</c:v>
                </c:pt>
                <c:pt idx="79">
                  <c:v>400</c:v>
                </c:pt>
                <c:pt idx="80">
                  <c:v>405</c:v>
                </c:pt>
                <c:pt idx="81">
                  <c:v>410</c:v>
                </c:pt>
                <c:pt idx="82">
                  <c:v>415</c:v>
                </c:pt>
                <c:pt idx="83">
                  <c:v>420</c:v>
                </c:pt>
                <c:pt idx="84">
                  <c:v>425</c:v>
                </c:pt>
                <c:pt idx="85">
                  <c:v>430</c:v>
                </c:pt>
                <c:pt idx="86">
                  <c:v>435</c:v>
                </c:pt>
                <c:pt idx="87">
                  <c:v>440</c:v>
                </c:pt>
                <c:pt idx="88">
                  <c:v>445</c:v>
                </c:pt>
                <c:pt idx="89">
                  <c:v>450</c:v>
                </c:pt>
              </c:numCache>
            </c:numRef>
          </c:xVal>
          <c:yVal>
            <c:numRef>
              <c:f>'Data-Plot'!$N$11:$N$1020</c:f>
              <c:numCache>
                <c:formatCode>General</c:formatCode>
                <c:ptCount val="1010"/>
              </c:numCache>
            </c:numRef>
          </c:yVal>
          <c:smooth val="0"/>
        </c:ser>
        <c:ser>
          <c:idx val="10"/>
          <c:order val="10"/>
          <c:tx>
            <c:strRef>
              <c:f>'Data-Plot'!$D$10</c:f>
              <c:strCache>
                <c:ptCount val="1"/>
                <c:pt idx="0">
                  <c:v>CGCD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105</c:v>
                </c:pt>
                <c:pt idx="21">
                  <c:v>110</c:v>
                </c:pt>
                <c:pt idx="22">
                  <c:v>115</c:v>
                </c:pt>
                <c:pt idx="23">
                  <c:v>120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185</c:v>
                </c:pt>
                <c:pt idx="37">
                  <c:v>190</c:v>
                </c:pt>
                <c:pt idx="38">
                  <c:v>195</c:v>
                </c:pt>
                <c:pt idx="39">
                  <c:v>200</c:v>
                </c:pt>
                <c:pt idx="40">
                  <c:v>205</c:v>
                </c:pt>
                <c:pt idx="41">
                  <c:v>210</c:v>
                </c:pt>
                <c:pt idx="42">
                  <c:v>215</c:v>
                </c:pt>
                <c:pt idx="43">
                  <c:v>220</c:v>
                </c:pt>
                <c:pt idx="44">
                  <c:v>225</c:v>
                </c:pt>
                <c:pt idx="45">
                  <c:v>230</c:v>
                </c:pt>
                <c:pt idx="46">
                  <c:v>235</c:v>
                </c:pt>
                <c:pt idx="47">
                  <c:v>240</c:v>
                </c:pt>
                <c:pt idx="48">
                  <c:v>245</c:v>
                </c:pt>
                <c:pt idx="49">
                  <c:v>250</c:v>
                </c:pt>
                <c:pt idx="50">
                  <c:v>255</c:v>
                </c:pt>
                <c:pt idx="51">
                  <c:v>260</c:v>
                </c:pt>
                <c:pt idx="52">
                  <c:v>265</c:v>
                </c:pt>
                <c:pt idx="53">
                  <c:v>270</c:v>
                </c:pt>
                <c:pt idx="54">
                  <c:v>275</c:v>
                </c:pt>
                <c:pt idx="55">
                  <c:v>280</c:v>
                </c:pt>
                <c:pt idx="56">
                  <c:v>285</c:v>
                </c:pt>
                <c:pt idx="57">
                  <c:v>290</c:v>
                </c:pt>
                <c:pt idx="58">
                  <c:v>295</c:v>
                </c:pt>
                <c:pt idx="59">
                  <c:v>300</c:v>
                </c:pt>
                <c:pt idx="60">
                  <c:v>305</c:v>
                </c:pt>
                <c:pt idx="61">
                  <c:v>310</c:v>
                </c:pt>
                <c:pt idx="62">
                  <c:v>315</c:v>
                </c:pt>
                <c:pt idx="63">
                  <c:v>320</c:v>
                </c:pt>
                <c:pt idx="64">
                  <c:v>325</c:v>
                </c:pt>
                <c:pt idx="65">
                  <c:v>330</c:v>
                </c:pt>
                <c:pt idx="66">
                  <c:v>335</c:v>
                </c:pt>
                <c:pt idx="67">
                  <c:v>340</c:v>
                </c:pt>
                <c:pt idx="68">
                  <c:v>345</c:v>
                </c:pt>
                <c:pt idx="69">
                  <c:v>350</c:v>
                </c:pt>
                <c:pt idx="70">
                  <c:v>355</c:v>
                </c:pt>
                <c:pt idx="71">
                  <c:v>360</c:v>
                </c:pt>
                <c:pt idx="72">
                  <c:v>365</c:v>
                </c:pt>
                <c:pt idx="73">
                  <c:v>370</c:v>
                </c:pt>
                <c:pt idx="74">
                  <c:v>375</c:v>
                </c:pt>
                <c:pt idx="75">
                  <c:v>380</c:v>
                </c:pt>
                <c:pt idx="76">
                  <c:v>385</c:v>
                </c:pt>
                <c:pt idx="77">
                  <c:v>390</c:v>
                </c:pt>
                <c:pt idx="78">
                  <c:v>395</c:v>
                </c:pt>
                <c:pt idx="79">
                  <c:v>400</c:v>
                </c:pt>
                <c:pt idx="80">
                  <c:v>405</c:v>
                </c:pt>
                <c:pt idx="81">
                  <c:v>410</c:v>
                </c:pt>
                <c:pt idx="82">
                  <c:v>415</c:v>
                </c:pt>
                <c:pt idx="83">
                  <c:v>420</c:v>
                </c:pt>
                <c:pt idx="84">
                  <c:v>425</c:v>
                </c:pt>
                <c:pt idx="85">
                  <c:v>430</c:v>
                </c:pt>
                <c:pt idx="86">
                  <c:v>435</c:v>
                </c:pt>
                <c:pt idx="87">
                  <c:v>440</c:v>
                </c:pt>
                <c:pt idx="88">
                  <c:v>445</c:v>
                </c:pt>
                <c:pt idx="89">
                  <c:v>450</c:v>
                </c:pt>
              </c:numCache>
            </c:numRef>
          </c:xVal>
          <c:yVal>
            <c:numRef>
              <c:f>'Data-Plot'!$D$11:$D$1020</c:f>
              <c:numCache>
                <c:formatCode>General</c:formatCode>
                <c:ptCount val="1010"/>
                <c:pt idx="0">
                  <c:v>2.4104763894186999E-3</c:v>
                </c:pt>
                <c:pt idx="1">
                  <c:v>5.0699511950063579E-3</c:v>
                </c:pt>
                <c:pt idx="2">
                  <c:v>1.0391994250624099E-2</c:v>
                </c:pt>
                <c:pt idx="3">
                  <c:v>2.0785551557024756E-2</c:v>
                </c:pt>
                <c:pt idx="4">
                  <c:v>4.0618747627999947E-2</c:v>
                </c:pt>
                <c:pt idx="5">
                  <c:v>7.7641371311637231E-2</c:v>
                </c:pt>
                <c:pt idx="6">
                  <c:v>0.14532097133890723</c:v>
                </c:pt>
                <c:pt idx="7">
                  <c:v>0.26660503381149647</c:v>
                </c:pt>
                <c:pt idx="8">
                  <c:v>0.47986799241536798</c:v>
                </c:pt>
                <c:pt idx="9">
                  <c:v>0.84814606876321419</c:v>
                </c:pt>
                <c:pt idx="10">
                  <c:v>1.473234642774832</c:v>
                </c:pt>
                <c:pt idx="11">
                  <c:v>2.5168552935541122</c:v>
                </c:pt>
                <c:pt idx="12">
                  <c:v>4.2319259250822032</c:v>
                </c:pt>
                <c:pt idx="13">
                  <c:v>7.0080103928392035</c:v>
                </c:pt>
                <c:pt idx="14">
                  <c:v>11.436273936453969</c:v>
                </c:pt>
                <c:pt idx="15">
                  <c:v>18.40063735274606</c:v>
                </c:pt>
                <c:pt idx="16">
                  <c:v>29.203040147736093</c:v>
                </c:pt>
                <c:pt idx="17">
                  <c:v>45.731165673600835</c:v>
                </c:pt>
                <c:pt idx="18">
                  <c:v>70.675333025376403</c:v>
                </c:pt>
                <c:pt idx="19">
                  <c:v>107.79495591654555</c:v>
                </c:pt>
                <c:pt idx="20">
                  <c:v>162.21936755761251</c:v>
                </c:pt>
                <c:pt idx="21">
                  <c:v>240.73526319540619</c:v>
                </c:pt>
                <c:pt idx="22">
                  <c:v>351.95263277450289</c:v>
                </c:pt>
                <c:pt idx="23">
                  <c:v>506.14164386808824</c:v>
                </c:pt>
                <c:pt idx="24">
                  <c:v>714.39461640951481</c:v>
                </c:pt>
                <c:pt idx="25">
                  <c:v>986.63117418193428</c:v>
                </c:pt>
                <c:pt idx="26">
                  <c:v>1327.9677032189036</c:v>
                </c:pt>
                <c:pt idx="27">
                  <c:v>1733.4032729687742</c:v>
                </c:pt>
                <c:pt idx="28">
                  <c:v>2182.0179502837209</c:v>
                </c:pt>
                <c:pt idx="29">
                  <c:v>2634.00432432152</c:v>
                </c:pt>
                <c:pt idx="30">
                  <c:v>3035.709550145616</c:v>
                </c:pt>
                <c:pt idx="31">
                  <c:v>3336.502800037988</c:v>
                </c:pt>
                <c:pt idx="32">
                  <c:v>3513.9833236955947</c:v>
                </c:pt>
                <c:pt idx="33">
                  <c:v>3593.8028237385779</c:v>
                </c:pt>
                <c:pt idx="34">
                  <c:v>3647.9837803158939</c:v>
                </c:pt>
                <c:pt idx="35">
                  <c:v>3768.6057642912524</c:v>
                </c:pt>
                <c:pt idx="36">
                  <c:v>4032.0144984554399</c:v>
                </c:pt>
                <c:pt idx="37">
                  <c:v>4473.1740680496905</c:v>
                </c:pt>
                <c:pt idx="38">
                  <c:v>5077.5269681084992</c:v>
                </c:pt>
                <c:pt idx="39">
                  <c:v>5784.5316347207745</c:v>
                </c:pt>
                <c:pt idx="40">
                  <c:v>6495.0091808597363</c:v>
                </c:pt>
                <c:pt idx="41">
                  <c:v>7080.8573096151022</c:v>
                </c:pt>
                <c:pt idx="42">
                  <c:v>7401.9837010127294</c:v>
                </c:pt>
                <c:pt idx="43">
                  <c:v>7335.9465620350084</c:v>
                </c:pt>
                <c:pt idx="44">
                  <c:v>6819.1303131871655</c:v>
                </c:pt>
                <c:pt idx="45">
                  <c:v>5886.0046750342453</c:v>
                </c:pt>
                <c:pt idx="46">
                  <c:v>4682.1924992024906</c:v>
                </c:pt>
                <c:pt idx="47">
                  <c:v>3430.1751220828778</c:v>
                </c:pt>
                <c:pt idx="48">
                  <c:v>2351.6273044890668</c:v>
                </c:pt>
                <c:pt idx="49">
                  <c:v>1585.1845356066819</c:v>
                </c:pt>
                <c:pt idx="50">
                  <c:v>1149.9738732775977</c:v>
                </c:pt>
                <c:pt idx="51">
                  <c:v>973.47341834147312</c:v>
                </c:pt>
                <c:pt idx="52">
                  <c:v>953.62980435560701</c:v>
                </c:pt>
                <c:pt idx="53">
                  <c:v>1008.4812071862682</c:v>
                </c:pt>
                <c:pt idx="54">
                  <c:v>1092.0081139484057</c:v>
                </c:pt>
                <c:pt idx="55">
                  <c:v>1186.3177097142943</c:v>
                </c:pt>
                <c:pt idx="56">
                  <c:v>1288.3906477002615</c:v>
                </c:pt>
                <c:pt idx="57">
                  <c:v>1400.6109102642154</c:v>
                </c:pt>
                <c:pt idx="58">
                  <c:v>1525.6346610119901</c:v>
                </c:pt>
                <c:pt idx="59">
                  <c:v>1663.6710749915428</c:v>
                </c:pt>
                <c:pt idx="60">
                  <c:v>1810.9273831566068</c:v>
                </c:pt>
                <c:pt idx="61">
                  <c:v>1958.8753382442985</c:v>
                </c:pt>
                <c:pt idx="62">
                  <c:v>2094.4228144242711</c:v>
                </c:pt>
                <c:pt idx="63">
                  <c:v>2201.1799957941716</c:v>
                </c:pt>
                <c:pt idx="64">
                  <c:v>2261.9143567055257</c:v>
                </c:pt>
                <c:pt idx="65">
                  <c:v>2261.996071290584</c:v>
                </c:pt>
                <c:pt idx="66">
                  <c:v>2193.1856311603228</c:v>
                </c:pt>
                <c:pt idx="67">
                  <c:v>2056.6903842669826</c:v>
                </c:pt>
                <c:pt idx="68">
                  <c:v>1864.3138524927522</c:v>
                </c:pt>
                <c:pt idx="69">
                  <c:v>1636.9721627891151</c:v>
                </c:pt>
                <c:pt idx="70">
                  <c:v>1400.781819860978</c:v>
                </c:pt>
                <c:pt idx="71">
                  <c:v>1181.882629344761</c:v>
                </c:pt>
                <c:pt idx="72">
                  <c:v>1001.5801663112186</c:v>
                </c:pt>
                <c:pt idx="73">
                  <c:v>873.02564314280414</c:v>
                </c:pt>
                <c:pt idx="74">
                  <c:v>799.80166203450858</c:v>
                </c:pt>
                <c:pt idx="75">
                  <c:v>776.08720876559141</c:v>
                </c:pt>
                <c:pt idx="76">
                  <c:v>787.9978819588016</c:v>
                </c:pt>
                <c:pt idx="77">
                  <c:v>816.12170031095184</c:v>
                </c:pt>
                <c:pt idx="78">
                  <c:v>839.50547785317735</c:v>
                </c:pt>
                <c:pt idx="79">
                  <c:v>840.70566859996882</c:v>
                </c:pt>
                <c:pt idx="80">
                  <c:v>810.25161557994284</c:v>
                </c:pt>
                <c:pt idx="81">
                  <c:v>748.36221917275293</c:v>
                </c:pt>
                <c:pt idx="82">
                  <c:v>663.04947057612424</c:v>
                </c:pt>
                <c:pt idx="83">
                  <c:v>565.91474919995812</c:v>
                </c:pt>
                <c:pt idx="84">
                  <c:v>468.00130975599268</c:v>
                </c:pt>
                <c:pt idx="85">
                  <c:v>377.33364965785734</c:v>
                </c:pt>
                <c:pt idx="86">
                  <c:v>298.34649137895258</c:v>
                </c:pt>
                <c:pt idx="87">
                  <c:v>232.5101597859335</c:v>
                </c:pt>
                <c:pt idx="88">
                  <c:v>179.35574241775171</c:v>
                </c:pt>
                <c:pt idx="89">
                  <c:v>137.40342176091724</c:v>
                </c:pt>
              </c:numCache>
            </c:numRef>
          </c:yVal>
          <c:smooth val="0"/>
        </c:ser>
        <c:ser>
          <c:idx val="11"/>
          <c:order val="11"/>
          <c:tx>
            <c:strRef>
              <c:f>'Data-Plot'!$C$10</c:f>
              <c:strCache>
                <c:ptCount val="1"/>
                <c:pt idx="0">
                  <c:v>L(i)</c:v>
                </c:pt>
              </c:strCache>
            </c:strRef>
          </c:tx>
          <c:spPr>
            <a:ln w="3175" cap="rnd">
              <a:solidFill>
                <a:schemeClr val="tx1">
                  <a:alpha val="20000"/>
                </a:schemeClr>
              </a:solidFill>
              <a:round/>
            </a:ln>
            <a:effectLst/>
          </c:spPr>
          <c:marker>
            <c:symbol val="circle"/>
            <c:size val="3"/>
            <c:spPr>
              <a:noFill/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'Data-Plot'!$B$11:$B$1020</c:f>
              <c:numCache>
                <c:formatCode>General</c:formatCode>
                <c:ptCount val="10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105</c:v>
                </c:pt>
                <c:pt idx="21">
                  <c:v>110</c:v>
                </c:pt>
                <c:pt idx="22">
                  <c:v>115</c:v>
                </c:pt>
                <c:pt idx="23">
                  <c:v>120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185</c:v>
                </c:pt>
                <c:pt idx="37">
                  <c:v>190</c:v>
                </c:pt>
                <c:pt idx="38">
                  <c:v>195</c:v>
                </c:pt>
                <c:pt idx="39">
                  <c:v>200</c:v>
                </c:pt>
                <c:pt idx="40">
                  <c:v>205</c:v>
                </c:pt>
                <c:pt idx="41">
                  <c:v>210</c:v>
                </c:pt>
                <c:pt idx="42">
                  <c:v>215</c:v>
                </c:pt>
                <c:pt idx="43">
                  <c:v>220</c:v>
                </c:pt>
                <c:pt idx="44">
                  <c:v>225</c:v>
                </c:pt>
                <c:pt idx="45">
                  <c:v>230</c:v>
                </c:pt>
                <c:pt idx="46">
                  <c:v>235</c:v>
                </c:pt>
                <c:pt idx="47">
                  <c:v>240</c:v>
                </c:pt>
                <c:pt idx="48">
                  <c:v>245</c:v>
                </c:pt>
                <c:pt idx="49">
                  <c:v>250</c:v>
                </c:pt>
                <c:pt idx="50">
                  <c:v>255</c:v>
                </c:pt>
                <c:pt idx="51">
                  <c:v>260</c:v>
                </c:pt>
                <c:pt idx="52">
                  <c:v>265</c:v>
                </c:pt>
                <c:pt idx="53">
                  <c:v>270</c:v>
                </c:pt>
                <c:pt idx="54">
                  <c:v>275</c:v>
                </c:pt>
                <c:pt idx="55">
                  <c:v>280</c:v>
                </c:pt>
                <c:pt idx="56">
                  <c:v>285</c:v>
                </c:pt>
                <c:pt idx="57">
                  <c:v>290</c:v>
                </c:pt>
                <c:pt idx="58">
                  <c:v>295</c:v>
                </c:pt>
                <c:pt idx="59">
                  <c:v>300</c:v>
                </c:pt>
                <c:pt idx="60">
                  <c:v>305</c:v>
                </c:pt>
                <c:pt idx="61">
                  <c:v>310</c:v>
                </c:pt>
                <c:pt idx="62">
                  <c:v>315</c:v>
                </c:pt>
                <c:pt idx="63">
                  <c:v>320</c:v>
                </c:pt>
                <c:pt idx="64">
                  <c:v>325</c:v>
                </c:pt>
                <c:pt idx="65">
                  <c:v>330</c:v>
                </c:pt>
                <c:pt idx="66">
                  <c:v>335</c:v>
                </c:pt>
                <c:pt idx="67">
                  <c:v>340</c:v>
                </c:pt>
                <c:pt idx="68">
                  <c:v>345</c:v>
                </c:pt>
                <c:pt idx="69">
                  <c:v>350</c:v>
                </c:pt>
                <c:pt idx="70">
                  <c:v>355</c:v>
                </c:pt>
                <c:pt idx="71">
                  <c:v>360</c:v>
                </c:pt>
                <c:pt idx="72">
                  <c:v>365</c:v>
                </c:pt>
                <c:pt idx="73">
                  <c:v>370</c:v>
                </c:pt>
                <c:pt idx="74">
                  <c:v>375</c:v>
                </c:pt>
                <c:pt idx="75">
                  <c:v>380</c:v>
                </c:pt>
                <c:pt idx="76">
                  <c:v>385</c:v>
                </c:pt>
                <c:pt idx="77">
                  <c:v>390</c:v>
                </c:pt>
                <c:pt idx="78">
                  <c:v>395</c:v>
                </c:pt>
                <c:pt idx="79">
                  <c:v>400</c:v>
                </c:pt>
                <c:pt idx="80">
                  <c:v>405</c:v>
                </c:pt>
                <c:pt idx="81">
                  <c:v>410</c:v>
                </c:pt>
                <c:pt idx="82">
                  <c:v>415</c:v>
                </c:pt>
                <c:pt idx="83">
                  <c:v>420</c:v>
                </c:pt>
                <c:pt idx="84">
                  <c:v>425</c:v>
                </c:pt>
                <c:pt idx="85">
                  <c:v>430</c:v>
                </c:pt>
                <c:pt idx="86">
                  <c:v>435</c:v>
                </c:pt>
                <c:pt idx="87">
                  <c:v>440</c:v>
                </c:pt>
                <c:pt idx="88">
                  <c:v>445</c:v>
                </c:pt>
                <c:pt idx="89">
                  <c:v>450</c:v>
                </c:pt>
              </c:numCache>
            </c:numRef>
          </c:xVal>
          <c:yVal>
            <c:numRef>
              <c:f>'Data-Plot'!$C$11:$C$1020</c:f>
              <c:numCache>
                <c:formatCode>General</c:formatCode>
                <c:ptCount val="1010"/>
                <c:pt idx="0">
                  <c:v>32</c:v>
                </c:pt>
                <c:pt idx="1">
                  <c:v>0</c:v>
                </c:pt>
                <c:pt idx="2">
                  <c:v>8</c:v>
                </c:pt>
                <c:pt idx="3">
                  <c:v>0</c:v>
                </c:pt>
                <c:pt idx="4">
                  <c:v>15</c:v>
                </c:pt>
                <c:pt idx="5">
                  <c:v>0</c:v>
                </c:pt>
                <c:pt idx="6">
                  <c:v>59</c:v>
                </c:pt>
                <c:pt idx="7">
                  <c:v>47</c:v>
                </c:pt>
                <c:pt idx="8">
                  <c:v>34</c:v>
                </c:pt>
                <c:pt idx="9">
                  <c:v>29</c:v>
                </c:pt>
                <c:pt idx="10">
                  <c:v>6</c:v>
                </c:pt>
                <c:pt idx="11">
                  <c:v>30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47</c:v>
                </c:pt>
                <c:pt idx="18">
                  <c:v>56</c:v>
                </c:pt>
                <c:pt idx="19">
                  <c:v>98</c:v>
                </c:pt>
                <c:pt idx="20">
                  <c:v>199</c:v>
                </c:pt>
                <c:pt idx="21">
                  <c:v>192</c:v>
                </c:pt>
                <c:pt idx="22">
                  <c:v>326</c:v>
                </c:pt>
                <c:pt idx="23">
                  <c:v>507</c:v>
                </c:pt>
                <c:pt idx="24">
                  <c:v>707</c:v>
                </c:pt>
                <c:pt idx="25">
                  <c:v>953</c:v>
                </c:pt>
                <c:pt idx="26">
                  <c:v>1349</c:v>
                </c:pt>
                <c:pt idx="27">
                  <c:v>1774</c:v>
                </c:pt>
                <c:pt idx="28">
                  <c:v>2179</c:v>
                </c:pt>
                <c:pt idx="29">
                  <c:v>2634</c:v>
                </c:pt>
                <c:pt idx="30">
                  <c:v>3111</c:v>
                </c:pt>
                <c:pt idx="31">
                  <c:v>3336</c:v>
                </c:pt>
                <c:pt idx="32">
                  <c:v>3391</c:v>
                </c:pt>
                <c:pt idx="33">
                  <c:v>3654</c:v>
                </c:pt>
                <c:pt idx="34">
                  <c:v>3676</c:v>
                </c:pt>
                <c:pt idx="35">
                  <c:v>3765</c:v>
                </c:pt>
                <c:pt idx="36">
                  <c:v>4032</c:v>
                </c:pt>
                <c:pt idx="37">
                  <c:v>4615</c:v>
                </c:pt>
                <c:pt idx="38">
                  <c:v>5299</c:v>
                </c:pt>
                <c:pt idx="39">
                  <c:v>5682</c:v>
                </c:pt>
                <c:pt idx="40">
                  <c:v>6437</c:v>
                </c:pt>
                <c:pt idx="41">
                  <c:v>7182</c:v>
                </c:pt>
                <c:pt idx="42">
                  <c:v>7197</c:v>
                </c:pt>
                <c:pt idx="43">
                  <c:v>7425</c:v>
                </c:pt>
                <c:pt idx="44">
                  <c:v>6803</c:v>
                </c:pt>
                <c:pt idx="45">
                  <c:v>5886</c:v>
                </c:pt>
                <c:pt idx="46">
                  <c:v>4757</c:v>
                </c:pt>
                <c:pt idx="47">
                  <c:v>3430</c:v>
                </c:pt>
                <c:pt idx="48">
                  <c:v>2345</c:v>
                </c:pt>
                <c:pt idx="49">
                  <c:v>1637</c:v>
                </c:pt>
                <c:pt idx="50">
                  <c:v>1077</c:v>
                </c:pt>
                <c:pt idx="51">
                  <c:v>1023</c:v>
                </c:pt>
                <c:pt idx="52">
                  <c:v>907</c:v>
                </c:pt>
                <c:pt idx="53">
                  <c:v>995</c:v>
                </c:pt>
                <c:pt idx="54">
                  <c:v>1092</c:v>
                </c:pt>
                <c:pt idx="55">
                  <c:v>1267</c:v>
                </c:pt>
                <c:pt idx="56">
                  <c:v>1376</c:v>
                </c:pt>
                <c:pt idx="57">
                  <c:v>1347</c:v>
                </c:pt>
                <c:pt idx="58">
                  <c:v>1499</c:v>
                </c:pt>
                <c:pt idx="59">
                  <c:v>1677</c:v>
                </c:pt>
                <c:pt idx="60">
                  <c:v>1850</c:v>
                </c:pt>
                <c:pt idx="61">
                  <c:v>1975</c:v>
                </c:pt>
                <c:pt idx="62">
                  <c:v>2043</c:v>
                </c:pt>
                <c:pt idx="63">
                  <c:v>2188</c:v>
                </c:pt>
                <c:pt idx="64">
                  <c:v>2167</c:v>
                </c:pt>
                <c:pt idx="65">
                  <c:v>2221</c:v>
                </c:pt>
                <c:pt idx="66">
                  <c:v>2283</c:v>
                </c:pt>
                <c:pt idx="67">
                  <c:v>2068</c:v>
                </c:pt>
                <c:pt idx="68">
                  <c:v>1887</c:v>
                </c:pt>
                <c:pt idx="69">
                  <c:v>1703</c:v>
                </c:pt>
                <c:pt idx="70">
                  <c:v>1379</c:v>
                </c:pt>
                <c:pt idx="71">
                  <c:v>1117</c:v>
                </c:pt>
                <c:pt idx="72">
                  <c:v>1001</c:v>
                </c:pt>
                <c:pt idx="73">
                  <c:v>873</c:v>
                </c:pt>
                <c:pt idx="74">
                  <c:v>842</c:v>
                </c:pt>
                <c:pt idx="75">
                  <c:v>810</c:v>
                </c:pt>
                <c:pt idx="76">
                  <c:v>778</c:v>
                </c:pt>
                <c:pt idx="77">
                  <c:v>816</c:v>
                </c:pt>
                <c:pt idx="78">
                  <c:v>860</c:v>
                </c:pt>
                <c:pt idx="79">
                  <c:v>912</c:v>
                </c:pt>
                <c:pt idx="80">
                  <c:v>698</c:v>
                </c:pt>
                <c:pt idx="81">
                  <c:v>621</c:v>
                </c:pt>
                <c:pt idx="82">
                  <c:v>701</c:v>
                </c:pt>
                <c:pt idx="83">
                  <c:v>458</c:v>
                </c:pt>
                <c:pt idx="84">
                  <c:v>468</c:v>
                </c:pt>
                <c:pt idx="85">
                  <c:v>326</c:v>
                </c:pt>
                <c:pt idx="86">
                  <c:v>325</c:v>
                </c:pt>
                <c:pt idx="87">
                  <c:v>270</c:v>
                </c:pt>
                <c:pt idx="88">
                  <c:v>181</c:v>
                </c:pt>
                <c:pt idx="89">
                  <c:v>362</c:v>
                </c:pt>
              </c:numCache>
            </c:numRef>
          </c:yVal>
          <c:smooth val="0"/>
        </c:ser>
        <c:ser>
          <c:idx val="12"/>
          <c:order val="12"/>
          <c:tx>
            <c:strRef>
              <c:f>TempData!$P$10</c:f>
              <c:strCache>
                <c:ptCount val="1"/>
                <c:pt idx="0">
                  <c:v>Residual x 1</c:v>
                </c:pt>
              </c:strCache>
            </c:strRef>
          </c:tx>
          <c:spPr>
            <a:ln w="952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105</c:v>
                </c:pt>
                <c:pt idx="21">
                  <c:v>110</c:v>
                </c:pt>
                <c:pt idx="22">
                  <c:v>115</c:v>
                </c:pt>
                <c:pt idx="23">
                  <c:v>120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185</c:v>
                </c:pt>
                <c:pt idx="37">
                  <c:v>190</c:v>
                </c:pt>
                <c:pt idx="38">
                  <c:v>195</c:v>
                </c:pt>
                <c:pt idx="39">
                  <c:v>200</c:v>
                </c:pt>
                <c:pt idx="40">
                  <c:v>205</c:v>
                </c:pt>
                <c:pt idx="41">
                  <c:v>210</c:v>
                </c:pt>
                <c:pt idx="42">
                  <c:v>215</c:v>
                </c:pt>
                <c:pt idx="43">
                  <c:v>220</c:v>
                </c:pt>
                <c:pt idx="44">
                  <c:v>225</c:v>
                </c:pt>
                <c:pt idx="45">
                  <c:v>230</c:v>
                </c:pt>
                <c:pt idx="46">
                  <c:v>235</c:v>
                </c:pt>
                <c:pt idx="47">
                  <c:v>240</c:v>
                </c:pt>
                <c:pt idx="48">
                  <c:v>245</c:v>
                </c:pt>
                <c:pt idx="49">
                  <c:v>250</c:v>
                </c:pt>
                <c:pt idx="50">
                  <c:v>255</c:v>
                </c:pt>
                <c:pt idx="51">
                  <c:v>260</c:v>
                </c:pt>
                <c:pt idx="52">
                  <c:v>265</c:v>
                </c:pt>
                <c:pt idx="53">
                  <c:v>270</c:v>
                </c:pt>
                <c:pt idx="54">
                  <c:v>275</c:v>
                </c:pt>
                <c:pt idx="55">
                  <c:v>280</c:v>
                </c:pt>
                <c:pt idx="56">
                  <c:v>285</c:v>
                </c:pt>
                <c:pt idx="57">
                  <c:v>290</c:v>
                </c:pt>
                <c:pt idx="58">
                  <c:v>295</c:v>
                </c:pt>
                <c:pt idx="59">
                  <c:v>300</c:v>
                </c:pt>
                <c:pt idx="60">
                  <c:v>305</c:v>
                </c:pt>
                <c:pt idx="61">
                  <c:v>310</c:v>
                </c:pt>
                <c:pt idx="62">
                  <c:v>315</c:v>
                </c:pt>
                <c:pt idx="63">
                  <c:v>320</c:v>
                </c:pt>
                <c:pt idx="64">
                  <c:v>325</c:v>
                </c:pt>
                <c:pt idx="65">
                  <c:v>330</c:v>
                </c:pt>
                <c:pt idx="66">
                  <c:v>335</c:v>
                </c:pt>
                <c:pt idx="67">
                  <c:v>340</c:v>
                </c:pt>
                <c:pt idx="68">
                  <c:v>345</c:v>
                </c:pt>
                <c:pt idx="69">
                  <c:v>350</c:v>
                </c:pt>
                <c:pt idx="70">
                  <c:v>355</c:v>
                </c:pt>
                <c:pt idx="71">
                  <c:v>360</c:v>
                </c:pt>
                <c:pt idx="72">
                  <c:v>365</c:v>
                </c:pt>
                <c:pt idx="73">
                  <c:v>370</c:v>
                </c:pt>
                <c:pt idx="74">
                  <c:v>375</c:v>
                </c:pt>
                <c:pt idx="75">
                  <c:v>380</c:v>
                </c:pt>
                <c:pt idx="76">
                  <c:v>385</c:v>
                </c:pt>
                <c:pt idx="77">
                  <c:v>390</c:v>
                </c:pt>
                <c:pt idx="78">
                  <c:v>395</c:v>
                </c:pt>
                <c:pt idx="79">
                  <c:v>400</c:v>
                </c:pt>
                <c:pt idx="80">
                  <c:v>405</c:v>
                </c:pt>
                <c:pt idx="81">
                  <c:v>410</c:v>
                </c:pt>
                <c:pt idx="82">
                  <c:v>415</c:v>
                </c:pt>
                <c:pt idx="83">
                  <c:v>420</c:v>
                </c:pt>
                <c:pt idx="84">
                  <c:v>425</c:v>
                </c:pt>
                <c:pt idx="85">
                  <c:v>430</c:v>
                </c:pt>
                <c:pt idx="86">
                  <c:v>435</c:v>
                </c:pt>
                <c:pt idx="87">
                  <c:v>440</c:v>
                </c:pt>
                <c:pt idx="88">
                  <c:v>445</c:v>
                </c:pt>
                <c:pt idx="89">
                  <c:v>450</c:v>
                </c:pt>
              </c:numCache>
            </c:numRef>
          </c:xVal>
          <c:yVal>
            <c:numRef>
              <c:f>TempData!$P$11:$P$1020</c:f>
              <c:numCache>
                <c:formatCode>General</c:formatCode>
                <c:ptCount val="1010"/>
                <c:pt idx="0">
                  <c:v>7828.2475895236103</c:v>
                </c:pt>
                <c:pt idx="1">
                  <c:v>7796.2449300488051</c:v>
                </c:pt>
                <c:pt idx="2">
                  <c:v>7804.2396080057497</c:v>
                </c:pt>
                <c:pt idx="3">
                  <c:v>7796.2292144484427</c:v>
                </c:pt>
                <c:pt idx="4">
                  <c:v>7811.2093812523717</c:v>
                </c:pt>
                <c:pt idx="5">
                  <c:v>7796.172358628688</c:v>
                </c:pt>
                <c:pt idx="6">
                  <c:v>7855.1046790286609</c:v>
                </c:pt>
                <c:pt idx="7">
                  <c:v>7842.9833949661888</c:v>
                </c:pt>
                <c:pt idx="8">
                  <c:v>7829.7701320075848</c:v>
                </c:pt>
                <c:pt idx="9">
                  <c:v>7824.4018539312365</c:v>
                </c:pt>
                <c:pt idx="10">
                  <c:v>7800.7767653572255</c:v>
                </c:pt>
                <c:pt idx="11">
                  <c:v>7823.7331447064462</c:v>
                </c:pt>
                <c:pt idx="12">
                  <c:v>7792.0180740749174</c:v>
                </c:pt>
                <c:pt idx="13">
                  <c:v>7789.2419896071606</c:v>
                </c:pt>
                <c:pt idx="14">
                  <c:v>7784.8137260635458</c:v>
                </c:pt>
                <c:pt idx="15">
                  <c:v>7777.8493626472537</c:v>
                </c:pt>
                <c:pt idx="16">
                  <c:v>7767.0469598522641</c:v>
                </c:pt>
                <c:pt idx="17">
                  <c:v>7797.518834326399</c:v>
                </c:pt>
                <c:pt idx="18">
                  <c:v>7781.5746669746241</c:v>
                </c:pt>
                <c:pt idx="19">
                  <c:v>7786.4550440834546</c:v>
                </c:pt>
                <c:pt idx="20">
                  <c:v>7833.0306324423873</c:v>
                </c:pt>
                <c:pt idx="21">
                  <c:v>7747.5147368045937</c:v>
                </c:pt>
                <c:pt idx="22">
                  <c:v>7770.2973672254975</c:v>
                </c:pt>
                <c:pt idx="23">
                  <c:v>7797.1083561319119</c:v>
                </c:pt>
                <c:pt idx="24">
                  <c:v>7788.855383590485</c:v>
                </c:pt>
                <c:pt idx="25">
                  <c:v>7762.6188258180655</c:v>
                </c:pt>
                <c:pt idx="26">
                  <c:v>7817.2822967810962</c:v>
                </c:pt>
                <c:pt idx="27">
                  <c:v>7836.8467270312258</c:v>
                </c:pt>
                <c:pt idx="28">
                  <c:v>7793.2320497162791</c:v>
                </c:pt>
                <c:pt idx="29">
                  <c:v>7796.2456756784795</c:v>
                </c:pt>
                <c:pt idx="30">
                  <c:v>7871.540449854384</c:v>
                </c:pt>
                <c:pt idx="31">
                  <c:v>7795.747199962012</c:v>
                </c:pt>
                <c:pt idx="32">
                  <c:v>7673.2666763044053</c:v>
                </c:pt>
                <c:pt idx="33">
                  <c:v>7856.4471762614221</c:v>
                </c:pt>
                <c:pt idx="34">
                  <c:v>7824.2662196841065</c:v>
                </c:pt>
                <c:pt idx="35">
                  <c:v>7792.6442357087471</c:v>
                </c:pt>
                <c:pt idx="36">
                  <c:v>7796.2355015445601</c:v>
                </c:pt>
                <c:pt idx="37">
                  <c:v>7938.0759319503095</c:v>
                </c:pt>
                <c:pt idx="38">
                  <c:v>8017.7230318915008</c:v>
                </c:pt>
                <c:pt idx="39">
                  <c:v>7693.7183652792255</c:v>
                </c:pt>
                <c:pt idx="40">
                  <c:v>7738.2408191402637</c:v>
                </c:pt>
                <c:pt idx="41">
                  <c:v>7897.3926903848978</c:v>
                </c:pt>
                <c:pt idx="42">
                  <c:v>7591.2662989872706</c:v>
                </c:pt>
                <c:pt idx="43">
                  <c:v>7885.3034379649916</c:v>
                </c:pt>
                <c:pt idx="44">
                  <c:v>7780.1196868128345</c:v>
                </c:pt>
                <c:pt idx="45">
                  <c:v>7796.2453249657547</c:v>
                </c:pt>
                <c:pt idx="46">
                  <c:v>7871.0575007975094</c:v>
                </c:pt>
                <c:pt idx="47">
                  <c:v>7796.0748779171226</c:v>
                </c:pt>
                <c:pt idx="48">
                  <c:v>7789.6226955109332</c:v>
                </c:pt>
                <c:pt idx="49">
                  <c:v>7848.0654643933176</c:v>
                </c:pt>
                <c:pt idx="50">
                  <c:v>7723.2761267224023</c:v>
                </c:pt>
                <c:pt idx="51">
                  <c:v>7845.776581658527</c:v>
                </c:pt>
                <c:pt idx="52">
                  <c:v>7749.6201956443929</c:v>
                </c:pt>
                <c:pt idx="53">
                  <c:v>7782.768792813732</c:v>
                </c:pt>
                <c:pt idx="54">
                  <c:v>7796.2418860515945</c:v>
                </c:pt>
                <c:pt idx="55">
                  <c:v>7876.9322902857057</c:v>
                </c:pt>
                <c:pt idx="56">
                  <c:v>7883.859352299738</c:v>
                </c:pt>
                <c:pt idx="57">
                  <c:v>7742.6390897357851</c:v>
                </c:pt>
                <c:pt idx="58">
                  <c:v>7769.6153389880101</c:v>
                </c:pt>
                <c:pt idx="59">
                  <c:v>7809.5789250084572</c:v>
                </c:pt>
                <c:pt idx="60">
                  <c:v>7835.322616843393</c:v>
                </c:pt>
                <c:pt idx="61">
                  <c:v>7812.3746617557017</c:v>
                </c:pt>
                <c:pt idx="62">
                  <c:v>7744.8271855757284</c:v>
                </c:pt>
                <c:pt idx="63">
                  <c:v>7783.0700042058288</c:v>
                </c:pt>
                <c:pt idx="64">
                  <c:v>7701.3356432944747</c:v>
                </c:pt>
                <c:pt idx="65">
                  <c:v>7755.253928709416</c:v>
                </c:pt>
                <c:pt idx="66">
                  <c:v>7886.0643688396776</c:v>
                </c:pt>
                <c:pt idx="67">
                  <c:v>7807.5596157330174</c:v>
                </c:pt>
                <c:pt idx="68">
                  <c:v>7818.9361475072474</c:v>
                </c:pt>
                <c:pt idx="69">
                  <c:v>7862.2778372108851</c:v>
                </c:pt>
                <c:pt idx="70">
                  <c:v>7774.4681801390216</c:v>
                </c:pt>
                <c:pt idx="71">
                  <c:v>7731.367370655239</c:v>
                </c:pt>
                <c:pt idx="72">
                  <c:v>7795.6698336887812</c:v>
                </c:pt>
                <c:pt idx="73">
                  <c:v>7796.2243568571957</c:v>
                </c:pt>
                <c:pt idx="74">
                  <c:v>7838.4483379654912</c:v>
                </c:pt>
                <c:pt idx="75">
                  <c:v>7830.1627912344084</c:v>
                </c:pt>
                <c:pt idx="76">
                  <c:v>7786.2521180411986</c:v>
                </c:pt>
                <c:pt idx="77">
                  <c:v>7796.1282996890477</c:v>
                </c:pt>
                <c:pt idx="78">
                  <c:v>7816.7445221468224</c:v>
                </c:pt>
                <c:pt idx="79">
                  <c:v>7867.5443314000313</c:v>
                </c:pt>
                <c:pt idx="80">
                  <c:v>7683.9983844200569</c:v>
                </c:pt>
                <c:pt idx="81">
                  <c:v>7668.8877808272473</c:v>
                </c:pt>
                <c:pt idx="82">
                  <c:v>7834.2005294238761</c:v>
                </c:pt>
                <c:pt idx="83">
                  <c:v>7688.3352508000416</c:v>
                </c:pt>
                <c:pt idx="84">
                  <c:v>7796.2486902440069</c:v>
                </c:pt>
                <c:pt idx="85">
                  <c:v>7744.9163503421423</c:v>
                </c:pt>
                <c:pt idx="86">
                  <c:v>7822.9035086210479</c:v>
                </c:pt>
                <c:pt idx="87">
                  <c:v>7833.7398402140661</c:v>
                </c:pt>
                <c:pt idx="88">
                  <c:v>7797.8942575822484</c:v>
                </c:pt>
                <c:pt idx="89">
                  <c:v>8020.8465782390831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</c:numCache>
            </c:numRef>
          </c:yVal>
          <c:smooth val="0"/>
        </c:ser>
        <c:ser>
          <c:idx val="13"/>
          <c:order val="13"/>
          <c:tx>
            <c:v>Reference</c:v>
          </c:tx>
          <c:spPr>
            <a:ln w="2222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105</c:v>
                </c:pt>
                <c:pt idx="21">
                  <c:v>110</c:v>
                </c:pt>
                <c:pt idx="22">
                  <c:v>115</c:v>
                </c:pt>
                <c:pt idx="23">
                  <c:v>120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185</c:v>
                </c:pt>
                <c:pt idx="37">
                  <c:v>190</c:v>
                </c:pt>
                <c:pt idx="38">
                  <c:v>195</c:v>
                </c:pt>
                <c:pt idx="39">
                  <c:v>200</c:v>
                </c:pt>
                <c:pt idx="40">
                  <c:v>205</c:v>
                </c:pt>
                <c:pt idx="41">
                  <c:v>210</c:v>
                </c:pt>
                <c:pt idx="42">
                  <c:v>215</c:v>
                </c:pt>
                <c:pt idx="43">
                  <c:v>220</c:v>
                </c:pt>
                <c:pt idx="44">
                  <c:v>225</c:v>
                </c:pt>
                <c:pt idx="45">
                  <c:v>230</c:v>
                </c:pt>
                <c:pt idx="46">
                  <c:v>235</c:v>
                </c:pt>
                <c:pt idx="47">
                  <c:v>240</c:v>
                </c:pt>
                <c:pt idx="48">
                  <c:v>245</c:v>
                </c:pt>
                <c:pt idx="49">
                  <c:v>250</c:v>
                </c:pt>
                <c:pt idx="50">
                  <c:v>255</c:v>
                </c:pt>
                <c:pt idx="51">
                  <c:v>260</c:v>
                </c:pt>
                <c:pt idx="52">
                  <c:v>265</c:v>
                </c:pt>
                <c:pt idx="53">
                  <c:v>270</c:v>
                </c:pt>
                <c:pt idx="54">
                  <c:v>275</c:v>
                </c:pt>
                <c:pt idx="55">
                  <c:v>280</c:v>
                </c:pt>
                <c:pt idx="56">
                  <c:v>285</c:v>
                </c:pt>
                <c:pt idx="57">
                  <c:v>290</c:v>
                </c:pt>
                <c:pt idx="58">
                  <c:v>295</c:v>
                </c:pt>
                <c:pt idx="59">
                  <c:v>300</c:v>
                </c:pt>
                <c:pt idx="60">
                  <c:v>305</c:v>
                </c:pt>
                <c:pt idx="61">
                  <c:v>310</c:v>
                </c:pt>
                <c:pt idx="62">
                  <c:v>315</c:v>
                </c:pt>
                <c:pt idx="63">
                  <c:v>320</c:v>
                </c:pt>
                <c:pt idx="64">
                  <c:v>325</c:v>
                </c:pt>
                <c:pt idx="65">
                  <c:v>330</c:v>
                </c:pt>
                <c:pt idx="66">
                  <c:v>335</c:v>
                </c:pt>
                <c:pt idx="67">
                  <c:v>340</c:v>
                </c:pt>
                <c:pt idx="68">
                  <c:v>345</c:v>
                </c:pt>
                <c:pt idx="69">
                  <c:v>350</c:v>
                </c:pt>
                <c:pt idx="70">
                  <c:v>355</c:v>
                </c:pt>
                <c:pt idx="71">
                  <c:v>360</c:v>
                </c:pt>
                <c:pt idx="72">
                  <c:v>365</c:v>
                </c:pt>
                <c:pt idx="73">
                  <c:v>370</c:v>
                </c:pt>
                <c:pt idx="74">
                  <c:v>375</c:v>
                </c:pt>
                <c:pt idx="75">
                  <c:v>380</c:v>
                </c:pt>
                <c:pt idx="76">
                  <c:v>385</c:v>
                </c:pt>
                <c:pt idx="77">
                  <c:v>390</c:v>
                </c:pt>
                <c:pt idx="78">
                  <c:v>395</c:v>
                </c:pt>
                <c:pt idx="79">
                  <c:v>400</c:v>
                </c:pt>
                <c:pt idx="80">
                  <c:v>405</c:v>
                </c:pt>
                <c:pt idx="81">
                  <c:v>410</c:v>
                </c:pt>
                <c:pt idx="82">
                  <c:v>415</c:v>
                </c:pt>
                <c:pt idx="83">
                  <c:v>420</c:v>
                </c:pt>
                <c:pt idx="84">
                  <c:v>425</c:v>
                </c:pt>
                <c:pt idx="85">
                  <c:v>430</c:v>
                </c:pt>
                <c:pt idx="86">
                  <c:v>435</c:v>
                </c:pt>
                <c:pt idx="87">
                  <c:v>440</c:v>
                </c:pt>
                <c:pt idx="88">
                  <c:v>445</c:v>
                </c:pt>
                <c:pt idx="89">
                  <c:v>450</c:v>
                </c:pt>
              </c:numCache>
            </c:numRef>
          </c:xVal>
          <c:yVal>
            <c:numRef>
              <c:f>TempData!$Q$11:$Q$1020</c:f>
              <c:numCache>
                <c:formatCode>General</c:formatCode>
                <c:ptCount val="1010"/>
                <c:pt idx="0">
                  <c:v>7796.25</c:v>
                </c:pt>
                <c:pt idx="1">
                  <c:v>7796.25</c:v>
                </c:pt>
                <c:pt idx="2">
                  <c:v>7796.25</c:v>
                </c:pt>
                <c:pt idx="3">
                  <c:v>7796.25</c:v>
                </c:pt>
                <c:pt idx="4">
                  <c:v>7796.25</c:v>
                </c:pt>
                <c:pt idx="5">
                  <c:v>7796.25</c:v>
                </c:pt>
                <c:pt idx="6">
                  <c:v>7796.25</c:v>
                </c:pt>
                <c:pt idx="7">
                  <c:v>7796.25</c:v>
                </c:pt>
                <c:pt idx="8">
                  <c:v>7796.25</c:v>
                </c:pt>
                <c:pt idx="9">
                  <c:v>7796.25</c:v>
                </c:pt>
                <c:pt idx="10">
                  <c:v>7796.25</c:v>
                </c:pt>
                <c:pt idx="11">
                  <c:v>7796.25</c:v>
                </c:pt>
                <c:pt idx="12">
                  <c:v>7796.25</c:v>
                </c:pt>
                <c:pt idx="13">
                  <c:v>7796.25</c:v>
                </c:pt>
                <c:pt idx="14">
                  <c:v>7796.25</c:v>
                </c:pt>
                <c:pt idx="15">
                  <c:v>7796.25</c:v>
                </c:pt>
                <c:pt idx="16">
                  <c:v>7796.25</c:v>
                </c:pt>
                <c:pt idx="17">
                  <c:v>7796.25</c:v>
                </c:pt>
                <c:pt idx="18">
                  <c:v>7796.25</c:v>
                </c:pt>
                <c:pt idx="19">
                  <c:v>7796.25</c:v>
                </c:pt>
                <c:pt idx="20">
                  <c:v>7796.25</c:v>
                </c:pt>
                <c:pt idx="21">
                  <c:v>7796.25</c:v>
                </c:pt>
                <c:pt idx="22">
                  <c:v>7796.25</c:v>
                </c:pt>
                <c:pt idx="23">
                  <c:v>7796.25</c:v>
                </c:pt>
                <c:pt idx="24">
                  <c:v>7796.25</c:v>
                </c:pt>
                <c:pt idx="25">
                  <c:v>7796.25</c:v>
                </c:pt>
                <c:pt idx="26">
                  <c:v>7796.25</c:v>
                </c:pt>
                <c:pt idx="27">
                  <c:v>7796.25</c:v>
                </c:pt>
                <c:pt idx="28">
                  <c:v>7796.25</c:v>
                </c:pt>
                <c:pt idx="29">
                  <c:v>7796.25</c:v>
                </c:pt>
                <c:pt idx="30">
                  <c:v>7796.25</c:v>
                </c:pt>
                <c:pt idx="31">
                  <c:v>7796.25</c:v>
                </c:pt>
                <c:pt idx="32">
                  <c:v>7796.25</c:v>
                </c:pt>
                <c:pt idx="33">
                  <c:v>7796.25</c:v>
                </c:pt>
                <c:pt idx="34">
                  <c:v>7796.25</c:v>
                </c:pt>
                <c:pt idx="35">
                  <c:v>7796.25</c:v>
                </c:pt>
                <c:pt idx="36">
                  <c:v>7796.25</c:v>
                </c:pt>
                <c:pt idx="37">
                  <c:v>7796.25</c:v>
                </c:pt>
                <c:pt idx="38">
                  <c:v>7796.25</c:v>
                </c:pt>
                <c:pt idx="39">
                  <c:v>7796.25</c:v>
                </c:pt>
                <c:pt idx="40">
                  <c:v>7796.25</c:v>
                </c:pt>
                <c:pt idx="41">
                  <c:v>7796.25</c:v>
                </c:pt>
                <c:pt idx="42">
                  <c:v>7796.25</c:v>
                </c:pt>
                <c:pt idx="43">
                  <c:v>7796.25</c:v>
                </c:pt>
                <c:pt idx="44">
                  <c:v>7796.25</c:v>
                </c:pt>
                <c:pt idx="45">
                  <c:v>7796.25</c:v>
                </c:pt>
                <c:pt idx="46">
                  <c:v>7796.25</c:v>
                </c:pt>
                <c:pt idx="47">
                  <c:v>7796.25</c:v>
                </c:pt>
                <c:pt idx="48">
                  <c:v>7796.25</c:v>
                </c:pt>
                <c:pt idx="49">
                  <c:v>7796.25</c:v>
                </c:pt>
                <c:pt idx="50">
                  <c:v>7796.25</c:v>
                </c:pt>
                <c:pt idx="51">
                  <c:v>7796.25</c:v>
                </c:pt>
                <c:pt idx="52">
                  <c:v>7796.25</c:v>
                </c:pt>
                <c:pt idx="53">
                  <c:v>7796.25</c:v>
                </c:pt>
                <c:pt idx="54">
                  <c:v>7796.25</c:v>
                </c:pt>
                <c:pt idx="55">
                  <c:v>7796.25</c:v>
                </c:pt>
                <c:pt idx="56">
                  <c:v>7796.25</c:v>
                </c:pt>
                <c:pt idx="57">
                  <c:v>7796.25</c:v>
                </c:pt>
                <c:pt idx="58">
                  <c:v>7796.25</c:v>
                </c:pt>
                <c:pt idx="59">
                  <c:v>7796.25</c:v>
                </c:pt>
                <c:pt idx="60">
                  <c:v>7796.25</c:v>
                </c:pt>
                <c:pt idx="61">
                  <c:v>7796.25</c:v>
                </c:pt>
                <c:pt idx="62">
                  <c:v>7796.25</c:v>
                </c:pt>
                <c:pt idx="63">
                  <c:v>7796.25</c:v>
                </c:pt>
                <c:pt idx="64">
                  <c:v>7796.25</c:v>
                </c:pt>
                <c:pt idx="65">
                  <c:v>7796.25</c:v>
                </c:pt>
                <c:pt idx="66">
                  <c:v>7796.25</c:v>
                </c:pt>
                <c:pt idx="67">
                  <c:v>7796.25</c:v>
                </c:pt>
                <c:pt idx="68">
                  <c:v>7796.25</c:v>
                </c:pt>
                <c:pt idx="69">
                  <c:v>7796.25</c:v>
                </c:pt>
                <c:pt idx="70">
                  <c:v>7796.25</c:v>
                </c:pt>
                <c:pt idx="71">
                  <c:v>7796.25</c:v>
                </c:pt>
                <c:pt idx="72">
                  <c:v>7796.25</c:v>
                </c:pt>
                <c:pt idx="73">
                  <c:v>7796.25</c:v>
                </c:pt>
                <c:pt idx="74">
                  <c:v>7796.25</c:v>
                </c:pt>
                <c:pt idx="75">
                  <c:v>7796.25</c:v>
                </c:pt>
                <c:pt idx="76">
                  <c:v>7796.25</c:v>
                </c:pt>
                <c:pt idx="77">
                  <c:v>7796.25</c:v>
                </c:pt>
                <c:pt idx="78">
                  <c:v>7796.25</c:v>
                </c:pt>
                <c:pt idx="79">
                  <c:v>7796.25</c:v>
                </c:pt>
                <c:pt idx="80">
                  <c:v>7796.25</c:v>
                </c:pt>
                <c:pt idx="81">
                  <c:v>7796.25</c:v>
                </c:pt>
                <c:pt idx="82">
                  <c:v>7796.25</c:v>
                </c:pt>
                <c:pt idx="83">
                  <c:v>7796.25</c:v>
                </c:pt>
                <c:pt idx="84">
                  <c:v>7796.25</c:v>
                </c:pt>
                <c:pt idx="85">
                  <c:v>7796.25</c:v>
                </c:pt>
                <c:pt idx="86">
                  <c:v>7796.25</c:v>
                </c:pt>
                <c:pt idx="87">
                  <c:v>7796.25</c:v>
                </c:pt>
                <c:pt idx="88">
                  <c:v>7796.25</c:v>
                </c:pt>
                <c:pt idx="89">
                  <c:v>7796.25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544152032"/>
        <c:axId val="-544164544"/>
      </c:scatterChart>
      <c:valAx>
        <c:axId val="-544152032"/>
        <c:scaling>
          <c:orientation val="minMax"/>
          <c:max val="45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/>
                  <a:t>Temperature (°C)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-544164544"/>
        <c:crosses val="autoZero"/>
        <c:crossBetween val="midCat"/>
        <c:majorUnit val="100"/>
        <c:minorUnit val="50"/>
      </c:valAx>
      <c:valAx>
        <c:axId val="-544164544"/>
        <c:scaling>
          <c:orientation val="minMax"/>
          <c:max val="9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/>
                  <a:t>TL Intensity (a.u.)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-544152032"/>
        <c:crosses val="autoZero"/>
        <c:crossBetween val="midCat"/>
        <c:majorUnit val="2500"/>
      </c:valAx>
      <c:spPr>
        <a:noFill/>
        <a:ln w="12700">
          <a:solidFill>
            <a:schemeClr val="tx1"/>
          </a:solidFill>
        </a:ln>
        <a:effectLst/>
      </c:spPr>
    </c:plotArea>
    <c:legend>
      <c:legendPos val="r"/>
      <c:layout>
        <c:manualLayout>
          <c:xMode val="edge"/>
          <c:yMode val="edge"/>
          <c:x val="0.72335039027053849"/>
          <c:y val="2.1270513596837737E-3"/>
          <c:w val="0.26875495523049786"/>
          <c:h val="0.83526041864113931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legend>
    <c:plotVisOnly val="0"/>
    <c:dispBlanksAs val="gap"/>
    <c:showDLblsOverMax val="0"/>
  </c:chart>
  <c:spPr>
    <a:solidFill>
      <a:sysClr val="window" lastClr="FFFFFF"/>
    </a:solidFill>
    <a:ln w="12700" cap="flat" cmpd="sng" algn="ctr">
      <a:solidFill>
        <a:sysClr val="windowText" lastClr="000000">
          <a:lumMod val="50000"/>
          <a:lumOff val="50000"/>
        </a:sys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'Growth-Plot'!$C$7</c:f>
              <c:strCache>
                <c:ptCount val="1"/>
                <c:pt idx="0">
                  <c:v>P1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'Growth-Plot'!$B$8:$B$57</c:f>
              <c:numCache>
                <c:formatCode>General</c:formatCode>
                <c:ptCount val="50"/>
                <c:pt idx="0">
                  <c:v>19.8</c:v>
                </c:pt>
                <c:pt idx="1">
                  <c:v>33</c:v>
                </c:pt>
                <c:pt idx="2">
                  <c:v>46.2</c:v>
                </c:pt>
                <c:pt idx="3">
                  <c:v>59.4</c:v>
                </c:pt>
                <c:pt idx="4">
                  <c:v>105.6</c:v>
                </c:pt>
                <c:pt idx="5">
                  <c:v>158.4</c:v>
                </c:pt>
                <c:pt idx="6">
                  <c:v>211.2</c:v>
                </c:pt>
                <c:pt idx="7">
                  <c:v>264</c:v>
                </c:pt>
              </c:numCache>
            </c:numRef>
          </c:xVal>
          <c:yVal>
            <c:numRef>
              <c:f>'Growth-Plot'!$C$8:$C$57</c:f>
              <c:numCache>
                <c:formatCode>General</c:formatCode>
                <c:ptCount val="50"/>
                <c:pt idx="0">
                  <c:v>2536.634</c:v>
                </c:pt>
                <c:pt idx="1">
                  <c:v>4359.9089999999997</c:v>
                </c:pt>
                <c:pt idx="2">
                  <c:v>6702.4290000000001</c:v>
                </c:pt>
                <c:pt idx="3">
                  <c:v>8873.2630000000008</c:v>
                </c:pt>
                <c:pt idx="4">
                  <c:v>14889.1</c:v>
                </c:pt>
                <c:pt idx="5">
                  <c:v>21570.281999999999</c:v>
                </c:pt>
                <c:pt idx="6">
                  <c:v>27936.245999999999</c:v>
                </c:pt>
                <c:pt idx="7">
                  <c:v>34387.415000000001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'Growth-Plot'!$D$7</c:f>
              <c:strCache>
                <c:ptCount val="1"/>
                <c:pt idx="0">
                  <c:v>P2</c:v>
                </c:pt>
              </c:strCache>
            </c:strRef>
          </c:tx>
          <c:spPr>
            <a:ln w="127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'Growth-Plot'!$B$8:$B$57</c:f>
              <c:numCache>
                <c:formatCode>General</c:formatCode>
                <c:ptCount val="50"/>
                <c:pt idx="0">
                  <c:v>19.8</c:v>
                </c:pt>
                <c:pt idx="1">
                  <c:v>33</c:v>
                </c:pt>
                <c:pt idx="2">
                  <c:v>46.2</c:v>
                </c:pt>
                <c:pt idx="3">
                  <c:v>59.4</c:v>
                </c:pt>
                <c:pt idx="4">
                  <c:v>105.6</c:v>
                </c:pt>
                <c:pt idx="5">
                  <c:v>158.4</c:v>
                </c:pt>
                <c:pt idx="6">
                  <c:v>211.2</c:v>
                </c:pt>
                <c:pt idx="7">
                  <c:v>264</c:v>
                </c:pt>
              </c:numCache>
            </c:numRef>
          </c:xVal>
          <c:yVal>
            <c:numRef>
              <c:f>'Growth-Plot'!$D$8:$D$57</c:f>
              <c:numCache>
                <c:formatCode>General</c:formatCode>
                <c:ptCount val="50"/>
                <c:pt idx="0">
                  <c:v>7247.2209999999995</c:v>
                </c:pt>
                <c:pt idx="1">
                  <c:v>15450.38</c:v>
                </c:pt>
                <c:pt idx="2">
                  <c:v>25586.187999999998</c:v>
                </c:pt>
                <c:pt idx="3">
                  <c:v>35124.36</c:v>
                </c:pt>
                <c:pt idx="4">
                  <c:v>60535.675999999999</c:v>
                </c:pt>
                <c:pt idx="5">
                  <c:v>82383.971999999994</c:v>
                </c:pt>
                <c:pt idx="6">
                  <c:v>99395.652000000002</c:v>
                </c:pt>
                <c:pt idx="7">
                  <c:v>109692.799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'Growth-Plot'!$E$7</c:f>
              <c:strCache>
                <c:ptCount val="1"/>
                <c:pt idx="0">
                  <c:v>P3</c:v>
                </c:pt>
              </c:strCache>
            </c:strRef>
          </c:tx>
          <c:spPr>
            <a:ln w="1270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'Growth-Plot'!$B$8:$B$57</c:f>
              <c:numCache>
                <c:formatCode>General</c:formatCode>
                <c:ptCount val="50"/>
                <c:pt idx="0">
                  <c:v>19.8</c:v>
                </c:pt>
                <c:pt idx="1">
                  <c:v>33</c:v>
                </c:pt>
                <c:pt idx="2">
                  <c:v>46.2</c:v>
                </c:pt>
                <c:pt idx="3">
                  <c:v>59.4</c:v>
                </c:pt>
                <c:pt idx="4">
                  <c:v>105.6</c:v>
                </c:pt>
                <c:pt idx="5">
                  <c:v>158.4</c:v>
                </c:pt>
                <c:pt idx="6">
                  <c:v>211.2</c:v>
                </c:pt>
                <c:pt idx="7">
                  <c:v>264</c:v>
                </c:pt>
              </c:numCache>
            </c:numRef>
          </c:xVal>
          <c:yVal>
            <c:numRef>
              <c:f>'Growth-Plot'!$E$8:$E$57</c:f>
              <c:numCache>
                <c:formatCode>General</c:formatCode>
                <c:ptCount val="50"/>
                <c:pt idx="0">
                  <c:v>617.06100000000004</c:v>
                </c:pt>
                <c:pt idx="1">
                  <c:v>1142.4349999999999</c:v>
                </c:pt>
                <c:pt idx="2">
                  <c:v>1559.682</c:v>
                </c:pt>
                <c:pt idx="3">
                  <c:v>2244.2840000000001</c:v>
                </c:pt>
                <c:pt idx="4">
                  <c:v>5499.4740000000002</c:v>
                </c:pt>
                <c:pt idx="5">
                  <c:v>11011.562</c:v>
                </c:pt>
                <c:pt idx="6">
                  <c:v>14987.233</c:v>
                </c:pt>
                <c:pt idx="7">
                  <c:v>19122.944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'Growth-Plot'!$F$7</c:f>
              <c:strCache>
                <c:ptCount val="1"/>
                <c:pt idx="0">
                  <c:v>P4</c:v>
                </c:pt>
              </c:strCache>
            </c:strRef>
          </c:tx>
          <c:spPr>
            <a:ln w="1270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'Growth-Plot'!$B$8:$B$57</c:f>
              <c:numCache>
                <c:formatCode>General</c:formatCode>
                <c:ptCount val="50"/>
                <c:pt idx="0">
                  <c:v>19.8</c:v>
                </c:pt>
                <c:pt idx="1">
                  <c:v>33</c:v>
                </c:pt>
                <c:pt idx="2">
                  <c:v>46.2</c:v>
                </c:pt>
                <c:pt idx="3">
                  <c:v>59.4</c:v>
                </c:pt>
                <c:pt idx="4">
                  <c:v>105.6</c:v>
                </c:pt>
                <c:pt idx="5">
                  <c:v>158.4</c:v>
                </c:pt>
                <c:pt idx="6">
                  <c:v>211.2</c:v>
                </c:pt>
                <c:pt idx="7">
                  <c:v>264</c:v>
                </c:pt>
              </c:numCache>
            </c:numRef>
          </c:xVal>
          <c:yVal>
            <c:numRef>
              <c:f>'Growth-Plot'!$F$8:$F$57</c:f>
              <c:numCache>
                <c:formatCode>General</c:formatCode>
                <c:ptCount val="50"/>
                <c:pt idx="0">
                  <c:v>2112.7750000000001</c:v>
                </c:pt>
                <c:pt idx="1">
                  <c:v>4363.6710000000003</c:v>
                </c:pt>
                <c:pt idx="2">
                  <c:v>7568.7939999999999</c:v>
                </c:pt>
                <c:pt idx="3">
                  <c:v>10598.478999999999</c:v>
                </c:pt>
                <c:pt idx="4">
                  <c:v>23045.367999999999</c:v>
                </c:pt>
                <c:pt idx="5">
                  <c:v>37491.368000000002</c:v>
                </c:pt>
                <c:pt idx="6">
                  <c:v>55549.434999999998</c:v>
                </c:pt>
                <c:pt idx="7">
                  <c:v>71845.638999999996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'Growth-Plot'!$G$7</c:f>
              <c:strCache>
                <c:ptCount val="1"/>
                <c:pt idx="0">
                  <c:v>P5</c:v>
                </c:pt>
              </c:strCache>
            </c:strRef>
          </c:tx>
          <c:spPr>
            <a:ln w="1270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'Growth-Plot'!$B$8:$B$57</c:f>
              <c:numCache>
                <c:formatCode>General</c:formatCode>
                <c:ptCount val="50"/>
                <c:pt idx="0">
                  <c:v>19.8</c:v>
                </c:pt>
                <c:pt idx="1">
                  <c:v>33</c:v>
                </c:pt>
                <c:pt idx="2">
                  <c:v>46.2</c:v>
                </c:pt>
                <c:pt idx="3">
                  <c:v>59.4</c:v>
                </c:pt>
                <c:pt idx="4">
                  <c:v>105.6</c:v>
                </c:pt>
                <c:pt idx="5">
                  <c:v>158.4</c:v>
                </c:pt>
                <c:pt idx="6">
                  <c:v>211.2</c:v>
                </c:pt>
                <c:pt idx="7">
                  <c:v>264</c:v>
                </c:pt>
              </c:numCache>
            </c:numRef>
          </c:xVal>
          <c:yVal>
            <c:numRef>
              <c:f>'Growth-Plot'!$G$8:$G$57</c:f>
              <c:numCache>
                <c:formatCode>General</c:formatCode>
                <c:ptCount val="50"/>
                <c:pt idx="0">
                  <c:v>790.62900000000002</c:v>
                </c:pt>
                <c:pt idx="1">
                  <c:v>1351.8869999999999</c:v>
                </c:pt>
                <c:pt idx="2">
                  <c:v>2255.076</c:v>
                </c:pt>
                <c:pt idx="3">
                  <c:v>3091.15</c:v>
                </c:pt>
                <c:pt idx="4">
                  <c:v>5551.3289999999997</c:v>
                </c:pt>
                <c:pt idx="5">
                  <c:v>8282.7289999999994</c:v>
                </c:pt>
                <c:pt idx="6">
                  <c:v>10385.636</c:v>
                </c:pt>
                <c:pt idx="7">
                  <c:v>11459.298000000001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'Growth-Plot'!$H$7</c:f>
              <c:strCache>
                <c:ptCount val="1"/>
              </c:strCache>
            </c:strRef>
          </c:tx>
          <c:spPr>
            <a:ln w="1270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'Growth-Plot'!$B$8:$B$57</c:f>
              <c:numCache>
                <c:formatCode>General</c:formatCode>
                <c:ptCount val="50"/>
                <c:pt idx="0">
                  <c:v>19.8</c:v>
                </c:pt>
                <c:pt idx="1">
                  <c:v>33</c:v>
                </c:pt>
                <c:pt idx="2">
                  <c:v>46.2</c:v>
                </c:pt>
                <c:pt idx="3">
                  <c:v>59.4</c:v>
                </c:pt>
                <c:pt idx="4">
                  <c:v>105.6</c:v>
                </c:pt>
                <c:pt idx="5">
                  <c:v>158.4</c:v>
                </c:pt>
                <c:pt idx="6">
                  <c:v>211.2</c:v>
                </c:pt>
                <c:pt idx="7">
                  <c:v>264</c:v>
                </c:pt>
              </c:numCache>
            </c:numRef>
          </c:xVal>
          <c:yVal>
            <c:numRef>
              <c:f>'Growth-Plot'!$H$8:$H$57</c:f>
              <c:numCache>
                <c:formatCode>General</c:formatCode>
                <c:ptCount val="50"/>
              </c:numCache>
            </c:numRef>
          </c:yVal>
          <c:smooth val="0"/>
        </c:ser>
        <c:ser>
          <c:idx val="6"/>
          <c:order val="6"/>
          <c:tx>
            <c:strRef>
              <c:f>'Growth-Plot'!$I$7</c:f>
              <c:strCache>
                <c:ptCount val="1"/>
              </c:strCache>
            </c:strRef>
          </c:tx>
          <c:spPr>
            <a:ln w="1270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'Growth-Plot'!$B$8:$B$57</c:f>
              <c:numCache>
                <c:formatCode>General</c:formatCode>
                <c:ptCount val="50"/>
                <c:pt idx="0">
                  <c:v>19.8</c:v>
                </c:pt>
                <c:pt idx="1">
                  <c:v>33</c:v>
                </c:pt>
                <c:pt idx="2">
                  <c:v>46.2</c:v>
                </c:pt>
                <c:pt idx="3">
                  <c:v>59.4</c:v>
                </c:pt>
                <c:pt idx="4">
                  <c:v>105.6</c:v>
                </c:pt>
                <c:pt idx="5">
                  <c:v>158.4</c:v>
                </c:pt>
                <c:pt idx="6">
                  <c:v>211.2</c:v>
                </c:pt>
                <c:pt idx="7">
                  <c:v>264</c:v>
                </c:pt>
              </c:numCache>
            </c:numRef>
          </c:xVal>
          <c:yVal>
            <c:numRef>
              <c:f>'Growth-Plot'!$I$8:$I$57</c:f>
              <c:numCache>
                <c:formatCode>General</c:formatCode>
                <c:ptCount val="50"/>
              </c:numCache>
            </c:numRef>
          </c:yVal>
          <c:smooth val="0"/>
        </c:ser>
        <c:ser>
          <c:idx val="7"/>
          <c:order val="7"/>
          <c:tx>
            <c:strRef>
              <c:f>'Growth-Plot'!$J$7</c:f>
              <c:strCache>
                <c:ptCount val="1"/>
              </c:strCache>
            </c:strRef>
          </c:tx>
          <c:spPr>
            <a:ln w="1270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'Growth-Plot'!$B$8:$B$57</c:f>
              <c:numCache>
                <c:formatCode>General</c:formatCode>
                <c:ptCount val="50"/>
                <c:pt idx="0">
                  <c:v>19.8</c:v>
                </c:pt>
                <c:pt idx="1">
                  <c:v>33</c:v>
                </c:pt>
                <c:pt idx="2">
                  <c:v>46.2</c:v>
                </c:pt>
                <c:pt idx="3">
                  <c:v>59.4</c:v>
                </c:pt>
                <c:pt idx="4">
                  <c:v>105.6</c:v>
                </c:pt>
                <c:pt idx="5">
                  <c:v>158.4</c:v>
                </c:pt>
                <c:pt idx="6">
                  <c:v>211.2</c:v>
                </c:pt>
                <c:pt idx="7">
                  <c:v>264</c:v>
                </c:pt>
              </c:numCache>
            </c:numRef>
          </c:xVal>
          <c:yVal>
            <c:numRef>
              <c:f>'Growth-Plot'!$J$8:$J$57</c:f>
              <c:numCache>
                <c:formatCode>General</c:formatCode>
                <c:ptCount val="50"/>
              </c:numCache>
            </c:numRef>
          </c:yVal>
          <c:smooth val="0"/>
        </c:ser>
        <c:ser>
          <c:idx val="8"/>
          <c:order val="8"/>
          <c:tx>
            <c:strRef>
              <c:f>'Growth-Plot'!$K$7</c:f>
              <c:strCache>
                <c:ptCount val="1"/>
              </c:strCache>
            </c:strRef>
          </c:tx>
          <c:spPr>
            <a:ln w="1270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'Growth-Plot'!$B$8:$B$57</c:f>
              <c:numCache>
                <c:formatCode>General</c:formatCode>
                <c:ptCount val="50"/>
                <c:pt idx="0">
                  <c:v>19.8</c:v>
                </c:pt>
                <c:pt idx="1">
                  <c:v>33</c:v>
                </c:pt>
                <c:pt idx="2">
                  <c:v>46.2</c:v>
                </c:pt>
                <c:pt idx="3">
                  <c:v>59.4</c:v>
                </c:pt>
                <c:pt idx="4">
                  <c:v>105.6</c:v>
                </c:pt>
                <c:pt idx="5">
                  <c:v>158.4</c:v>
                </c:pt>
                <c:pt idx="6">
                  <c:v>211.2</c:v>
                </c:pt>
                <c:pt idx="7">
                  <c:v>264</c:v>
                </c:pt>
              </c:numCache>
            </c:numRef>
          </c:xVal>
          <c:yVal>
            <c:numRef>
              <c:f>'Growth-Plot'!$K$8:$K$57</c:f>
              <c:numCache>
                <c:formatCode>General</c:formatCode>
                <c:ptCount val="50"/>
              </c:numCache>
            </c:numRef>
          </c:yVal>
          <c:smooth val="0"/>
        </c:ser>
        <c:ser>
          <c:idx val="9"/>
          <c:order val="9"/>
          <c:tx>
            <c:strRef>
              <c:f>'Growth-Plot'!$L$7</c:f>
              <c:strCache>
                <c:ptCount val="1"/>
              </c:strCache>
            </c:strRef>
          </c:tx>
          <c:spPr>
            <a:ln w="1270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'Growth-Plot'!$B$8:$B$57</c:f>
              <c:numCache>
                <c:formatCode>General</c:formatCode>
                <c:ptCount val="50"/>
                <c:pt idx="0">
                  <c:v>19.8</c:v>
                </c:pt>
                <c:pt idx="1">
                  <c:v>33</c:v>
                </c:pt>
                <c:pt idx="2">
                  <c:v>46.2</c:v>
                </c:pt>
                <c:pt idx="3">
                  <c:v>59.4</c:v>
                </c:pt>
                <c:pt idx="4">
                  <c:v>105.6</c:v>
                </c:pt>
                <c:pt idx="5">
                  <c:v>158.4</c:v>
                </c:pt>
                <c:pt idx="6">
                  <c:v>211.2</c:v>
                </c:pt>
                <c:pt idx="7">
                  <c:v>264</c:v>
                </c:pt>
              </c:numCache>
            </c:numRef>
          </c:xVal>
          <c:yVal>
            <c:numRef>
              <c:f>'Growth-Plot'!$L$8:$L$57</c:f>
              <c:numCache>
                <c:formatCode>General</c:formatCode>
                <c:ptCount val="50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544164000"/>
        <c:axId val="-544159104"/>
      </c:scatterChart>
      <c:valAx>
        <c:axId val="-544164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544159104"/>
        <c:crosses val="autoZero"/>
        <c:crossBetween val="midCat"/>
      </c:valAx>
      <c:valAx>
        <c:axId val="-544159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544164000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50000"/>
          <a:lumOff val="50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4766843011133241"/>
          <c:y val="0.11053295421405658"/>
          <c:w val="0.68395721657315245"/>
          <c:h val="0.74408136482939635"/>
        </c:manualLayout>
      </c:layout>
      <c:scatterChart>
        <c:scatterStyle val="lineMarker"/>
        <c:varyColors val="0"/>
        <c:ser>
          <c:idx val="0"/>
          <c:order val="0"/>
          <c:tx>
            <c:strRef>
              <c:f>TempData!$E$10</c:f>
              <c:strCache>
                <c:ptCount val="1"/>
                <c:pt idx="0">
                  <c:v>Peak1</c:v>
                </c:pt>
              </c:strCache>
            </c:strRef>
          </c:tx>
          <c:spPr>
            <a:ln w="12700" cap="rnd">
              <a:solidFill>
                <a:sysClr val="windowText" lastClr="000000">
                  <a:lumMod val="50000"/>
                  <a:lumOff val="50000"/>
                  <a:alpha val="0"/>
                </a:sysClr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12700">
                <a:solidFill>
                  <a:schemeClr val="tx1"/>
                </a:solidFill>
              </a:ln>
              <a:effectLst/>
            </c:spPr>
          </c:marker>
          <c:xVal>
            <c:numRef>
              <c:f>TempData!$D$11:$D$60</c:f>
              <c:numCache>
                <c:formatCode>General</c:formatCode>
                <c:ptCount val="50"/>
                <c:pt idx="0">
                  <c:v>19.8</c:v>
                </c:pt>
                <c:pt idx="1">
                  <c:v>33</c:v>
                </c:pt>
                <c:pt idx="2">
                  <c:v>46.2</c:v>
                </c:pt>
                <c:pt idx="3">
                  <c:v>59.4</c:v>
                </c:pt>
                <c:pt idx="4">
                  <c:v>105.6</c:v>
                </c:pt>
                <c:pt idx="5">
                  <c:v>158.4</c:v>
                </c:pt>
                <c:pt idx="6">
                  <c:v>211.2</c:v>
                </c:pt>
                <c:pt idx="7">
                  <c:v>264</c:v>
                </c:pt>
              </c:numCache>
            </c:numRef>
          </c:xVal>
          <c:yVal>
            <c:numRef>
              <c:f>TempData!$E$11:$E$60</c:f>
              <c:numCache>
                <c:formatCode>General</c:formatCode>
                <c:ptCount val="50"/>
                <c:pt idx="0">
                  <c:v>2536.634</c:v>
                </c:pt>
                <c:pt idx="1">
                  <c:v>4359.9089999999997</c:v>
                </c:pt>
                <c:pt idx="2">
                  <c:v>6702.4290000000001</c:v>
                </c:pt>
                <c:pt idx="3">
                  <c:v>8873.2630000000008</c:v>
                </c:pt>
                <c:pt idx="4">
                  <c:v>14889.1</c:v>
                </c:pt>
                <c:pt idx="5">
                  <c:v>21570.281999999999</c:v>
                </c:pt>
                <c:pt idx="6">
                  <c:v>27936.245999999999</c:v>
                </c:pt>
                <c:pt idx="7">
                  <c:v>34387.415000000001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544158560"/>
        <c:axId val="-544157472"/>
      </c:scatterChart>
      <c:scatterChart>
        <c:scatterStyle val="smoothMarker"/>
        <c:varyColors val="0"/>
        <c:ser>
          <c:idx val="1"/>
          <c:order val="1"/>
          <c:tx>
            <c:strRef>
              <c:f>TempData!$C$10</c:f>
              <c:strCache>
                <c:ptCount val="1"/>
                <c:pt idx="0">
                  <c:v>Fit1</c:v>
                </c:pt>
              </c:strCache>
            </c:strRef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TempData!$B$11:$B$110</c:f>
              <c:numCache>
                <c:formatCode>General</c:formatCode>
                <c:ptCount val="100"/>
                <c:pt idx="0">
                  <c:v>19.8</c:v>
                </c:pt>
                <c:pt idx="1">
                  <c:v>22.266666666666666</c:v>
                </c:pt>
                <c:pt idx="2">
                  <c:v>24.733333333333334</c:v>
                </c:pt>
                <c:pt idx="3">
                  <c:v>27.2</c:v>
                </c:pt>
                <c:pt idx="4">
                  <c:v>29.666666666666664</c:v>
                </c:pt>
                <c:pt idx="5">
                  <c:v>32.133333333333333</c:v>
                </c:pt>
                <c:pt idx="6">
                  <c:v>34.6</c:v>
                </c:pt>
                <c:pt idx="7">
                  <c:v>37.066666666666663</c:v>
                </c:pt>
                <c:pt idx="8">
                  <c:v>39.533333333333331</c:v>
                </c:pt>
                <c:pt idx="9">
                  <c:v>42</c:v>
                </c:pt>
                <c:pt idx="10">
                  <c:v>44.466666666666669</c:v>
                </c:pt>
                <c:pt idx="11">
                  <c:v>46.933333333333337</c:v>
                </c:pt>
                <c:pt idx="12">
                  <c:v>49.4</c:v>
                </c:pt>
                <c:pt idx="13">
                  <c:v>51.86666666666666</c:v>
                </c:pt>
                <c:pt idx="14">
                  <c:v>54.333333333333329</c:v>
                </c:pt>
                <c:pt idx="15">
                  <c:v>56.8</c:v>
                </c:pt>
                <c:pt idx="16">
                  <c:v>59.266666666666666</c:v>
                </c:pt>
                <c:pt idx="17">
                  <c:v>61.733333333333334</c:v>
                </c:pt>
                <c:pt idx="18">
                  <c:v>64.199999999999989</c:v>
                </c:pt>
                <c:pt idx="19">
                  <c:v>66.666666666666671</c:v>
                </c:pt>
                <c:pt idx="20">
                  <c:v>69.13333333333334</c:v>
                </c:pt>
                <c:pt idx="21">
                  <c:v>71.599999999999994</c:v>
                </c:pt>
                <c:pt idx="22">
                  <c:v>74.066666666666663</c:v>
                </c:pt>
                <c:pt idx="23">
                  <c:v>76.533333333333331</c:v>
                </c:pt>
                <c:pt idx="24">
                  <c:v>79</c:v>
                </c:pt>
                <c:pt idx="25">
                  <c:v>81.466666666666669</c:v>
                </c:pt>
                <c:pt idx="26">
                  <c:v>83.933333333333323</c:v>
                </c:pt>
                <c:pt idx="27">
                  <c:v>86.399999999999991</c:v>
                </c:pt>
                <c:pt idx="28">
                  <c:v>88.86666666666666</c:v>
                </c:pt>
                <c:pt idx="29">
                  <c:v>91.333333333333329</c:v>
                </c:pt>
                <c:pt idx="30">
                  <c:v>93.8</c:v>
                </c:pt>
                <c:pt idx="31">
                  <c:v>96.266666666666666</c:v>
                </c:pt>
                <c:pt idx="32">
                  <c:v>98.73333333333332</c:v>
                </c:pt>
                <c:pt idx="33">
                  <c:v>101.19999999999999</c:v>
                </c:pt>
                <c:pt idx="34">
                  <c:v>103.66666666666666</c:v>
                </c:pt>
                <c:pt idx="35">
                  <c:v>106.13333333333333</c:v>
                </c:pt>
                <c:pt idx="36">
                  <c:v>108.59999999999998</c:v>
                </c:pt>
                <c:pt idx="37">
                  <c:v>111.06666666666666</c:v>
                </c:pt>
                <c:pt idx="38">
                  <c:v>113.53333333333333</c:v>
                </c:pt>
                <c:pt idx="39">
                  <c:v>115.99999999999999</c:v>
                </c:pt>
                <c:pt idx="40">
                  <c:v>118.46666666666667</c:v>
                </c:pt>
                <c:pt idx="41">
                  <c:v>120.93333333333332</c:v>
                </c:pt>
                <c:pt idx="42">
                  <c:v>123.39999999999999</c:v>
                </c:pt>
                <c:pt idx="43">
                  <c:v>125.86666666666667</c:v>
                </c:pt>
                <c:pt idx="44">
                  <c:v>128.33333333333334</c:v>
                </c:pt>
                <c:pt idx="45">
                  <c:v>130.80000000000001</c:v>
                </c:pt>
                <c:pt idx="46">
                  <c:v>133.26666666666665</c:v>
                </c:pt>
                <c:pt idx="47">
                  <c:v>135.73333333333332</c:v>
                </c:pt>
                <c:pt idx="48">
                  <c:v>138.19999999999999</c:v>
                </c:pt>
                <c:pt idx="49">
                  <c:v>140.66666666666666</c:v>
                </c:pt>
                <c:pt idx="50">
                  <c:v>143.13333333333333</c:v>
                </c:pt>
                <c:pt idx="51">
                  <c:v>145.6</c:v>
                </c:pt>
                <c:pt idx="52">
                  <c:v>148.06666666666666</c:v>
                </c:pt>
                <c:pt idx="53">
                  <c:v>150.53333333333333</c:v>
                </c:pt>
                <c:pt idx="54">
                  <c:v>153</c:v>
                </c:pt>
                <c:pt idx="55">
                  <c:v>155.46666666666667</c:v>
                </c:pt>
                <c:pt idx="56">
                  <c:v>157.93333333333334</c:v>
                </c:pt>
                <c:pt idx="57">
                  <c:v>160.4</c:v>
                </c:pt>
                <c:pt idx="58">
                  <c:v>162.86666666666667</c:v>
                </c:pt>
                <c:pt idx="59">
                  <c:v>165.33333333333334</c:v>
                </c:pt>
                <c:pt idx="60">
                  <c:v>167.8</c:v>
                </c:pt>
                <c:pt idx="61">
                  <c:v>170.26666666666668</c:v>
                </c:pt>
                <c:pt idx="62">
                  <c:v>172.73333333333335</c:v>
                </c:pt>
                <c:pt idx="63">
                  <c:v>175.2</c:v>
                </c:pt>
                <c:pt idx="64">
                  <c:v>177.66666666666666</c:v>
                </c:pt>
                <c:pt idx="65">
                  <c:v>180.13333333333335</c:v>
                </c:pt>
                <c:pt idx="66">
                  <c:v>182.6</c:v>
                </c:pt>
                <c:pt idx="67">
                  <c:v>185.06666666666666</c:v>
                </c:pt>
                <c:pt idx="68">
                  <c:v>187.53333333333333</c:v>
                </c:pt>
                <c:pt idx="69">
                  <c:v>190</c:v>
                </c:pt>
                <c:pt idx="70">
                  <c:v>192.46666666666667</c:v>
                </c:pt>
                <c:pt idx="71">
                  <c:v>194.93333333333337</c:v>
                </c:pt>
                <c:pt idx="72">
                  <c:v>197.39999999999998</c:v>
                </c:pt>
                <c:pt idx="73">
                  <c:v>199.86666666666667</c:v>
                </c:pt>
                <c:pt idx="74">
                  <c:v>202.33333333333334</c:v>
                </c:pt>
                <c:pt idx="75">
                  <c:v>204.8</c:v>
                </c:pt>
                <c:pt idx="76">
                  <c:v>207.26666666666668</c:v>
                </c:pt>
                <c:pt idx="77">
                  <c:v>209.73333333333332</c:v>
                </c:pt>
                <c:pt idx="78">
                  <c:v>212.2</c:v>
                </c:pt>
                <c:pt idx="79">
                  <c:v>214.66666666666666</c:v>
                </c:pt>
                <c:pt idx="80">
                  <c:v>217.13333333333335</c:v>
                </c:pt>
                <c:pt idx="81">
                  <c:v>219.60000000000002</c:v>
                </c:pt>
                <c:pt idx="82">
                  <c:v>222.06666666666666</c:v>
                </c:pt>
                <c:pt idx="83">
                  <c:v>224.53333333333333</c:v>
                </c:pt>
                <c:pt idx="84">
                  <c:v>227</c:v>
                </c:pt>
                <c:pt idx="85">
                  <c:v>229.46666666666667</c:v>
                </c:pt>
                <c:pt idx="86">
                  <c:v>231.93333333333337</c:v>
                </c:pt>
                <c:pt idx="87">
                  <c:v>234.39999999999998</c:v>
                </c:pt>
                <c:pt idx="88">
                  <c:v>236.86666666666667</c:v>
                </c:pt>
                <c:pt idx="89">
                  <c:v>239.33333333333334</c:v>
                </c:pt>
                <c:pt idx="90">
                  <c:v>241.8</c:v>
                </c:pt>
                <c:pt idx="91">
                  <c:v>244.26666666666668</c:v>
                </c:pt>
                <c:pt idx="92">
                  <c:v>246.73333333333332</c:v>
                </c:pt>
                <c:pt idx="93">
                  <c:v>249.2</c:v>
                </c:pt>
                <c:pt idx="94">
                  <c:v>251.66666666666666</c:v>
                </c:pt>
                <c:pt idx="95">
                  <c:v>254.13333333333335</c:v>
                </c:pt>
                <c:pt idx="96">
                  <c:v>256.59999999999997</c:v>
                </c:pt>
                <c:pt idx="97">
                  <c:v>259.06666666666666</c:v>
                </c:pt>
                <c:pt idx="98">
                  <c:v>261.5333333333333</c:v>
                </c:pt>
                <c:pt idx="99">
                  <c:v>264</c:v>
                </c:pt>
              </c:numCache>
            </c:numRef>
          </c:xVal>
          <c:yVal>
            <c:numRef>
              <c:f>TempData!$C$11:$C$110</c:f>
              <c:numCache>
                <c:formatCode>General</c:formatCode>
                <c:ptCount val="100"/>
                <c:pt idx="0">
                  <c:v>2678.7704627272974</c:v>
                </c:pt>
                <c:pt idx="1">
                  <c:v>3046.5043381192891</c:v>
                </c:pt>
                <c:pt idx="2">
                  <c:v>3413.1333815961193</c:v>
                </c:pt>
                <c:pt idx="3">
                  <c:v>3778.6609125516138</c:v>
                </c:pt>
                <c:pt idx="4">
                  <c:v>4143.0902404067301</c:v>
                </c:pt>
                <c:pt idx="5">
                  <c:v>4506.4246646394558</c:v>
                </c:pt>
                <c:pt idx="6">
                  <c:v>4868.6674748147616</c:v>
                </c:pt>
                <c:pt idx="7">
                  <c:v>5229.8219506142896</c:v>
                </c:pt>
                <c:pt idx="8">
                  <c:v>5589.8913618661381</c:v>
                </c:pt>
                <c:pt idx="9">
                  <c:v>5948.8789685744123</c:v>
                </c:pt>
                <c:pt idx="10">
                  <c:v>6306.7880209487466</c:v>
                </c:pt>
                <c:pt idx="11">
                  <c:v>6663.6217594337304</c:v>
                </c:pt>
                <c:pt idx="12">
                  <c:v>7019.383414738274</c:v>
                </c:pt>
                <c:pt idx="13">
                  <c:v>7374.0762078648149</c:v>
                </c:pt>
                <c:pt idx="14">
                  <c:v>7727.7033501385331</c:v>
                </c:pt>
                <c:pt idx="15">
                  <c:v>8080.2680432363595</c:v>
                </c:pt>
                <c:pt idx="16">
                  <c:v>8431.7734792160409</c:v>
                </c:pt>
                <c:pt idx="17">
                  <c:v>8782.2228405449623</c:v>
                </c:pt>
                <c:pt idx="18">
                  <c:v>9131.6193001290103</c:v>
                </c:pt>
                <c:pt idx="19">
                  <c:v>9479.966021341299</c:v>
                </c:pt>
                <c:pt idx="20">
                  <c:v>9827.2661580507902</c:v>
                </c:pt>
                <c:pt idx="21">
                  <c:v>10173.522854650844</c:v>
                </c:pt>
                <c:pt idx="22">
                  <c:v>10518.739246087729</c:v>
                </c:pt>
                <c:pt idx="23">
                  <c:v>10862.918457888956</c:v>
                </c:pt>
                <c:pt idx="24">
                  <c:v>11206.063606191592</c:v>
                </c:pt>
                <c:pt idx="25">
                  <c:v>11548.177797770502</c:v>
                </c:pt>
                <c:pt idx="26">
                  <c:v>11889.264130066429</c:v>
                </c:pt>
                <c:pt idx="27">
                  <c:v>12229.325691214062</c:v>
                </c:pt>
                <c:pt idx="28">
                  <c:v>12568.365560070019</c:v>
                </c:pt>
                <c:pt idx="29">
                  <c:v>12906.386806240673</c:v>
                </c:pt>
                <c:pt idx="30">
                  <c:v>13243.392490109987</c:v>
                </c:pt>
                <c:pt idx="31">
                  <c:v>13579.385662867197</c:v>
                </c:pt>
                <c:pt idx="32">
                  <c:v>13914.369366534444</c:v>
                </c:pt>
                <c:pt idx="33">
                  <c:v>14248.346633994317</c:v>
                </c:pt>
                <c:pt idx="34">
                  <c:v>14581.320489017298</c:v>
                </c:pt>
                <c:pt idx="35">
                  <c:v>14913.293946289183</c:v>
                </c:pt>
                <c:pt idx="36">
                  <c:v>15244.270011438317</c:v>
                </c:pt>
                <c:pt idx="37">
                  <c:v>15574.25168106286</c:v>
                </c:pt>
                <c:pt idx="38">
                  <c:v>15903.241942757861</c:v>
                </c:pt>
                <c:pt idx="39">
                  <c:v>16231.243775142362</c:v>
                </c:pt>
                <c:pt idx="40">
                  <c:v>16558.260147886347</c:v>
                </c:pt>
                <c:pt idx="41">
                  <c:v>16884.294021737602</c:v>
                </c:pt>
                <c:pt idx="42">
                  <c:v>17209.348348548552</c:v>
                </c:pt>
                <c:pt idx="43">
                  <c:v>17533.426071303002</c:v>
                </c:pt>
                <c:pt idx="44">
                  <c:v>17856.530124142719</c:v>
                </c:pt>
                <c:pt idx="45">
                  <c:v>18178.663432394067</c:v>
                </c:pt>
                <c:pt idx="46">
                  <c:v>18499.828912594436</c:v>
                </c:pt>
                <c:pt idx="47">
                  <c:v>18820.029472518712</c:v>
                </c:pt>
                <c:pt idx="48">
                  <c:v>19139.268011205528</c:v>
                </c:pt>
                <c:pt idx="49">
                  <c:v>19457.547418983566</c:v>
                </c:pt>
                <c:pt idx="50">
                  <c:v>19774.87057749771</c:v>
                </c:pt>
                <c:pt idx="51">
                  <c:v>20091.240359735126</c:v>
                </c:pt>
                <c:pt idx="52">
                  <c:v>20406.659630051272</c:v>
                </c:pt>
                <c:pt idx="53">
                  <c:v>20721.131244195873</c:v>
                </c:pt>
                <c:pt idx="54">
                  <c:v>21034.658049338712</c:v>
                </c:pt>
                <c:pt idx="55">
                  <c:v>21347.242884095456</c:v>
                </c:pt>
                <c:pt idx="56">
                  <c:v>21658.888578553338</c:v>
                </c:pt>
                <c:pt idx="57">
                  <c:v>21969.597954296776</c:v>
                </c:pt>
                <c:pt idx="58">
                  <c:v>22279.373824432947</c:v>
                </c:pt>
                <c:pt idx="59">
                  <c:v>22588.218993617207</c:v>
                </c:pt>
                <c:pt idx="60">
                  <c:v>22896.136258078532</c:v>
                </c:pt>
                <c:pt idx="61">
                  <c:v>23203.128405644798</c:v>
                </c:pt>
                <c:pt idx="62">
                  <c:v>23509.198215768058</c:v>
                </c:pt>
                <c:pt idx="63">
                  <c:v>23814.348459549659</c:v>
                </c:pt>
                <c:pt idx="64">
                  <c:v>24118.581899765406</c:v>
                </c:pt>
                <c:pt idx="65">
                  <c:v>24421.901290890477</c:v>
                </c:pt>
                <c:pt idx="66">
                  <c:v>24724.309379124428</c:v>
                </c:pt>
                <c:pt idx="67">
                  <c:v>25025.808902416051</c:v>
                </c:pt>
                <c:pt idx="68">
                  <c:v>25326.402590488156</c:v>
                </c:pt>
                <c:pt idx="69">
                  <c:v>25626.093164862268</c:v>
                </c:pt>
                <c:pt idx="70">
                  <c:v>25924.883338883297</c:v>
                </c:pt>
                <c:pt idx="71">
                  <c:v>26222.775817744103</c:v>
                </c:pt>
                <c:pt idx="72">
                  <c:v>26519.773298509903</c:v>
                </c:pt>
                <c:pt idx="73">
                  <c:v>26815.878470142852</c:v>
                </c:pt>
                <c:pt idx="74">
                  <c:v>27111.094013526257</c:v>
                </c:pt>
                <c:pt idx="75">
                  <c:v>27405.422601488863</c:v>
                </c:pt>
                <c:pt idx="76">
                  <c:v>27698.866898829143</c:v>
                </c:pt>
                <c:pt idx="77">
                  <c:v>27991.429562339279</c:v>
                </c:pt>
                <c:pt idx="78">
                  <c:v>28283.113240829385</c:v>
                </c:pt>
                <c:pt idx="79">
                  <c:v>28573.92057515134</c:v>
                </c:pt>
                <c:pt idx="80">
                  <c:v>28863.854198222787</c:v>
                </c:pt>
                <c:pt idx="81">
                  <c:v>29152.916735050938</c:v>
                </c:pt>
                <c:pt idx="82">
                  <c:v>29441.110802756313</c:v>
                </c:pt>
                <c:pt idx="83">
                  <c:v>29728.43901059655</c:v>
                </c:pt>
                <c:pt idx="84">
                  <c:v>30014.903959989861</c:v>
                </c:pt>
                <c:pt idx="85">
                  <c:v>30300.508244538702</c:v>
                </c:pt>
                <c:pt idx="86">
                  <c:v>30585.254450053249</c:v>
                </c:pt>
                <c:pt idx="87">
                  <c:v>30869.145154574733</c:v>
                </c:pt>
                <c:pt idx="88">
                  <c:v>31152.182928398877</c:v>
                </c:pt>
                <c:pt idx="89">
                  <c:v>31434.370334099098</c:v>
                </c:pt>
                <c:pt idx="90">
                  <c:v>31715.709926549742</c:v>
                </c:pt>
                <c:pt idx="91">
                  <c:v>31996.204252949206</c:v>
                </c:pt>
                <c:pt idx="92">
                  <c:v>32275.855852842986</c:v>
                </c:pt>
                <c:pt idx="93">
                  <c:v>32554.667258146677</c:v>
                </c:pt>
                <c:pt idx="94">
                  <c:v>32832.640993168956</c:v>
                </c:pt>
                <c:pt idx="95">
                  <c:v>33109.779574634304</c:v>
                </c:pt>
                <c:pt idx="96">
                  <c:v>33386.085511705925</c:v>
                </c:pt>
                <c:pt idx="97">
                  <c:v>33661.561306008414</c:v>
                </c:pt>
                <c:pt idx="98">
                  <c:v>33936.209451650349</c:v>
                </c:pt>
                <c:pt idx="99">
                  <c:v>34210.032435246991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544158560"/>
        <c:axId val="-544157472"/>
      </c:scatterChart>
      <c:valAx>
        <c:axId val="-544158560"/>
        <c:scaling>
          <c:orientation val="minMax"/>
          <c:max val="277.2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10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Dose (Gy)</a:t>
                </a:r>
              </a:p>
            </c:rich>
          </c:tx>
          <c:overlay val="0"/>
          <c:spPr>
            <a:solidFill>
              <a:sysClr val="window" lastClr="FFFFFF"/>
            </a:solidFill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-544157472"/>
        <c:crosses val="autoZero"/>
        <c:crossBetween val="midCat"/>
        <c:majorUnit val="50"/>
      </c:valAx>
      <c:valAx>
        <c:axId val="-54415747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100" b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Intensity (a.u.)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-544158560"/>
        <c:crosses val="autoZero"/>
        <c:crossBetween val="midCat"/>
        <c:majorUnit val="10000"/>
      </c:valAx>
      <c:spPr>
        <a:noFill/>
        <a:ln>
          <a:solidFill>
            <a:schemeClr val="tx1"/>
          </a:solidFill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legend>
    <c:plotVisOnly val="0"/>
    <c:dispBlanksAs val="gap"/>
    <c:showDLblsOverMax val="0"/>
  </c:chart>
  <c:spPr>
    <a:solidFill>
      <a:sysClr val="window" lastClr="FFFFFF"/>
    </a:solidFill>
    <a:ln w="9525" cap="flat" cmpd="sng" algn="ctr">
      <a:solidFill>
        <a:sysClr val="windowText" lastClr="000000">
          <a:lumMod val="50000"/>
          <a:lumOff val="50000"/>
        </a:sys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</xdr:row>
          <xdr:rowOff>9525</xdr:rowOff>
        </xdr:from>
        <xdr:to>
          <xdr:col>3</xdr:col>
          <xdr:colOff>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Fitting &gt;&gt;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8</xdr:row>
          <xdr:rowOff>9525</xdr:rowOff>
        </xdr:from>
        <xdr:to>
          <xdr:col>3</xdr:col>
          <xdr:colOff>0</xdr:colOff>
          <xdr:row>9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3</xdr:col>
      <xdr:colOff>1138767</xdr:colOff>
      <xdr:row>10</xdr:row>
      <xdr:rowOff>93132</xdr:rowOff>
    </xdr:from>
    <xdr:to>
      <xdr:col>10</xdr:col>
      <xdr:colOff>419101</xdr:colOff>
      <xdr:row>25</xdr:row>
      <xdr:rowOff>163629</xdr:rowOff>
    </xdr:to>
    <xdr:graphicFrame macro="">
      <xdr:nvGraphicFramePr>
        <xdr:cNvPr id="2" name="graph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66674</xdr:colOff>
      <xdr:row>1</xdr:row>
      <xdr:rowOff>38100</xdr:rowOff>
    </xdr:from>
    <xdr:to>
      <xdr:col>10</xdr:col>
      <xdr:colOff>514350</xdr:colOff>
      <xdr:row>5</xdr:row>
      <xdr:rowOff>47625</xdr:rowOff>
    </xdr:to>
    <xdr:sp macro="" textlink="">
      <xdr:nvSpPr>
        <xdr:cNvPr id="2" name="Retângulo 1"/>
        <xdr:cNvSpPr/>
      </xdr:nvSpPr>
      <xdr:spPr>
        <a:xfrm>
          <a:off x="6038849" y="228600"/>
          <a:ext cx="1704976" cy="771525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300" b="1">
              <a:solidFill>
                <a:schemeClr val="bg1"/>
              </a:solidFill>
            </a:rPr>
            <a:t>Don't</a:t>
          </a:r>
          <a:r>
            <a:rPr lang="pt-BR" sz="1300" b="1" baseline="0">
              <a:solidFill>
                <a:schemeClr val="bg1"/>
              </a:solidFill>
            </a:rPr>
            <a:t> use this sheet,</a:t>
          </a:r>
          <a:br>
            <a:rPr lang="pt-BR" sz="1300" b="1" baseline="0">
              <a:solidFill>
                <a:schemeClr val="bg1"/>
              </a:solidFill>
            </a:rPr>
          </a:br>
          <a:r>
            <a:rPr lang="pt-BR" sz="1300" b="1" baseline="0">
              <a:solidFill>
                <a:schemeClr val="bg1"/>
              </a:solidFill>
            </a:rPr>
            <a:t>It is reserved for internal data</a:t>
          </a:r>
          <a:endParaRPr lang="pt-BR" sz="1300" b="1">
            <a:solidFill>
              <a:schemeClr val="bg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247650</xdr:colOff>
          <xdr:row>5</xdr:row>
          <xdr:rowOff>0</xdr:rowOff>
        </xdr:from>
        <xdr:to>
          <xdr:col>2</xdr:col>
          <xdr:colOff>9525</xdr:colOff>
          <xdr:row>6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Growth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27518</xdr:colOff>
      <xdr:row>7</xdr:row>
      <xdr:rowOff>168273</xdr:rowOff>
    </xdr:from>
    <xdr:to>
      <xdr:col>6</xdr:col>
      <xdr:colOff>747184</xdr:colOff>
      <xdr:row>22</xdr:row>
      <xdr:rowOff>53973</xdr:rowOff>
    </xdr:to>
    <xdr:graphicFrame macro="">
      <xdr:nvGraphicFramePr>
        <xdr:cNvPr id="4" name="Gráfico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729190</xdr:colOff>
      <xdr:row>7</xdr:row>
      <xdr:rowOff>168274</xdr:rowOff>
    </xdr:from>
    <xdr:to>
      <xdr:col>9</xdr:col>
      <xdr:colOff>866775</xdr:colOff>
      <xdr:row>22</xdr:row>
      <xdr:rowOff>53974</xdr:rowOff>
    </xdr:to>
    <xdr:graphicFrame macro="">
      <xdr:nvGraphicFramePr>
        <xdr:cNvPr id="2" name="graphD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A1:S1010"/>
  <sheetViews>
    <sheetView tabSelected="1" zoomScaleNormal="100" workbookViewId="0">
      <selection activeCell="K5" sqref="K5"/>
    </sheetView>
  </sheetViews>
  <sheetFormatPr defaultRowHeight="15" x14ac:dyDescent="0.25"/>
  <cols>
    <col min="1" max="1" width="10" style="1" bestFit="1" customWidth="1"/>
    <col min="2" max="2" width="9.140625" style="1"/>
    <col min="3" max="3" width="11.42578125" style="1" customWidth="1"/>
    <col min="4" max="4" width="17.140625" style="1" customWidth="1"/>
    <col min="5" max="14" width="10.28515625" style="1" customWidth="1"/>
    <col min="15" max="15" width="9.140625" style="1"/>
    <col min="17" max="17" width="12" bestFit="1" customWidth="1"/>
  </cols>
  <sheetData>
    <row r="1" spans="1:15" x14ac:dyDescent="0.25">
      <c r="A1" s="4" t="s">
        <v>43</v>
      </c>
      <c r="B1" s="2"/>
      <c r="C1" s="2"/>
      <c r="D1" s="9">
        <v>0.504</v>
      </c>
      <c r="E1" s="3" t="s">
        <v>7</v>
      </c>
      <c r="F1" s="3" t="s">
        <v>36</v>
      </c>
      <c r="G1" s="3" t="s">
        <v>37</v>
      </c>
      <c r="H1" s="3" t="s">
        <v>38</v>
      </c>
      <c r="I1" s="3" t="s">
        <v>39</v>
      </c>
      <c r="J1" s="3"/>
      <c r="K1" s="3"/>
      <c r="L1" s="3"/>
      <c r="M1" s="3"/>
      <c r="N1" s="3"/>
      <c r="O1" s="2"/>
    </row>
    <row r="2" spans="1:15" x14ac:dyDescent="0.25">
      <c r="A2" s="4" t="s">
        <v>9</v>
      </c>
      <c r="B2" s="2" t="s">
        <v>28</v>
      </c>
      <c r="C2" s="2"/>
      <c r="D2" s="31" t="s">
        <v>45</v>
      </c>
      <c r="E2" s="31" t="s">
        <v>41</v>
      </c>
      <c r="F2" s="31" t="s">
        <v>41</v>
      </c>
      <c r="G2" s="31" t="s">
        <v>41</v>
      </c>
      <c r="H2" s="31" t="s">
        <v>41</v>
      </c>
      <c r="I2" s="31">
        <v>2</v>
      </c>
      <c r="J2" s="31"/>
      <c r="K2" s="31"/>
      <c r="L2" s="31"/>
      <c r="M2" s="31"/>
      <c r="N2" s="31"/>
      <c r="O2" s="2"/>
    </row>
    <row r="3" spans="1:15" x14ac:dyDescent="0.25">
      <c r="A3" s="4" t="s">
        <v>10</v>
      </c>
      <c r="B3" s="2">
        <v>90</v>
      </c>
      <c r="C3" s="2"/>
      <c r="D3" s="29" t="s">
        <v>31</v>
      </c>
      <c r="E3" s="28">
        <v>159.78399999999999</v>
      </c>
      <c r="F3" s="28">
        <v>216.392</v>
      </c>
      <c r="G3" s="28">
        <v>271.63400000000001</v>
      </c>
      <c r="H3" s="28">
        <v>328.81</v>
      </c>
      <c r="I3" s="28">
        <v>400.93599999999998</v>
      </c>
      <c r="J3" s="28"/>
      <c r="K3" s="28"/>
      <c r="L3" s="28"/>
      <c r="M3" s="28"/>
      <c r="N3" s="28"/>
      <c r="O3" s="2"/>
    </row>
    <row r="4" spans="1:15" x14ac:dyDescent="0.25">
      <c r="A4" s="4" t="s">
        <v>11</v>
      </c>
      <c r="B4" s="2" t="s">
        <v>44</v>
      </c>
      <c r="C4" s="7" t="s">
        <v>17</v>
      </c>
      <c r="D4" s="29" t="s">
        <v>2</v>
      </c>
      <c r="E4" s="28">
        <v>2536.634</v>
      </c>
      <c r="F4" s="28">
        <v>7247.2209999999995</v>
      </c>
      <c r="G4" s="28">
        <v>617.06100000000004</v>
      </c>
      <c r="H4" s="28">
        <v>2112.7750000000001</v>
      </c>
      <c r="I4" s="28">
        <v>790.62900000000002</v>
      </c>
      <c r="J4" s="28"/>
      <c r="K4" s="28"/>
      <c r="L4" s="28"/>
      <c r="M4" s="28"/>
      <c r="N4" s="28"/>
      <c r="O4" s="2"/>
    </row>
    <row r="5" spans="1:15" x14ac:dyDescent="0.25">
      <c r="A5" s="5" t="s">
        <v>12</v>
      </c>
      <c r="B5" s="2">
        <v>19.8</v>
      </c>
      <c r="C5" s="7" t="s">
        <v>16</v>
      </c>
      <c r="D5" s="29" t="s">
        <v>32</v>
      </c>
      <c r="E5" s="28">
        <v>1.0091000000000001</v>
      </c>
      <c r="F5" s="28">
        <v>1.0102</v>
      </c>
      <c r="G5" s="28">
        <v>1.1475</v>
      </c>
      <c r="H5" s="28">
        <v>1.2906</v>
      </c>
      <c r="I5" s="28">
        <v>2.4504000000000001</v>
      </c>
      <c r="J5" s="28"/>
      <c r="K5" s="28"/>
      <c r="L5" s="28"/>
      <c r="M5" s="28"/>
      <c r="N5" s="28"/>
      <c r="O5" s="2"/>
    </row>
    <row r="6" spans="1:15" x14ac:dyDescent="0.25">
      <c r="A6" s="5" t="s">
        <v>13</v>
      </c>
      <c r="B6" s="2">
        <v>0</v>
      </c>
      <c r="C6" s="7" t="s">
        <v>16</v>
      </c>
      <c r="D6" s="29" t="s">
        <v>30</v>
      </c>
      <c r="E6" s="28">
        <v>1.4255</v>
      </c>
      <c r="F6" s="28">
        <v>1.0630999999999999</v>
      </c>
      <c r="G6" s="28">
        <v>1.8435999999999999</v>
      </c>
      <c r="H6" s="28">
        <v>1.2949999999999999</v>
      </c>
      <c r="I6" s="28">
        <v>2</v>
      </c>
      <c r="J6" s="28"/>
      <c r="K6" s="28"/>
      <c r="L6" s="28"/>
      <c r="M6" s="28"/>
      <c r="N6" s="28"/>
      <c r="O6" s="2"/>
    </row>
    <row r="7" spans="1:15" x14ac:dyDescent="0.25">
      <c r="A7" s="8" t="s">
        <v>14</v>
      </c>
      <c r="B7" s="2">
        <v>5</v>
      </c>
      <c r="C7" s="7" t="s">
        <v>16</v>
      </c>
      <c r="D7" s="29" t="s">
        <v>33</v>
      </c>
      <c r="E7" s="28">
        <v>169105102405.80481</v>
      </c>
      <c r="F7" s="28">
        <v>6109948237.758153</v>
      </c>
      <c r="G7" s="28">
        <v>8657651295.0935497</v>
      </c>
      <c r="H7" s="28">
        <v>12892718496.688431</v>
      </c>
      <c r="I7" s="28">
        <v>6.2461807686176909E+17</v>
      </c>
      <c r="J7" s="28"/>
      <c r="K7" s="28"/>
      <c r="L7" s="28"/>
      <c r="M7" s="28"/>
      <c r="N7" s="28"/>
      <c r="O7" s="2"/>
    </row>
    <row r="8" spans="1:15" x14ac:dyDescent="0.25">
      <c r="A8" s="5" t="s">
        <v>15</v>
      </c>
      <c r="B8" s="2">
        <v>22</v>
      </c>
      <c r="C8" s="7" t="s">
        <v>16</v>
      </c>
      <c r="D8" s="29" t="s">
        <v>34</v>
      </c>
      <c r="E8" s="28">
        <v>11.642125860677428</v>
      </c>
      <c r="F8" s="28">
        <v>336.46068121834151</v>
      </c>
      <c r="G8" s="28">
        <v>52482.296950598764</v>
      </c>
      <c r="H8" s="28">
        <v>9784673.4747122377</v>
      </c>
      <c r="I8" s="28">
        <v>1.2859656219673188E+19</v>
      </c>
      <c r="J8" s="28"/>
      <c r="K8" s="28"/>
      <c r="L8" s="28"/>
      <c r="M8" s="28"/>
      <c r="N8" s="28"/>
      <c r="O8" s="2"/>
    </row>
    <row r="9" spans="1:15" x14ac:dyDescent="0.25">
      <c r="A9" s="2"/>
      <c r="B9" s="2"/>
      <c r="C9" s="2"/>
      <c r="D9" s="29" t="s">
        <v>35</v>
      </c>
      <c r="E9" s="28">
        <v>124819.50044793278</v>
      </c>
      <c r="F9" s="28">
        <v>386099.62478130241</v>
      </c>
      <c r="G9" s="28">
        <v>48843.986251106187</v>
      </c>
      <c r="H9" s="28">
        <v>148274.80435956389</v>
      </c>
      <c r="I9" s="28">
        <v>45880.923342076712</v>
      </c>
      <c r="J9" s="28"/>
      <c r="K9" s="28"/>
      <c r="L9" s="28"/>
      <c r="M9" s="28"/>
      <c r="N9" s="28"/>
      <c r="O9" s="2"/>
    </row>
    <row r="10" spans="1:15" x14ac:dyDescent="0.25">
      <c r="A10" s="4" t="s">
        <v>18</v>
      </c>
      <c r="B10" s="6" t="s">
        <v>19</v>
      </c>
      <c r="C10" s="6" t="s">
        <v>20</v>
      </c>
      <c r="D10" s="30" t="s">
        <v>29</v>
      </c>
      <c r="E10" s="30" t="s">
        <v>74</v>
      </c>
      <c r="F10" s="30" t="s">
        <v>75</v>
      </c>
      <c r="G10" s="30" t="s">
        <v>76</v>
      </c>
      <c r="H10" s="30" t="s">
        <v>77</v>
      </c>
      <c r="I10" s="30" t="s">
        <v>78</v>
      </c>
      <c r="J10" s="30"/>
      <c r="K10" s="30"/>
      <c r="L10" s="30"/>
      <c r="M10" s="30"/>
      <c r="N10" s="30"/>
      <c r="O10" s="6" t="s">
        <v>21</v>
      </c>
    </row>
    <row r="11" spans="1:15" x14ac:dyDescent="0.25">
      <c r="A11" s="2">
        <v>1</v>
      </c>
      <c r="B11" s="2">
        <v>5</v>
      </c>
      <c r="C11" s="2">
        <v>32</v>
      </c>
      <c r="D11" s="2">
        <v>2.4104763894186999E-3</v>
      </c>
      <c r="E11" s="2">
        <v>2.1782884899653869E-3</v>
      </c>
      <c r="F11" s="2">
        <v>2.3205094801885206E-4</v>
      </c>
      <c r="G11" s="2">
        <v>1.3538829805376832E-7</v>
      </c>
      <c r="H11" s="2">
        <v>1.5631364071924042E-9</v>
      </c>
      <c r="I11" s="2">
        <v>2.4071570406678346E-23</v>
      </c>
      <c r="J11" s="2"/>
      <c r="K11" s="2"/>
      <c r="L11" s="2"/>
      <c r="M11" s="2"/>
      <c r="N11" s="2"/>
      <c r="O11" s="2"/>
    </row>
    <row r="12" spans="1:15" x14ac:dyDescent="0.25">
      <c r="A12" s="2">
        <v>2</v>
      </c>
      <c r="B12" s="2">
        <v>10</v>
      </c>
      <c r="C12" s="2">
        <v>0</v>
      </c>
      <c r="D12" s="2">
        <v>5.0699511950063579E-3</v>
      </c>
      <c r="E12" s="2">
        <v>4.581204822145064E-3</v>
      </c>
      <c r="F12" s="2">
        <v>4.884270255792046E-4</v>
      </c>
      <c r="G12" s="2">
        <v>3.1530219392910794E-7</v>
      </c>
      <c r="H12" s="2">
        <v>4.0450881595609869E-9</v>
      </c>
      <c r="I12" s="2">
        <v>1.463918234896403E-22</v>
      </c>
      <c r="J12" s="2"/>
      <c r="K12" s="2"/>
      <c r="L12" s="2"/>
      <c r="M12" s="2"/>
      <c r="N12" s="2"/>
      <c r="O12" s="2"/>
    </row>
    <row r="13" spans="1:15" x14ac:dyDescent="0.25">
      <c r="A13" s="2">
        <v>3</v>
      </c>
      <c r="B13" s="2">
        <v>15</v>
      </c>
      <c r="C13" s="2">
        <v>8</v>
      </c>
      <c r="D13" s="2">
        <v>1.0391994250624099E-2</v>
      </c>
      <c r="E13" s="2">
        <v>9.3894294200521627E-3</v>
      </c>
      <c r="F13" s="2">
        <v>1.0018416337575818E-3</v>
      </c>
      <c r="G13" s="2">
        <v>7.1306869800410838E-7</v>
      </c>
      <c r="H13" s="2">
        <v>1.0128116350495522E-8</v>
      </c>
      <c r="I13" s="2">
        <v>8.3622035587196226E-22</v>
      </c>
      <c r="J13" s="2"/>
      <c r="K13" s="2"/>
      <c r="L13" s="2"/>
      <c r="M13" s="2"/>
      <c r="N13" s="2"/>
      <c r="O13" s="2"/>
    </row>
    <row r="14" spans="1:15" x14ac:dyDescent="0.25">
      <c r="A14" s="2">
        <v>4</v>
      </c>
      <c r="B14" s="2">
        <v>20</v>
      </c>
      <c r="C14" s="2">
        <v>0</v>
      </c>
      <c r="D14" s="2">
        <v>2.0785551557024756E-2</v>
      </c>
      <c r="E14" s="2">
        <v>1.8778768913655996E-2</v>
      </c>
      <c r="F14" s="2">
        <v>2.0051897044776586E-3</v>
      </c>
      <c r="G14" s="2">
        <v>1.5683617018164082E-6</v>
      </c>
      <c r="H14" s="2">
        <v>2.4577189288844439E-8</v>
      </c>
      <c r="I14" s="2">
        <v>4.5009934546020578E-21</v>
      </c>
      <c r="J14" s="2"/>
      <c r="K14" s="2"/>
      <c r="L14" s="2"/>
      <c r="M14" s="2"/>
      <c r="N14" s="2"/>
      <c r="O14" s="2"/>
    </row>
    <row r="15" spans="1:15" x14ac:dyDescent="0.25">
      <c r="A15" s="2">
        <v>5</v>
      </c>
      <c r="B15" s="2">
        <v>25</v>
      </c>
      <c r="C15" s="2">
        <v>15</v>
      </c>
      <c r="D15" s="2">
        <v>4.0618747627999947E-2</v>
      </c>
      <c r="E15" s="2">
        <v>3.6694262821091908E-2</v>
      </c>
      <c r="F15" s="2">
        <v>3.9210673745775056E-3</v>
      </c>
      <c r="G15" s="2">
        <v>3.3595397824384635E-6</v>
      </c>
      <c r="H15" s="2">
        <v>5.7892548094741663E-8</v>
      </c>
      <c r="I15" s="2">
        <v>2.2896999872968822E-20</v>
      </c>
      <c r="J15" s="2"/>
      <c r="K15" s="2"/>
      <c r="L15" s="2"/>
      <c r="M15" s="2"/>
      <c r="N15" s="2"/>
      <c r="O15" s="2"/>
    </row>
    <row r="16" spans="1:15" x14ac:dyDescent="0.25">
      <c r="A16" s="2">
        <v>6</v>
      </c>
      <c r="B16" s="2">
        <v>30</v>
      </c>
      <c r="C16" s="2">
        <v>0</v>
      </c>
      <c r="D16" s="2">
        <v>7.7641371311637231E-2</v>
      </c>
      <c r="E16" s="2">
        <v>7.0134489549746368E-2</v>
      </c>
      <c r="F16" s="2">
        <v>7.4997314073205435E-3</v>
      </c>
      <c r="G16" s="2">
        <v>7.0177864863694557E-6</v>
      </c>
      <c r="H16" s="2">
        <v>1.3256808393972086E-7</v>
      </c>
      <c r="I16" s="2">
        <v>1.1039374603178842E-19</v>
      </c>
      <c r="J16" s="2"/>
      <c r="K16" s="2"/>
      <c r="L16" s="2"/>
      <c r="M16" s="2"/>
      <c r="N16" s="2"/>
      <c r="O16" s="2"/>
    </row>
    <row r="17" spans="1:15" x14ac:dyDescent="0.25">
      <c r="A17" s="2">
        <v>7</v>
      </c>
      <c r="B17" s="2">
        <v>35</v>
      </c>
      <c r="C17" s="2">
        <v>59</v>
      </c>
      <c r="D17" s="2">
        <v>0.14532097133890723</v>
      </c>
      <c r="E17" s="2">
        <v>0.13126053494010878</v>
      </c>
      <c r="F17" s="2">
        <v>1.4045827624933768E-2</v>
      </c>
      <c r="G17" s="2">
        <v>1.4313259475573714E-5</v>
      </c>
      <c r="H17" s="2">
        <v>2.9551438911299135E-7</v>
      </c>
      <c r="I17" s="2">
        <v>5.057553039141678E-19</v>
      </c>
      <c r="J17" s="2"/>
      <c r="K17" s="2"/>
      <c r="L17" s="2"/>
      <c r="M17" s="2"/>
      <c r="N17" s="2"/>
      <c r="O17" s="2"/>
    </row>
    <row r="18" spans="1:15" x14ac:dyDescent="0.25">
      <c r="A18" s="2">
        <v>8</v>
      </c>
      <c r="B18" s="2">
        <v>40</v>
      </c>
      <c r="C18" s="2">
        <v>47</v>
      </c>
      <c r="D18" s="2">
        <v>0.26660503381149647</v>
      </c>
      <c r="E18" s="2">
        <v>0.24079205414468249</v>
      </c>
      <c r="F18" s="2">
        <v>2.5783801623759695E-2</v>
      </c>
      <c r="G18" s="2">
        <v>2.8535945611256009E-5</v>
      </c>
      <c r="H18" s="2">
        <v>6.4209744302866656E-7</v>
      </c>
      <c r="I18" s="2">
        <v>2.2071327481516452E-18</v>
      </c>
      <c r="J18" s="2"/>
      <c r="K18" s="2"/>
      <c r="L18" s="2"/>
      <c r="M18" s="2"/>
      <c r="N18" s="2"/>
      <c r="O18" s="2"/>
    </row>
    <row r="19" spans="1:15" x14ac:dyDescent="0.25">
      <c r="A19" s="2">
        <v>9</v>
      </c>
      <c r="B19" s="2">
        <v>45</v>
      </c>
      <c r="C19" s="2">
        <v>34</v>
      </c>
      <c r="D19" s="2">
        <v>0.47986799241536798</v>
      </c>
      <c r="E19" s="2">
        <v>0.43337496089343225</v>
      </c>
      <c r="F19" s="2">
        <v>4.6435999196031363E-2</v>
      </c>
      <c r="G19" s="2">
        <v>5.5670786986508676E-5</v>
      </c>
      <c r="H19" s="2">
        <v>1.3615389179088763E-6</v>
      </c>
      <c r="I19" s="2">
        <v>9.1961000168022241E-18</v>
      </c>
      <c r="J19" s="2"/>
      <c r="K19" s="2"/>
      <c r="L19" s="2"/>
      <c r="M19" s="2"/>
      <c r="N19" s="2"/>
      <c r="O19" s="2"/>
    </row>
    <row r="20" spans="1:15" x14ac:dyDescent="0.25">
      <c r="A20" s="2">
        <v>10</v>
      </c>
      <c r="B20" s="2">
        <v>50</v>
      </c>
      <c r="C20" s="2">
        <v>29</v>
      </c>
      <c r="D20" s="2">
        <v>0.84814606876321419</v>
      </c>
      <c r="E20" s="2">
        <v>0.76591558873375643</v>
      </c>
      <c r="F20" s="2">
        <v>8.2121274173294193E-2</v>
      </c>
      <c r="G20" s="2">
        <v>1.063851509245822E-4</v>
      </c>
      <c r="H20" s="2">
        <v>2.8207052390178135E-6</v>
      </c>
      <c r="I20" s="2">
        <v>3.666061418041178E-17</v>
      </c>
      <c r="J20" s="2"/>
      <c r="K20" s="2"/>
      <c r="L20" s="2"/>
      <c r="M20" s="2"/>
      <c r="N20" s="2"/>
      <c r="O20" s="2"/>
    </row>
    <row r="21" spans="1:15" x14ac:dyDescent="0.25">
      <c r="A21" s="2">
        <v>11</v>
      </c>
      <c r="B21" s="2">
        <v>55</v>
      </c>
      <c r="C21" s="2">
        <v>6</v>
      </c>
      <c r="D21" s="2">
        <v>1.473234642774832</v>
      </c>
      <c r="E21" s="2">
        <v>1.3303010324060087</v>
      </c>
      <c r="F21" s="2">
        <v>0.14272856906335135</v>
      </c>
      <c r="G21" s="2">
        <v>1.9932591872323004E-4</v>
      </c>
      <c r="H21" s="2">
        <v>5.7153867486369596E-6</v>
      </c>
      <c r="I21" s="2">
        <v>1.4011779741533082E-16</v>
      </c>
      <c r="J21" s="2"/>
      <c r="K21" s="2"/>
      <c r="L21" s="2"/>
      <c r="M21" s="2"/>
      <c r="N21" s="2"/>
      <c r="O21" s="2"/>
    </row>
    <row r="22" spans="1:15" x14ac:dyDescent="0.25">
      <c r="A22" s="2">
        <v>12</v>
      </c>
      <c r="B22" s="2">
        <v>60</v>
      </c>
      <c r="C22" s="2">
        <v>30</v>
      </c>
      <c r="D22" s="2">
        <v>2.5168552935541122</v>
      </c>
      <c r="E22" s="2">
        <v>2.2724942074291814</v>
      </c>
      <c r="F22" s="2">
        <v>0.24398325884715291</v>
      </c>
      <c r="G22" s="2">
        <v>3.6648950259271572E-4</v>
      </c>
      <c r="H22" s="2">
        <v>1.1337775184613521E-5</v>
      </c>
      <c r="I22" s="2">
        <v>5.1440886817735701E-16</v>
      </c>
      <c r="J22" s="2"/>
      <c r="K22" s="2"/>
      <c r="L22" s="2"/>
      <c r="M22" s="2"/>
      <c r="N22" s="2"/>
      <c r="O22" s="2"/>
    </row>
    <row r="23" spans="1:15" x14ac:dyDescent="0.25">
      <c r="A23" s="2">
        <v>13</v>
      </c>
      <c r="B23" s="2">
        <v>65</v>
      </c>
      <c r="C23" s="2">
        <v>0</v>
      </c>
      <c r="D23" s="2">
        <v>4.2319259250822032</v>
      </c>
      <c r="E23" s="2">
        <v>3.820733383994499</v>
      </c>
      <c r="F23" s="2">
        <v>0.41050868485295949</v>
      </c>
      <c r="G23" s="2">
        <v>6.618161777237903E-4</v>
      </c>
      <c r="H23" s="2">
        <v>2.2040057019143624E-5</v>
      </c>
      <c r="I23" s="2">
        <v>1.817274353538014E-15</v>
      </c>
      <c r="J23" s="2"/>
      <c r="K23" s="2"/>
      <c r="L23" s="2"/>
      <c r="M23" s="2"/>
      <c r="N23" s="2"/>
      <c r="O23" s="2"/>
    </row>
    <row r="24" spans="1:15" x14ac:dyDescent="0.25">
      <c r="A24" s="2">
        <v>14</v>
      </c>
      <c r="B24" s="2">
        <v>70</v>
      </c>
      <c r="C24" s="2">
        <v>0</v>
      </c>
      <c r="D24" s="2">
        <v>7.0080103928392035</v>
      </c>
      <c r="E24" s="2">
        <v>6.3264969212601967</v>
      </c>
      <c r="F24" s="2">
        <v>0.68029673195552953</v>
      </c>
      <c r="G24" s="2">
        <v>1.1747168418383453E-3</v>
      </c>
      <c r="H24" s="2">
        <v>4.2022781633356935E-5</v>
      </c>
      <c r="I24" s="2">
        <v>6.1881323014426951E-15</v>
      </c>
      <c r="J24" s="2"/>
      <c r="K24" s="2"/>
      <c r="L24" s="2"/>
      <c r="M24" s="2"/>
      <c r="N24" s="2"/>
      <c r="O24" s="2"/>
    </row>
    <row r="25" spans="1:15" x14ac:dyDescent="0.25">
      <c r="A25" s="2">
        <v>15</v>
      </c>
      <c r="B25" s="2">
        <v>75</v>
      </c>
      <c r="C25" s="2">
        <v>0</v>
      </c>
      <c r="D25" s="2">
        <v>11.436273936453969</v>
      </c>
      <c r="E25" s="2">
        <v>10.322998417884795</v>
      </c>
      <c r="F25" s="2">
        <v>1.1111458408047721</v>
      </c>
      <c r="G25" s="2">
        <v>2.0510263470555406E-3</v>
      </c>
      <c r="H25" s="2">
        <v>7.8651417325691314E-5</v>
      </c>
      <c r="I25" s="2">
        <v>2.0342949359193952E-14</v>
      </c>
      <c r="J25" s="2"/>
      <c r="K25" s="2"/>
      <c r="L25" s="2"/>
      <c r="M25" s="2"/>
      <c r="N25" s="2"/>
      <c r="O25" s="2"/>
    </row>
    <row r="26" spans="1:15" x14ac:dyDescent="0.25">
      <c r="A26" s="2">
        <v>16</v>
      </c>
      <c r="B26" s="2">
        <v>80</v>
      </c>
      <c r="C26" s="2">
        <v>0</v>
      </c>
      <c r="D26" s="2">
        <v>18.40063735274606</v>
      </c>
      <c r="E26" s="2">
        <v>16.607158193169148</v>
      </c>
      <c r="F26" s="2">
        <v>1.78980957181744</v>
      </c>
      <c r="G26" s="2">
        <v>3.5249705690009818E-3</v>
      </c>
      <c r="H26" s="2">
        <v>1.4461719040688561E-4</v>
      </c>
      <c r="I26" s="2">
        <v>6.4659553170972649E-14</v>
      </c>
      <c r="J26" s="2"/>
      <c r="K26" s="2"/>
      <c r="L26" s="2"/>
      <c r="M26" s="2"/>
      <c r="N26" s="2"/>
      <c r="O26" s="2"/>
    </row>
    <row r="27" spans="1:15" x14ac:dyDescent="0.25">
      <c r="A27" s="2">
        <v>17</v>
      </c>
      <c r="B27" s="2">
        <v>85</v>
      </c>
      <c r="C27" s="2">
        <v>0</v>
      </c>
      <c r="D27" s="2">
        <v>29.203040147736093</v>
      </c>
      <c r="E27" s="2">
        <v>26.351980175420504</v>
      </c>
      <c r="F27" s="2">
        <v>2.844831314631874</v>
      </c>
      <c r="G27" s="2">
        <v>5.9672323096113923E-3</v>
      </c>
      <c r="H27" s="2">
        <v>2.6142537390384519E-4</v>
      </c>
      <c r="I27" s="2">
        <v>1.9898892142311493E-13</v>
      </c>
      <c r="J27" s="2"/>
      <c r="K27" s="2"/>
      <c r="L27" s="2"/>
      <c r="M27" s="2"/>
      <c r="N27" s="2"/>
      <c r="O27" s="2"/>
    </row>
    <row r="28" spans="1:15" x14ac:dyDescent="0.25">
      <c r="A28" s="2">
        <v>18</v>
      </c>
      <c r="B28" s="2">
        <v>90</v>
      </c>
      <c r="C28" s="2">
        <v>47</v>
      </c>
      <c r="D28" s="2">
        <v>45.731165673600835</v>
      </c>
      <c r="E28" s="2">
        <v>41.25641605821059</v>
      </c>
      <c r="F28" s="2">
        <v>4.464328451840295</v>
      </c>
      <c r="G28" s="2">
        <v>9.9562255231696786E-3</v>
      </c>
      <c r="H28" s="2">
        <v>4.6493802618500829E-4</v>
      </c>
      <c r="I28" s="2">
        <v>5.9372005767013467E-13</v>
      </c>
      <c r="J28" s="2"/>
      <c r="K28" s="2"/>
      <c r="L28" s="2"/>
      <c r="M28" s="2"/>
      <c r="N28" s="2"/>
      <c r="O28" s="2"/>
    </row>
    <row r="29" spans="1:15" x14ac:dyDescent="0.25">
      <c r="A29" s="2">
        <v>19</v>
      </c>
      <c r="B29" s="2">
        <v>95</v>
      </c>
      <c r="C29" s="2">
        <v>56</v>
      </c>
      <c r="D29" s="2">
        <v>70.675333025376403</v>
      </c>
      <c r="E29" s="2">
        <v>63.737798073599969</v>
      </c>
      <c r="F29" s="2">
        <v>6.920338516279446</v>
      </c>
      <c r="G29" s="2">
        <v>1.6382386778513766E-2</v>
      </c>
      <c r="H29" s="2">
        <v>8.1404871674322981E-4</v>
      </c>
      <c r="I29" s="2">
        <v>1.7196454238880518E-12</v>
      </c>
      <c r="J29" s="2"/>
      <c r="K29" s="2"/>
      <c r="L29" s="2"/>
      <c r="M29" s="2"/>
      <c r="N29" s="2"/>
      <c r="O29" s="2"/>
    </row>
    <row r="30" spans="1:15" x14ac:dyDescent="0.25">
      <c r="A30" s="2">
        <v>20</v>
      </c>
      <c r="B30" s="2">
        <v>100</v>
      </c>
      <c r="C30" s="2">
        <v>98</v>
      </c>
      <c r="D30" s="2">
        <v>107.79495591654555</v>
      </c>
      <c r="E30" s="2">
        <v>97.165199443962891</v>
      </c>
      <c r="F30" s="2">
        <v>10.60175356302193</v>
      </c>
      <c r="G30" s="2">
        <v>2.6598846066228192E-2</v>
      </c>
      <c r="H30" s="2">
        <v>1.4040634896620055E-3</v>
      </c>
      <c r="I30" s="2">
        <v>4.8408189826136658E-12</v>
      </c>
      <c r="J30" s="2"/>
      <c r="K30" s="2"/>
      <c r="L30" s="2"/>
      <c r="M30" s="2"/>
      <c r="N30" s="2"/>
      <c r="O30" s="2"/>
    </row>
    <row r="31" spans="1:15" x14ac:dyDescent="0.25">
      <c r="A31" s="2">
        <v>21</v>
      </c>
      <c r="B31" s="2">
        <v>105</v>
      </c>
      <c r="C31" s="2">
        <v>199</v>
      </c>
      <c r="D31" s="2">
        <v>162.21936755761251</v>
      </c>
      <c r="E31" s="2">
        <v>146.1160012360055</v>
      </c>
      <c r="F31" s="2">
        <v>16.058342807639114</v>
      </c>
      <c r="G31" s="2">
        <v>4.2636457450237593E-2</v>
      </c>
      <c r="H31" s="2">
        <v>2.3870565043659251E-3</v>
      </c>
      <c r="I31" s="2">
        <v>1.3259052516874352E-11</v>
      </c>
      <c r="J31" s="2"/>
      <c r="K31" s="2"/>
      <c r="L31" s="2"/>
      <c r="M31" s="2"/>
      <c r="N31" s="2"/>
      <c r="O31" s="2"/>
    </row>
    <row r="32" spans="1:15" x14ac:dyDescent="0.25">
      <c r="A32" s="2">
        <v>22</v>
      </c>
      <c r="B32" s="2">
        <v>110</v>
      </c>
      <c r="C32" s="2">
        <v>192</v>
      </c>
      <c r="D32" s="2">
        <v>240.73526319540619</v>
      </c>
      <c r="E32" s="2">
        <v>216.60487459676463</v>
      </c>
      <c r="F32" s="2">
        <v>24.058879073485233</v>
      </c>
      <c r="G32" s="2">
        <v>6.7507098908910976E-2</v>
      </c>
      <c r="H32" s="2">
        <v>4.002426212012326E-3</v>
      </c>
      <c r="I32" s="2">
        <v>3.5374082955885735E-11</v>
      </c>
      <c r="J32" s="2"/>
      <c r="K32" s="2"/>
      <c r="L32" s="2"/>
      <c r="M32" s="2"/>
      <c r="N32" s="2"/>
      <c r="O32" s="2"/>
    </row>
    <row r="33" spans="1:19" x14ac:dyDescent="0.25">
      <c r="A33" s="2">
        <v>23</v>
      </c>
      <c r="B33" s="2">
        <v>115</v>
      </c>
      <c r="C33" s="2">
        <v>326</v>
      </c>
      <c r="D33" s="2">
        <v>351.95263277450289</v>
      </c>
      <c r="E33" s="2">
        <v>316.17348694266707</v>
      </c>
      <c r="F33" s="2">
        <v>35.66689698230855</v>
      </c>
      <c r="G33" s="2">
        <v>0.10562666769624111</v>
      </c>
      <c r="H33" s="2">
        <v>6.6221817389566532E-3</v>
      </c>
      <c r="I33" s="2">
        <v>9.2019167813463489E-11</v>
      </c>
      <c r="J33" s="2"/>
      <c r="K33" s="2"/>
      <c r="L33" s="2"/>
      <c r="M33" s="2"/>
      <c r="N33" s="2"/>
      <c r="O33" s="2"/>
    </row>
    <row r="34" spans="1:19" x14ac:dyDescent="0.25">
      <c r="A34" s="2">
        <v>24</v>
      </c>
      <c r="B34" s="2">
        <v>120</v>
      </c>
      <c r="C34" s="2">
        <v>507</v>
      </c>
      <c r="D34" s="2">
        <v>506.14164386808824</v>
      </c>
      <c r="E34" s="2">
        <v>453.62939946207047</v>
      </c>
      <c r="F34" s="2">
        <v>52.338028555943204</v>
      </c>
      <c r="G34" s="2">
        <v>0.16339860664926395</v>
      </c>
      <c r="H34" s="2">
        <v>1.0817243191678051E-2</v>
      </c>
      <c r="I34" s="2">
        <v>2.336203839412594E-10</v>
      </c>
      <c r="J34" s="2"/>
      <c r="K34" s="2"/>
      <c r="L34" s="2"/>
      <c r="M34" s="2"/>
      <c r="N34" s="2"/>
      <c r="O34" s="2"/>
    </row>
    <row r="35" spans="1:19" x14ac:dyDescent="0.25">
      <c r="A35" s="2">
        <v>25</v>
      </c>
      <c r="B35" s="2">
        <v>125</v>
      </c>
      <c r="C35" s="2">
        <v>707</v>
      </c>
      <c r="D35" s="2">
        <v>714.39461640951481</v>
      </c>
      <c r="E35" s="2">
        <v>638.0841399344398</v>
      </c>
      <c r="F35" s="2">
        <v>76.043012688923824</v>
      </c>
      <c r="G35" s="2">
        <v>0.25001041367752203</v>
      </c>
      <c r="H35" s="2">
        <v>1.7453371894338942E-2</v>
      </c>
      <c r="I35" s="2">
        <v>5.7940248231004814E-10</v>
      </c>
      <c r="J35" s="2"/>
      <c r="K35" s="2"/>
      <c r="L35" s="2"/>
      <c r="M35" s="2"/>
      <c r="N35" s="2"/>
      <c r="O35" s="2"/>
      <c r="S35" t="e">
        <f>#REF!-#REF!</f>
        <v>#REF!</v>
      </c>
    </row>
    <row r="36" spans="1:19" x14ac:dyDescent="0.25">
      <c r="A36" s="2">
        <v>26</v>
      </c>
      <c r="B36" s="2">
        <v>130</v>
      </c>
      <c r="C36" s="2">
        <v>953</v>
      </c>
      <c r="D36" s="2">
        <v>986.63117418193428</v>
      </c>
      <c r="E36" s="2">
        <v>876.80478460500638</v>
      </c>
      <c r="F36" s="2">
        <v>109.42005145383132</v>
      </c>
      <c r="G36" s="2">
        <v>0.37850970866083927</v>
      </c>
      <c r="H36" s="2">
        <v>2.7828413030710295E-2</v>
      </c>
      <c r="I36" s="2">
        <v>1.4049642825811581E-9</v>
      </c>
      <c r="J36" s="2"/>
      <c r="K36" s="2"/>
      <c r="L36" s="2"/>
      <c r="M36" s="2"/>
      <c r="N36" s="2"/>
      <c r="O36" s="2"/>
      <c r="S36" t="e">
        <f>#REF!-#REF!</f>
        <v>#REF!</v>
      </c>
    </row>
    <row r="37" spans="1:19" x14ac:dyDescent="0.25">
      <c r="A37" s="2">
        <v>27</v>
      </c>
      <c r="B37" s="2">
        <v>135</v>
      </c>
      <c r="C37" s="2">
        <v>1349</v>
      </c>
      <c r="D37" s="2">
        <v>1327.9677032189036</v>
      </c>
      <c r="E37" s="2">
        <v>1171.3979311063642</v>
      </c>
      <c r="F37" s="2">
        <v>155.9586623056193</v>
      </c>
      <c r="G37" s="2">
        <v>0.56724328224726595</v>
      </c>
      <c r="H37" s="2">
        <v>4.38665213389971E-2</v>
      </c>
      <c r="I37" s="2">
        <v>3.3336893573463818E-9</v>
      </c>
      <c r="J37" s="2"/>
      <c r="K37" s="2"/>
      <c r="L37" s="2"/>
      <c r="M37" s="2"/>
      <c r="N37" s="2"/>
      <c r="O37" s="2"/>
      <c r="S37" t="e">
        <f>#REF!-#REF!</f>
        <v>#REF!</v>
      </c>
    </row>
    <row r="38" spans="1:19" x14ac:dyDescent="0.25">
      <c r="A38" s="2">
        <v>28</v>
      </c>
      <c r="B38" s="2">
        <v>140</v>
      </c>
      <c r="C38" s="2">
        <v>1774</v>
      </c>
      <c r="D38" s="2">
        <v>1733.4032729687742</v>
      </c>
      <c r="E38" s="2">
        <v>1512.2794367717488</v>
      </c>
      <c r="F38" s="2">
        <v>220.21368383957835</v>
      </c>
      <c r="G38" s="2">
        <v>0.84176217647742291</v>
      </c>
      <c r="H38" s="2">
        <v>6.8390173223199902E-2</v>
      </c>
      <c r="I38" s="2">
        <v>7.746438505718845E-9</v>
      </c>
      <c r="J38" s="2"/>
      <c r="K38" s="2"/>
      <c r="L38" s="2"/>
      <c r="M38" s="2"/>
      <c r="N38" s="2"/>
      <c r="O38" s="2"/>
      <c r="S38" t="e">
        <f>#REF!-#REF!</f>
        <v>#REF!</v>
      </c>
    </row>
    <row r="39" spans="1:19" x14ac:dyDescent="0.25">
      <c r="A39" s="2">
        <v>29</v>
      </c>
      <c r="B39" s="2">
        <v>145</v>
      </c>
      <c r="C39" s="2">
        <v>2179</v>
      </c>
      <c r="D39" s="2">
        <v>2182.0179502837209</v>
      </c>
      <c r="E39" s="2">
        <v>1872.6338742071075</v>
      </c>
      <c r="F39" s="2">
        <v>308.04126081228753</v>
      </c>
      <c r="G39" s="2">
        <v>1.2373179394950846</v>
      </c>
      <c r="H39" s="2">
        <v>0.10549730718997635</v>
      </c>
      <c r="I39" s="2">
        <v>1.7640949432356876E-8</v>
      </c>
      <c r="J39" s="2"/>
      <c r="K39" s="2"/>
      <c r="L39" s="2"/>
      <c r="M39" s="2"/>
      <c r="N39" s="2"/>
      <c r="O39" s="2"/>
      <c r="S39" t="e">
        <f>#REF!-#REF!</f>
        <v>#REF!</v>
      </c>
    </row>
    <row r="40" spans="1:19" x14ac:dyDescent="0.25">
      <c r="A40" s="2">
        <v>30</v>
      </c>
      <c r="B40" s="2">
        <v>150</v>
      </c>
      <c r="C40" s="2">
        <v>2634</v>
      </c>
      <c r="D40" s="2">
        <v>2634.00432432152</v>
      </c>
      <c r="E40" s="2">
        <v>2205.2047565308981</v>
      </c>
      <c r="F40" s="2">
        <v>426.83638978464433</v>
      </c>
      <c r="G40" s="2">
        <v>1.8020987856252735</v>
      </c>
      <c r="H40" s="2">
        <v>0.16107918095242069</v>
      </c>
      <c r="I40" s="2">
        <v>3.9399905962610429E-8</v>
      </c>
      <c r="J40" s="2"/>
      <c r="K40" s="2"/>
      <c r="L40" s="2"/>
      <c r="M40" s="2"/>
      <c r="N40" s="2"/>
      <c r="O40" s="2"/>
      <c r="S40" t="e">
        <f>#REF!-#REF!</f>
        <v>#REF!</v>
      </c>
    </row>
    <row r="41" spans="1:19" x14ac:dyDescent="0.25">
      <c r="A41" s="2">
        <v>31</v>
      </c>
      <c r="B41" s="2">
        <v>155</v>
      </c>
      <c r="C41" s="2">
        <v>3111</v>
      </c>
      <c r="D41" s="2">
        <v>3035.709550145616</v>
      </c>
      <c r="E41" s="2">
        <v>2447.1336269650642</v>
      </c>
      <c r="F41" s="2">
        <v>585.73102093078717</v>
      </c>
      <c r="G41" s="2">
        <v>2.6013773321152383</v>
      </c>
      <c r="H41" s="2">
        <v>0.24352483128836891</v>
      </c>
      <c r="I41" s="2">
        <v>8.6361005843468189E-8</v>
      </c>
      <c r="J41" s="2"/>
      <c r="K41" s="2"/>
      <c r="L41" s="2"/>
      <c r="M41" s="2"/>
      <c r="N41" s="2"/>
      <c r="O41" s="2"/>
    </row>
    <row r="42" spans="1:19" x14ac:dyDescent="0.25">
      <c r="A42" s="2">
        <v>32</v>
      </c>
      <c r="B42" s="2">
        <v>160</v>
      </c>
      <c r="C42" s="2">
        <v>3336</v>
      </c>
      <c r="D42" s="2">
        <v>3336.502800037988</v>
      </c>
      <c r="E42" s="2">
        <v>2536.7363266053003</v>
      </c>
      <c r="F42" s="2">
        <v>795.67904277742809</v>
      </c>
      <c r="G42" s="2">
        <v>3.7227597151548339</v>
      </c>
      <c r="H42" s="2">
        <v>0.36467075420782885</v>
      </c>
      <c r="I42" s="2">
        <v>1.8589672330901762E-7</v>
      </c>
      <c r="J42" s="2"/>
      <c r="K42" s="2"/>
      <c r="L42" s="2"/>
      <c r="M42" s="2"/>
      <c r="N42" s="2"/>
      <c r="O42" s="2"/>
    </row>
    <row r="43" spans="1:19" x14ac:dyDescent="0.25">
      <c r="A43" s="2">
        <v>33</v>
      </c>
      <c r="B43" s="2">
        <v>165</v>
      </c>
      <c r="C43" s="2">
        <v>3391</v>
      </c>
      <c r="D43" s="2">
        <v>3513.9833236955947</v>
      </c>
      <c r="E43" s="2">
        <v>2438.8537282880916</v>
      </c>
      <c r="F43" s="2">
        <v>1069.30579330655</v>
      </c>
      <c r="G43" s="2">
        <v>5.2827317057389349</v>
      </c>
      <c r="H43" s="2">
        <v>0.54107000200223432</v>
      </c>
      <c r="I43" s="2">
        <v>3.9321193345120766E-7</v>
      </c>
      <c r="J43" s="2"/>
      <c r="K43" s="2"/>
      <c r="L43" s="2"/>
      <c r="M43" s="2"/>
      <c r="N43" s="2"/>
      <c r="O43" s="2"/>
    </row>
    <row r="44" spans="1:19" x14ac:dyDescent="0.25">
      <c r="A44" s="2">
        <v>34</v>
      </c>
      <c r="B44" s="2">
        <v>170</v>
      </c>
      <c r="C44" s="2">
        <v>3654</v>
      </c>
      <c r="D44" s="2">
        <v>3593.8028237385779</v>
      </c>
      <c r="E44" s="2">
        <v>2165.2396228022949</v>
      </c>
      <c r="F44" s="2">
        <v>1420.3328483099529</v>
      </c>
      <c r="G44" s="2">
        <v>7.4346780593123718</v>
      </c>
      <c r="H44" s="2">
        <v>0.79567374923178913</v>
      </c>
      <c r="I44" s="2">
        <v>8.1778619452136744E-7</v>
      </c>
      <c r="J44" s="2"/>
      <c r="K44" s="2"/>
      <c r="L44" s="2"/>
      <c r="M44" s="2"/>
      <c r="N44" s="2"/>
      <c r="O44" s="2"/>
    </row>
    <row r="45" spans="1:19" x14ac:dyDescent="0.25">
      <c r="A45" s="2">
        <v>35</v>
      </c>
      <c r="B45" s="2">
        <v>175</v>
      </c>
      <c r="C45" s="2">
        <v>3676</v>
      </c>
      <c r="D45" s="2">
        <v>3647.9837803158939</v>
      </c>
      <c r="E45" s="2">
        <v>1774.1375180085797</v>
      </c>
      <c r="F45" s="2">
        <v>1862.3077342387851</v>
      </c>
      <c r="G45" s="2">
        <v>10.37848547072177</v>
      </c>
      <c r="H45" s="2">
        <v>1.1600409245730756</v>
      </c>
      <c r="I45" s="2">
        <v>1.6732341869586283E-6</v>
      </c>
      <c r="J45" s="2"/>
      <c r="K45" s="2"/>
      <c r="L45" s="2"/>
      <c r="M45" s="2"/>
      <c r="N45" s="2"/>
      <c r="O45" s="2"/>
    </row>
    <row r="46" spans="1:19" x14ac:dyDescent="0.25">
      <c r="A46" s="2">
        <v>36</v>
      </c>
      <c r="B46" s="2">
        <v>180</v>
      </c>
      <c r="C46" s="2">
        <v>3765</v>
      </c>
      <c r="D46" s="2">
        <v>3768.6057642912524</v>
      </c>
      <c r="E46" s="2">
        <v>1346.2651116507393</v>
      </c>
      <c r="F46" s="2">
        <v>2406.2917377875883</v>
      </c>
      <c r="G46" s="2">
        <v>14.371693401980497</v>
      </c>
      <c r="H46" s="2">
        <v>1.6772180810792987</v>
      </c>
      <c r="I46" s="2">
        <v>3.3698645647575921E-6</v>
      </c>
      <c r="J46" s="2"/>
      <c r="K46" s="2"/>
      <c r="L46" s="2"/>
      <c r="M46" s="2"/>
      <c r="N46" s="2"/>
      <c r="O46" s="2"/>
    </row>
    <row r="47" spans="1:19" x14ac:dyDescent="0.25">
      <c r="A47" s="2">
        <v>37</v>
      </c>
      <c r="B47" s="2">
        <v>185</v>
      </c>
      <c r="C47" s="2">
        <v>4032</v>
      </c>
      <c r="D47" s="2">
        <v>4032.0144984554399</v>
      </c>
      <c r="E47" s="2">
        <v>952.73218323845572</v>
      </c>
      <c r="F47" s="2">
        <v>3057.1349667181098</v>
      </c>
      <c r="G47" s="2">
        <v>19.741879356896781</v>
      </c>
      <c r="H47" s="2">
        <v>2.4054624580530657</v>
      </c>
      <c r="I47" s="2">
        <v>6.6839249777771527E-6</v>
      </c>
      <c r="J47" s="2"/>
      <c r="K47" s="2"/>
      <c r="L47" s="2"/>
      <c r="M47" s="2"/>
      <c r="N47" s="2"/>
      <c r="O47" s="2"/>
    </row>
    <row r="48" spans="1:19" x14ac:dyDescent="0.25">
      <c r="A48" s="2">
        <v>38</v>
      </c>
      <c r="B48" s="2">
        <v>190</v>
      </c>
      <c r="C48" s="2">
        <v>4615</v>
      </c>
      <c r="D48" s="2">
        <v>4473.1740680496905</v>
      </c>
      <c r="E48" s="2">
        <v>634.76054343599969</v>
      </c>
      <c r="F48" s="2">
        <v>3808.0910136287816</v>
      </c>
      <c r="G48" s="2">
        <v>26.899481902104476</v>
      </c>
      <c r="H48" s="2">
        <v>3.4230160202224265</v>
      </c>
      <c r="I48" s="2">
        <v>1.3062581925873253E-5</v>
      </c>
      <c r="J48" s="2"/>
      <c r="K48" s="2"/>
      <c r="L48" s="2"/>
      <c r="M48" s="2"/>
      <c r="N48" s="2"/>
      <c r="O48" s="2"/>
    </row>
    <row r="49" spans="1:15" x14ac:dyDescent="0.25">
      <c r="A49" s="2">
        <v>39</v>
      </c>
      <c r="B49" s="2">
        <v>195</v>
      </c>
      <c r="C49" s="2">
        <v>5299</v>
      </c>
      <c r="D49" s="2">
        <v>5077.5269681084992</v>
      </c>
      <c r="E49" s="2">
        <v>402.39668804581555</v>
      </c>
      <c r="F49" s="2">
        <v>4633.9466014052687</v>
      </c>
      <c r="G49" s="2">
        <v>36.349477091184085</v>
      </c>
      <c r="H49" s="2">
        <v>4.8341764004402688</v>
      </c>
      <c r="I49" s="2">
        <v>2.516579096698227E-5</v>
      </c>
      <c r="J49" s="2"/>
      <c r="K49" s="2"/>
      <c r="L49" s="2"/>
      <c r="M49" s="2"/>
      <c r="N49" s="2"/>
      <c r="O49" s="2"/>
    </row>
    <row r="50" spans="1:15" x14ac:dyDescent="0.25">
      <c r="A50" s="2">
        <v>40</v>
      </c>
      <c r="B50" s="2">
        <v>200</v>
      </c>
      <c r="C50" s="2">
        <v>5682</v>
      </c>
      <c r="D50" s="2">
        <v>5784.5316347207745</v>
      </c>
      <c r="E50" s="2">
        <v>245.306539787704</v>
      </c>
      <c r="F50" s="2">
        <v>5483.7489810951392</v>
      </c>
      <c r="G50" s="2">
        <v>48.699115659752174</v>
      </c>
      <c r="H50" s="2">
        <v>6.7769503621721814</v>
      </c>
      <c r="I50" s="2">
        <v>4.7816006076482E-5</v>
      </c>
      <c r="J50" s="2"/>
      <c r="K50" s="2"/>
      <c r="L50" s="2"/>
      <c r="M50" s="2"/>
      <c r="N50" s="2"/>
      <c r="O50" s="2"/>
    </row>
    <row r="51" spans="1:15" x14ac:dyDescent="0.25">
      <c r="A51" s="2">
        <v>41</v>
      </c>
      <c r="B51" s="2">
        <v>205</v>
      </c>
      <c r="C51" s="2">
        <v>6437</v>
      </c>
      <c r="D51" s="2">
        <v>6495.0091808597363</v>
      </c>
      <c r="E51" s="2">
        <v>145.21642369712436</v>
      </c>
      <c r="F51" s="2">
        <v>6275.7028591363305</v>
      </c>
      <c r="G51" s="2">
        <v>64.657195191795694</v>
      </c>
      <c r="H51" s="2">
        <v>9.4326131936331699</v>
      </c>
      <c r="I51" s="2">
        <v>8.9640853265587474E-5</v>
      </c>
      <c r="J51" s="2"/>
      <c r="K51" s="2"/>
      <c r="L51" s="2"/>
      <c r="M51" s="2"/>
      <c r="N51" s="2"/>
      <c r="O51" s="2"/>
    </row>
    <row r="52" spans="1:15" x14ac:dyDescent="0.25">
      <c r="A52" s="2">
        <v>42</v>
      </c>
      <c r="B52" s="2">
        <v>210</v>
      </c>
      <c r="C52" s="2">
        <v>7182</v>
      </c>
      <c r="D52" s="2">
        <v>7080.8573096151022</v>
      </c>
      <c r="E52" s="2">
        <v>84.188629752627463</v>
      </c>
      <c r="F52" s="2">
        <v>6898.6129223021944</v>
      </c>
      <c r="G52" s="2">
        <v>85.018064505113529</v>
      </c>
      <c r="H52" s="2">
        <v>13.037527176845582</v>
      </c>
      <c r="I52" s="2">
        <v>1.6587832238774671E-4</v>
      </c>
      <c r="J52" s="2"/>
      <c r="K52" s="2"/>
      <c r="L52" s="2"/>
      <c r="M52" s="2"/>
      <c r="N52" s="2"/>
      <c r="O52" s="2"/>
    </row>
    <row r="53" spans="1:15" x14ac:dyDescent="0.25">
      <c r="A53" s="2">
        <v>43</v>
      </c>
      <c r="B53" s="2">
        <v>215</v>
      </c>
      <c r="C53" s="2">
        <v>7197</v>
      </c>
      <c r="D53" s="2">
        <v>7401.9837010127294</v>
      </c>
      <c r="E53" s="2">
        <v>48.136374382566103</v>
      </c>
      <c r="F53" s="2">
        <v>7225.3284902954074</v>
      </c>
      <c r="G53" s="2">
        <v>110.62094975880264</v>
      </c>
      <c r="H53" s="2">
        <v>17.897583467648747</v>
      </c>
      <c r="I53" s="2">
        <v>3.0310830542668721E-4</v>
      </c>
      <c r="J53" s="2"/>
      <c r="K53" s="2"/>
      <c r="L53" s="2"/>
      <c r="M53" s="2"/>
      <c r="N53" s="2"/>
      <c r="O53" s="2"/>
    </row>
    <row r="54" spans="1:15" x14ac:dyDescent="0.25">
      <c r="A54" s="2">
        <v>44</v>
      </c>
      <c r="B54" s="2">
        <v>220</v>
      </c>
      <c r="C54" s="2">
        <v>7425</v>
      </c>
      <c r="D54" s="2">
        <v>7335.9465620350084</v>
      </c>
      <c r="E54" s="2">
        <v>27.29740077106921</v>
      </c>
      <c r="F54" s="2">
        <v>7141.9700633341026</v>
      </c>
      <c r="G54" s="2">
        <v>142.2729435302831</v>
      </c>
      <c r="H54" s="2">
        <v>24.405607261241752</v>
      </c>
      <c r="I54" s="2">
        <v>5.4713831126693472E-4</v>
      </c>
      <c r="J54" s="2"/>
      <c r="K54" s="2"/>
      <c r="L54" s="2"/>
      <c r="M54" s="2"/>
      <c r="N54" s="2"/>
      <c r="O54" s="2"/>
    </row>
    <row r="55" spans="1:15" x14ac:dyDescent="0.25">
      <c r="A55" s="2">
        <v>45</v>
      </c>
      <c r="B55" s="2">
        <v>225</v>
      </c>
      <c r="C55" s="2">
        <v>6803</v>
      </c>
      <c r="D55" s="2">
        <v>6819.1303131871655</v>
      </c>
      <c r="E55" s="2">
        <v>15.420811282961912</v>
      </c>
      <c r="F55" s="2">
        <v>6590.0229428239909</v>
      </c>
      <c r="G55" s="2">
        <v>180.62360418969439</v>
      </c>
      <c r="H55" s="2">
        <v>33.061978896069562</v>
      </c>
      <c r="I55" s="2">
        <v>9.7599444827607522E-4</v>
      </c>
      <c r="J55" s="2"/>
      <c r="K55" s="2"/>
      <c r="L55" s="2"/>
      <c r="M55" s="2"/>
      <c r="N55" s="2"/>
      <c r="O55" s="2"/>
    </row>
    <row r="56" spans="1:15" x14ac:dyDescent="0.25">
      <c r="A56" s="2">
        <v>46</v>
      </c>
      <c r="B56" s="2">
        <v>230</v>
      </c>
      <c r="C56" s="2">
        <v>5886</v>
      </c>
      <c r="D56" s="2">
        <v>5886.0046750342453</v>
      </c>
      <c r="E56" s="2">
        <v>8.7074780442268462</v>
      </c>
      <c r="F56" s="2">
        <v>5606.8138040519489</v>
      </c>
      <c r="G56" s="2">
        <v>225.98313998894307</v>
      </c>
      <c r="H56" s="2">
        <v>44.498531865458141</v>
      </c>
      <c r="I56" s="2">
        <v>1.7210836683972631E-3</v>
      </c>
      <c r="J56" s="2"/>
      <c r="K56" s="2"/>
      <c r="L56" s="2"/>
      <c r="M56" s="2"/>
      <c r="N56" s="2"/>
      <c r="O56" s="2"/>
    </row>
    <row r="57" spans="1:15" x14ac:dyDescent="0.25">
      <c r="A57" s="2">
        <v>47</v>
      </c>
      <c r="B57" s="2">
        <v>235</v>
      </c>
      <c r="C57" s="2">
        <v>4757</v>
      </c>
      <c r="D57" s="2">
        <v>4682.1924992024906</v>
      </c>
      <c r="E57" s="2">
        <v>4.9269219390053998</v>
      </c>
      <c r="F57" s="2">
        <v>4339.6690866104063</v>
      </c>
      <c r="G57" s="2">
        <v>278.08805905243332</v>
      </c>
      <c r="H57" s="2">
        <v>59.505430307203142</v>
      </c>
      <c r="I57" s="2">
        <v>3.0012934427056347E-3</v>
      </c>
      <c r="J57" s="2"/>
      <c r="K57" s="2"/>
      <c r="L57" s="2"/>
      <c r="M57" s="2"/>
      <c r="N57" s="2"/>
      <c r="O57" s="2"/>
    </row>
    <row r="58" spans="1:15" x14ac:dyDescent="0.25">
      <c r="A58" s="2">
        <v>48</v>
      </c>
      <c r="B58" s="2">
        <v>240</v>
      </c>
      <c r="C58" s="2">
        <v>3430</v>
      </c>
      <c r="D58" s="2">
        <v>3430.1751220828778</v>
      </c>
      <c r="E58" s="2">
        <v>2.7987929177934823</v>
      </c>
      <c r="F58" s="2">
        <v>3012.4700536947644</v>
      </c>
      <c r="G58" s="2">
        <v>335.84098447128434</v>
      </c>
      <c r="H58" s="2">
        <v>79.060113638286523</v>
      </c>
      <c r="I58" s="2">
        <v>5.1773607491587322E-3</v>
      </c>
      <c r="J58" s="2"/>
      <c r="K58" s="2"/>
      <c r="L58" s="2"/>
      <c r="M58" s="2"/>
      <c r="N58" s="2"/>
      <c r="O58" s="2"/>
    </row>
    <row r="59" spans="1:15" x14ac:dyDescent="0.25">
      <c r="A59" s="2">
        <v>49</v>
      </c>
      <c r="B59" s="2">
        <v>245</v>
      </c>
      <c r="C59" s="2">
        <v>2345</v>
      </c>
      <c r="D59" s="2">
        <v>2351.6273044890668</v>
      </c>
      <c r="E59" s="2">
        <v>1.598345668788582</v>
      </c>
      <c r="F59" s="2">
        <v>1848.5792288621485</v>
      </c>
      <c r="G59" s="2">
        <v>397.08449170197508</v>
      </c>
      <c r="H59" s="2">
        <v>104.35640058116049</v>
      </c>
      <c r="I59" s="2">
        <v>8.8376749940744341E-3</v>
      </c>
      <c r="J59" s="2"/>
      <c r="K59" s="2"/>
      <c r="L59" s="2"/>
      <c r="M59" s="2"/>
      <c r="N59" s="2"/>
      <c r="O59" s="2"/>
    </row>
    <row r="60" spans="1:15" x14ac:dyDescent="0.25">
      <c r="A60" s="2">
        <v>50</v>
      </c>
      <c r="B60" s="2">
        <v>250</v>
      </c>
      <c r="C60" s="2">
        <v>1637</v>
      </c>
      <c r="D60" s="2">
        <v>1585.1845356066819</v>
      </c>
      <c r="E60" s="2">
        <v>0.91854418105162305</v>
      </c>
      <c r="F60" s="2">
        <v>988.9173511559917</v>
      </c>
      <c r="G60" s="2">
        <v>458.50340037805336</v>
      </c>
      <c r="H60" s="2">
        <v>136.83030754294089</v>
      </c>
      <c r="I60" s="2">
        <v>1.4932348644337299E-2</v>
      </c>
      <c r="J60" s="2"/>
      <c r="K60" s="2"/>
      <c r="L60" s="2"/>
      <c r="M60" s="2"/>
      <c r="N60" s="2"/>
      <c r="O60" s="2"/>
    </row>
    <row r="61" spans="1:15" x14ac:dyDescent="0.25">
      <c r="A61" s="2">
        <v>51</v>
      </c>
      <c r="B61" s="2">
        <v>255</v>
      </c>
      <c r="C61" s="2">
        <v>1077</v>
      </c>
      <c r="D61" s="2">
        <v>1149.9738732775977</v>
      </c>
      <c r="E61" s="2">
        <v>0.53156417874851458</v>
      </c>
      <c r="F61" s="2">
        <v>455.47510593605443</v>
      </c>
      <c r="G61" s="2">
        <v>515.76535658125863</v>
      </c>
      <c r="H61" s="2">
        <v>178.1768658872349</v>
      </c>
      <c r="I61" s="2">
        <v>2.4980694301035226E-2</v>
      </c>
      <c r="J61" s="2"/>
      <c r="K61" s="2"/>
      <c r="L61" s="2"/>
      <c r="M61" s="2"/>
      <c r="N61" s="2"/>
      <c r="O61" s="2"/>
    </row>
    <row r="62" spans="1:15" x14ac:dyDescent="0.25">
      <c r="A62" s="2">
        <v>52</v>
      </c>
      <c r="B62" s="2">
        <v>260</v>
      </c>
      <c r="C62" s="2">
        <v>1023</v>
      </c>
      <c r="D62" s="2">
        <v>973.47341834147312</v>
      </c>
      <c r="E62" s="2">
        <v>0.30991210916203643</v>
      </c>
      <c r="F62" s="2">
        <v>178.79502149447381</v>
      </c>
      <c r="G62" s="2">
        <v>563.97806665528321</v>
      </c>
      <c r="H62" s="2">
        <v>230.34902878399291</v>
      </c>
      <c r="I62" s="2">
        <v>4.1389298561072776E-2</v>
      </c>
      <c r="J62" s="2"/>
      <c r="K62" s="2"/>
      <c r="L62" s="2"/>
      <c r="M62" s="2"/>
      <c r="N62" s="2"/>
      <c r="O62" s="2"/>
    </row>
    <row r="63" spans="1:15" x14ac:dyDescent="0.25">
      <c r="A63" s="2">
        <v>53</v>
      </c>
      <c r="B63" s="2">
        <v>265</v>
      </c>
      <c r="C63" s="2">
        <v>907</v>
      </c>
      <c r="D63" s="2">
        <v>953.62980435560701</v>
      </c>
      <c r="E63" s="2">
        <v>0.1820863949976301</v>
      </c>
      <c r="F63" s="2">
        <v>59.407793747694562</v>
      </c>
      <c r="G63" s="2">
        <v>598.44646097589305</v>
      </c>
      <c r="H63" s="2">
        <v>295.52552802847362</v>
      </c>
      <c r="I63" s="2">
        <v>6.7935208548223935E-2</v>
      </c>
      <c r="J63" s="2"/>
      <c r="K63" s="2"/>
      <c r="L63" s="2"/>
      <c r="M63" s="2"/>
      <c r="N63" s="2"/>
      <c r="O63" s="2"/>
    </row>
    <row r="64" spans="1:15" x14ac:dyDescent="0.25">
      <c r="A64" s="2">
        <v>54</v>
      </c>
      <c r="B64" s="2">
        <v>270</v>
      </c>
      <c r="C64" s="2">
        <v>995</v>
      </c>
      <c r="D64" s="2">
        <v>1008.4812071862682</v>
      </c>
      <c r="E64" s="2">
        <v>0.10783204285180763</v>
      </c>
      <c r="F64" s="2">
        <v>16.65872435490893</v>
      </c>
      <c r="G64" s="2">
        <v>615.57476413939094</v>
      </c>
      <c r="H64" s="2">
        <v>376.02939322746408</v>
      </c>
      <c r="I64" s="2">
        <v>0.1104934216524087</v>
      </c>
      <c r="J64" s="2"/>
      <c r="K64" s="2"/>
      <c r="L64" s="2"/>
      <c r="M64" s="2"/>
      <c r="N64" s="2"/>
      <c r="O64" s="2"/>
    </row>
    <row r="65" spans="1:15" x14ac:dyDescent="0.25">
      <c r="A65" s="2">
        <v>55</v>
      </c>
      <c r="B65" s="2">
        <v>275</v>
      </c>
      <c r="C65" s="2">
        <v>1092</v>
      </c>
      <c r="D65" s="2">
        <v>1092.0081139484057</v>
      </c>
      <c r="E65" s="2">
        <v>6.4370213572956539E-2</v>
      </c>
      <c r="F65" s="2">
        <v>3.9475091532114002</v>
      </c>
      <c r="G65" s="2">
        <v>613.64470842013941</v>
      </c>
      <c r="H65" s="2">
        <v>474.17340348733813</v>
      </c>
      <c r="I65" s="2">
        <v>0.178122674143915</v>
      </c>
      <c r="J65" s="2"/>
      <c r="K65" s="2"/>
      <c r="L65" s="2"/>
      <c r="M65" s="2"/>
      <c r="N65" s="2"/>
      <c r="O65" s="2"/>
    </row>
    <row r="66" spans="1:15" x14ac:dyDescent="0.25">
      <c r="A66" s="2">
        <v>56</v>
      </c>
      <c r="B66" s="2">
        <v>280</v>
      </c>
      <c r="C66" s="2">
        <v>1267</v>
      </c>
      <c r="D66" s="2">
        <v>1186.3177097142943</v>
      </c>
      <c r="E66" s="2">
        <v>3.8734214512612448E-2</v>
      </c>
      <c r="F66" s="2">
        <v>0.79489917012292199</v>
      </c>
      <c r="G66" s="2">
        <v>593.19484872012356</v>
      </c>
      <c r="H66" s="2">
        <v>592.0045554856847</v>
      </c>
      <c r="I66" s="2">
        <v>0.28467212385068802</v>
      </c>
      <c r="J66" s="2"/>
      <c r="K66" s="2"/>
      <c r="L66" s="2"/>
      <c r="M66" s="2"/>
      <c r="N66" s="2"/>
      <c r="O66" s="2"/>
    </row>
    <row r="67" spans="1:15" x14ac:dyDescent="0.25">
      <c r="A67" s="2">
        <v>57</v>
      </c>
      <c r="B67" s="2">
        <v>285</v>
      </c>
      <c r="C67" s="2">
        <v>1376</v>
      </c>
      <c r="D67" s="2">
        <v>1288.3906477002615</v>
      </c>
      <c r="E67" s="2">
        <v>2.3494242655239649E-2</v>
      </c>
      <c r="F67" s="2">
        <v>0.13731301563641954</v>
      </c>
      <c r="G67" s="2">
        <v>556.85897704121646</v>
      </c>
      <c r="H67" s="2">
        <v>730.91972477149966</v>
      </c>
      <c r="I67" s="2">
        <v>0.45113862925386244</v>
      </c>
      <c r="J67" s="2"/>
      <c r="K67" s="2"/>
      <c r="L67" s="2"/>
      <c r="M67" s="2"/>
      <c r="N67" s="2"/>
      <c r="O67" s="2"/>
    </row>
    <row r="68" spans="1:15" x14ac:dyDescent="0.25">
      <c r="A68" s="2">
        <v>58</v>
      </c>
      <c r="B68" s="2">
        <v>290</v>
      </c>
      <c r="C68" s="2">
        <v>1347</v>
      </c>
      <c r="D68" s="2">
        <v>1400.6109102642154</v>
      </c>
      <c r="E68" s="2">
        <v>1.4363272714221857E-2</v>
      </c>
      <c r="F68" s="2">
        <v>2.0606182944343805E-2</v>
      </c>
      <c r="G68" s="2">
        <v>508.73278579286693</v>
      </c>
      <c r="H68" s="2">
        <v>891.13405922407981</v>
      </c>
      <c r="I68" s="2">
        <v>0.70909579161006187</v>
      </c>
      <c r="J68" s="2"/>
      <c r="K68" s="2"/>
      <c r="L68" s="2"/>
      <c r="M68" s="2"/>
      <c r="N68" s="2"/>
      <c r="O68" s="2"/>
    </row>
    <row r="69" spans="1:15" x14ac:dyDescent="0.25">
      <c r="A69" s="2">
        <v>59</v>
      </c>
      <c r="B69" s="2">
        <v>295</v>
      </c>
      <c r="C69" s="2">
        <v>1499</v>
      </c>
      <c r="D69" s="2">
        <v>1525.6346610119901</v>
      </c>
      <c r="E69" s="2">
        <v>8.8496795994484467E-3</v>
      </c>
      <c r="F69" s="2">
        <v>2.7266410094681881E-3</v>
      </c>
      <c r="G69" s="2">
        <v>453.5082484308727</v>
      </c>
      <c r="H69" s="2">
        <v>1071.009197678216</v>
      </c>
      <c r="I69" s="2">
        <v>1.1056385822925965</v>
      </c>
      <c r="J69" s="2"/>
      <c r="K69" s="2"/>
      <c r="L69" s="2"/>
      <c r="M69" s="2"/>
      <c r="N69" s="2"/>
      <c r="O69" s="2"/>
    </row>
    <row r="70" spans="1:15" x14ac:dyDescent="0.25">
      <c r="A70" s="2">
        <v>60</v>
      </c>
      <c r="B70" s="2">
        <v>300</v>
      </c>
      <c r="C70" s="2">
        <v>1677</v>
      </c>
      <c r="D70" s="2">
        <v>1663.6710749915428</v>
      </c>
      <c r="E70" s="2">
        <v>5.4945566990482475E-3</v>
      </c>
      <c r="F70" s="2">
        <v>3.2331854840113663E-4</v>
      </c>
      <c r="G70" s="2">
        <v>395.65727955264163</v>
      </c>
      <c r="H70" s="2">
        <v>1266.2975292458541</v>
      </c>
      <c r="I70" s="2">
        <v>1.710448317799506</v>
      </c>
      <c r="J70" s="2"/>
      <c r="K70" s="2"/>
      <c r="L70" s="2"/>
      <c r="M70" s="2"/>
      <c r="N70" s="2"/>
      <c r="O70" s="2"/>
    </row>
    <row r="71" spans="1:15" x14ac:dyDescent="0.25">
      <c r="A71" s="2">
        <v>61</v>
      </c>
      <c r="B71" s="2">
        <v>305</v>
      </c>
      <c r="C71" s="2">
        <v>1850</v>
      </c>
      <c r="D71" s="2">
        <v>1810.9273831566068</v>
      </c>
      <c r="E71" s="2">
        <v>3.4372559490039862E-3</v>
      </c>
      <c r="F71" s="2">
        <v>3.4931362368030508E-5</v>
      </c>
      <c r="G71" s="2">
        <v>338.8631111567941</v>
      </c>
      <c r="H71" s="2">
        <v>1469.4350124742584</v>
      </c>
      <c r="I71" s="2">
        <v>2.6257873382428891</v>
      </c>
      <c r="J71" s="2"/>
      <c r="K71" s="2"/>
      <c r="L71" s="2"/>
      <c r="M71" s="2"/>
      <c r="N71" s="2"/>
      <c r="O71" s="2"/>
    </row>
    <row r="72" spans="1:15" x14ac:dyDescent="0.25">
      <c r="A72" s="2">
        <v>62</v>
      </c>
      <c r="B72" s="2">
        <v>310</v>
      </c>
      <c r="C72" s="2">
        <v>1975</v>
      </c>
      <c r="D72" s="2">
        <v>1958.8753382442985</v>
      </c>
      <c r="E72" s="2">
        <v>2.1662297970032468E-3</v>
      </c>
      <c r="F72" s="2">
        <v>3.4950250914210237E-6</v>
      </c>
      <c r="G72" s="2">
        <v>285.76218678082563</v>
      </c>
      <c r="H72" s="2">
        <v>1669.1105016891938</v>
      </c>
      <c r="I72" s="2">
        <v>4.000480049456888</v>
      </c>
      <c r="J72" s="2"/>
      <c r="K72" s="2"/>
      <c r="L72" s="2"/>
      <c r="M72" s="2"/>
      <c r="N72" s="2"/>
      <c r="O72" s="2"/>
    </row>
    <row r="73" spans="1:15" x14ac:dyDescent="0.25">
      <c r="A73" s="2">
        <v>63</v>
      </c>
      <c r="B73" s="2">
        <v>315</v>
      </c>
      <c r="C73" s="2">
        <v>2043</v>
      </c>
      <c r="D73" s="2">
        <v>2094.4228144242711</v>
      </c>
      <c r="E73" s="2">
        <v>1.3751420608246578E-3</v>
      </c>
      <c r="F73" s="2">
        <v>3.2886326813512112E-7</v>
      </c>
      <c r="G73" s="2">
        <v>237.948190422398</v>
      </c>
      <c r="H73" s="2">
        <v>1850.4240385112462</v>
      </c>
      <c r="I73" s="2">
        <v>6.0492100197031862</v>
      </c>
      <c r="J73" s="2"/>
      <c r="K73" s="2"/>
      <c r="L73" s="2"/>
      <c r="M73" s="2"/>
      <c r="N73" s="2"/>
      <c r="O73" s="2"/>
    </row>
    <row r="74" spans="1:15" x14ac:dyDescent="0.25">
      <c r="A74" s="2">
        <v>64</v>
      </c>
      <c r="B74" s="2">
        <v>320</v>
      </c>
      <c r="C74" s="2">
        <v>2188</v>
      </c>
      <c r="D74" s="2">
        <v>2201.1799957941716</v>
      </c>
      <c r="E74" s="2">
        <v>8.7917756880561315E-4</v>
      </c>
      <c r="F74" s="2">
        <v>2.9514872799599214E-8</v>
      </c>
      <c r="G74" s="2">
        <v>196.13860694175855</v>
      </c>
      <c r="H74" s="2">
        <v>1995.9618005821376</v>
      </c>
      <c r="I74" s="2">
        <v>9.0787090631918694</v>
      </c>
      <c r="J74" s="2"/>
      <c r="K74" s="2"/>
      <c r="L74" s="2"/>
      <c r="M74" s="2"/>
      <c r="N74" s="2"/>
      <c r="O74" s="2"/>
    </row>
    <row r="75" spans="1:15" x14ac:dyDescent="0.25">
      <c r="A75" s="2">
        <v>65</v>
      </c>
      <c r="B75" s="2">
        <v>325</v>
      </c>
      <c r="C75" s="2">
        <v>2167</v>
      </c>
      <c r="D75" s="2">
        <v>2261.9143567055257</v>
      </c>
      <c r="E75" s="2">
        <v>5.6601334839439046E-4</v>
      </c>
      <c r="F75" s="2">
        <v>2.5586845342361592E-9</v>
      </c>
      <c r="G75" s="2">
        <v>160.40593353849584</v>
      </c>
      <c r="H75" s="2">
        <v>2087.9853486121219</v>
      </c>
      <c r="I75" s="2">
        <v>13.522508539000571</v>
      </c>
      <c r="J75" s="2"/>
      <c r="K75" s="2"/>
      <c r="L75" s="2"/>
      <c r="M75" s="2"/>
      <c r="N75" s="2"/>
      <c r="O75" s="2"/>
    </row>
    <row r="76" spans="1:15" x14ac:dyDescent="0.25">
      <c r="A76" s="2">
        <v>66</v>
      </c>
      <c r="B76" s="2">
        <v>330</v>
      </c>
      <c r="C76" s="2">
        <v>2221</v>
      </c>
      <c r="D76" s="2">
        <v>2261.996071290584</v>
      </c>
      <c r="E76" s="2">
        <v>3.6688745756172976E-4</v>
      </c>
      <c r="F76" s="2">
        <v>2.1665097295912984E-10</v>
      </c>
      <c r="G76" s="2">
        <v>130.40458406398778</v>
      </c>
      <c r="H76" s="2">
        <v>2111.605519530041</v>
      </c>
      <c r="I76" s="2">
        <v>19.985600808880744</v>
      </c>
      <c r="J76" s="2"/>
      <c r="K76" s="2"/>
      <c r="L76" s="2"/>
      <c r="M76" s="2"/>
      <c r="N76" s="2"/>
      <c r="O76" s="2"/>
    </row>
    <row r="77" spans="1:15" x14ac:dyDescent="0.25">
      <c r="A77" s="2">
        <v>67</v>
      </c>
      <c r="B77" s="2">
        <v>335</v>
      </c>
      <c r="C77" s="2">
        <v>2283</v>
      </c>
      <c r="D77" s="2">
        <v>2193.1856311603228</v>
      </c>
      <c r="E77" s="2">
        <v>2.3940361960200765E-4</v>
      </c>
      <c r="F77" s="2">
        <v>1.8089620430826698E-11</v>
      </c>
      <c r="G77" s="2">
        <v>105.55761851805435</v>
      </c>
      <c r="H77" s="2">
        <v>2058.3286692057659</v>
      </c>
      <c r="I77" s="2">
        <v>29.299104032864623</v>
      </c>
      <c r="J77" s="2"/>
      <c r="K77" s="2"/>
      <c r="L77" s="2"/>
      <c r="M77" s="2"/>
      <c r="N77" s="2"/>
      <c r="O77" s="2"/>
    </row>
    <row r="78" spans="1:15" x14ac:dyDescent="0.25">
      <c r="A78" s="2">
        <v>68</v>
      </c>
      <c r="B78" s="2">
        <v>340</v>
      </c>
      <c r="C78" s="2">
        <v>2068</v>
      </c>
      <c r="D78" s="2">
        <v>2056.6903842669826</v>
      </c>
      <c r="E78" s="2">
        <v>1.5723764556721255E-4</v>
      </c>
      <c r="F78" s="2">
        <v>1.5016140588218833E-12</v>
      </c>
      <c r="G78" s="2">
        <v>85.19260162102465</v>
      </c>
      <c r="H78" s="2">
        <v>1928.9157219833783</v>
      </c>
      <c r="I78" s="2">
        <v>42.581903424932413</v>
      </c>
      <c r="J78" s="2"/>
      <c r="K78" s="2"/>
      <c r="L78" s="2"/>
      <c r="M78" s="2"/>
      <c r="N78" s="2"/>
      <c r="O78" s="2"/>
    </row>
    <row r="79" spans="1:15" x14ac:dyDescent="0.25">
      <c r="A79" s="2">
        <v>69</v>
      </c>
      <c r="B79" s="2">
        <v>345</v>
      </c>
      <c r="C79" s="2">
        <v>1887</v>
      </c>
      <c r="D79" s="2">
        <v>1864.3138524927522</v>
      </c>
      <c r="E79" s="2">
        <v>1.0393160946680933E-4</v>
      </c>
      <c r="F79" s="2">
        <v>1.2477176191925687E-13</v>
      </c>
      <c r="G79" s="2">
        <v>68.630454354839657</v>
      </c>
      <c r="H79" s="2">
        <v>1734.3835768722006</v>
      </c>
      <c r="I79" s="2">
        <v>61.299717334102404</v>
      </c>
      <c r="J79" s="2"/>
      <c r="K79" s="2"/>
      <c r="L79" s="2"/>
      <c r="M79" s="2"/>
      <c r="N79" s="2"/>
      <c r="O79" s="2"/>
    </row>
    <row r="80" spans="1:15" x14ac:dyDescent="0.25">
      <c r="A80" s="2">
        <v>70</v>
      </c>
      <c r="B80" s="2">
        <v>350</v>
      </c>
      <c r="C80" s="2">
        <v>1703</v>
      </c>
      <c r="D80" s="2">
        <v>1636.9721627891151</v>
      </c>
      <c r="E80" s="2">
        <v>6.9126183016662089E-5</v>
      </c>
      <c r="F80" s="2">
        <v>1.043684792642573E-14</v>
      </c>
      <c r="G80" s="2">
        <v>55.237231591518707</v>
      </c>
      <c r="H80" s="2">
        <v>1494.4349598175722</v>
      </c>
      <c r="I80" s="2">
        <v>87.299902253841054</v>
      </c>
      <c r="J80" s="2"/>
      <c r="K80" s="2"/>
      <c r="L80" s="2"/>
      <c r="M80" s="2"/>
      <c r="N80" s="2"/>
      <c r="O80" s="2"/>
    </row>
    <row r="81" spans="1:15" x14ac:dyDescent="0.25">
      <c r="A81" s="2">
        <v>71</v>
      </c>
      <c r="B81" s="2">
        <v>355</v>
      </c>
      <c r="C81" s="2">
        <v>1379</v>
      </c>
      <c r="D81" s="2">
        <v>1400.781819860978</v>
      </c>
      <c r="E81" s="2">
        <v>4.6257386936724382E-5</v>
      </c>
      <c r="F81" s="2">
        <v>8.829671896562538E-16</v>
      </c>
      <c r="G81" s="2">
        <v>44.449645784959621</v>
      </c>
      <c r="H81" s="2">
        <v>1233.5518953610413</v>
      </c>
      <c r="I81" s="2">
        <v>122.78023245759016</v>
      </c>
      <c r="J81" s="2"/>
      <c r="K81" s="2"/>
      <c r="L81" s="2"/>
      <c r="M81" s="2"/>
      <c r="N81" s="2"/>
      <c r="O81" s="2"/>
    </row>
    <row r="82" spans="1:15" x14ac:dyDescent="0.25">
      <c r="A82" s="2">
        <v>72</v>
      </c>
      <c r="B82" s="2">
        <v>360</v>
      </c>
      <c r="C82" s="2">
        <v>1117</v>
      </c>
      <c r="D82" s="2">
        <v>1181.882629344761</v>
      </c>
      <c r="E82" s="2">
        <v>3.1138978793228853E-5</v>
      </c>
      <c r="F82" s="2">
        <v>7.5838843415219143E-17</v>
      </c>
      <c r="G82" s="2">
        <v>35.783591649970084</v>
      </c>
      <c r="H82" s="2">
        <v>975.97742354268541</v>
      </c>
      <c r="I82" s="2">
        <v>170.12158301312667</v>
      </c>
      <c r="J82" s="2"/>
      <c r="K82" s="2"/>
      <c r="L82" s="2"/>
      <c r="M82" s="2"/>
      <c r="N82" s="2"/>
      <c r="O82" s="2"/>
    </row>
    <row r="83" spans="1:15" x14ac:dyDescent="0.25">
      <c r="A83" s="2">
        <v>73</v>
      </c>
      <c r="B83" s="2">
        <v>365</v>
      </c>
      <c r="C83" s="2">
        <v>1001</v>
      </c>
      <c r="D83" s="2">
        <v>1001.5801663112186</v>
      </c>
      <c r="E83" s="2">
        <v>2.1084094382251618E-5</v>
      </c>
      <c r="F83" s="2">
        <v>6.633454189328347E-18</v>
      </c>
      <c r="G83" s="2">
        <v>28.832623522405921</v>
      </c>
      <c r="H83" s="2">
        <v>741.26230097731514</v>
      </c>
      <c r="I83" s="2">
        <v>231.48522072740326</v>
      </c>
      <c r="J83" s="2"/>
      <c r="K83" s="2"/>
      <c r="L83" s="2"/>
      <c r="M83" s="2"/>
      <c r="N83" s="2"/>
      <c r="O83" s="2"/>
    </row>
    <row r="84" spans="1:15" x14ac:dyDescent="0.25">
      <c r="A84" s="2">
        <v>74</v>
      </c>
      <c r="B84" s="2">
        <v>370</v>
      </c>
      <c r="C84" s="2">
        <v>873</v>
      </c>
      <c r="D84" s="2">
        <v>873.02564314280414</v>
      </c>
      <c r="E84" s="2">
        <v>1.4357434821731974E-5</v>
      </c>
      <c r="F84" s="2">
        <v>5.9230765607046721E-19</v>
      </c>
      <c r="G84" s="2">
        <v>23.261158835620531</v>
      </c>
      <c r="H84" s="2">
        <v>541.69425886833335</v>
      </c>
      <c r="I84" s="2">
        <v>308.07021108141544</v>
      </c>
      <c r="J84" s="2"/>
      <c r="K84" s="2"/>
      <c r="L84" s="2"/>
      <c r="M84" s="2"/>
      <c r="N84" s="2"/>
      <c r="O84" s="2"/>
    </row>
    <row r="85" spans="1:15" x14ac:dyDescent="0.25">
      <c r="A85" s="2">
        <v>75</v>
      </c>
      <c r="B85" s="2">
        <v>375</v>
      </c>
      <c r="C85" s="2">
        <v>842</v>
      </c>
      <c r="D85" s="2">
        <v>799.80166203450858</v>
      </c>
      <c r="E85" s="2">
        <v>9.8314032965506414E-6</v>
      </c>
      <c r="F85" s="2">
        <v>5.4093750281762783E-20</v>
      </c>
      <c r="G85" s="2">
        <v>18.795450558006603</v>
      </c>
      <c r="H85" s="2">
        <v>382.00842692586673</v>
      </c>
      <c r="I85" s="2">
        <v>398.99777471923187</v>
      </c>
      <c r="J85" s="2"/>
      <c r="K85" s="2"/>
      <c r="L85" s="2"/>
      <c r="M85" s="2"/>
      <c r="N85" s="2"/>
      <c r="O85" s="2"/>
    </row>
    <row r="86" spans="1:15" x14ac:dyDescent="0.25">
      <c r="A86" s="2">
        <v>76</v>
      </c>
      <c r="B86" s="2">
        <v>380</v>
      </c>
      <c r="C86" s="2">
        <v>810</v>
      </c>
      <c r="D86" s="2">
        <v>776.08720876559141</v>
      </c>
      <c r="E86" s="2">
        <v>6.7688954065906922E-6</v>
      </c>
      <c r="F86" s="2">
        <v>5.0603835118035952E-21</v>
      </c>
      <c r="G86" s="2">
        <v>15.214129707627496</v>
      </c>
      <c r="H86" s="2">
        <v>260.86673129999519</v>
      </c>
      <c r="I86" s="2">
        <v>500.00634098907329</v>
      </c>
      <c r="J86" s="2"/>
      <c r="K86" s="2"/>
      <c r="L86" s="2"/>
      <c r="M86" s="2"/>
      <c r="N86" s="2"/>
      <c r="O86" s="2"/>
    </row>
    <row r="87" spans="1:15" x14ac:dyDescent="0.25">
      <c r="A87" s="2">
        <v>77</v>
      </c>
      <c r="B87" s="2">
        <v>385</v>
      </c>
      <c r="C87" s="2">
        <v>778</v>
      </c>
      <c r="D87" s="2">
        <v>787.9978819588016</v>
      </c>
      <c r="E87" s="2">
        <v>4.6852419797777088E-6</v>
      </c>
      <c r="F87" s="2">
        <v>4.8545067410897542E-22</v>
      </c>
      <c r="G87" s="2">
        <v>12.339290710396449</v>
      </c>
      <c r="H87" s="2">
        <v>173.141581530705</v>
      </c>
      <c r="I87" s="2">
        <v>602.5170050324582</v>
      </c>
      <c r="J87" s="2"/>
      <c r="K87" s="2"/>
      <c r="L87" s="2"/>
      <c r="M87" s="2"/>
      <c r="N87" s="2"/>
      <c r="O87" s="2"/>
    </row>
    <row r="88" spans="1:15" x14ac:dyDescent="0.25">
      <c r="A88" s="2">
        <v>78</v>
      </c>
      <c r="B88" s="2">
        <v>390</v>
      </c>
      <c r="C88" s="2">
        <v>816</v>
      </c>
      <c r="D88" s="2">
        <v>816.12170031095184</v>
      </c>
      <c r="E88" s="2">
        <v>3.2599270095136077E-6</v>
      </c>
      <c r="F88" s="2">
        <v>4.7796099623849064E-23</v>
      </c>
      <c r="G88" s="2">
        <v>10.02857263882211</v>
      </c>
      <c r="H88" s="2">
        <v>112.11676786821046</v>
      </c>
      <c r="I88" s="2">
        <v>693.97635654399221</v>
      </c>
      <c r="J88" s="2"/>
      <c r="K88" s="2"/>
      <c r="L88" s="2"/>
      <c r="M88" s="2"/>
      <c r="N88" s="2"/>
      <c r="O88" s="2"/>
    </row>
    <row r="89" spans="1:15" x14ac:dyDescent="0.25">
      <c r="A89" s="2">
        <v>79</v>
      </c>
      <c r="B89" s="2">
        <v>395</v>
      </c>
      <c r="C89" s="2">
        <v>860</v>
      </c>
      <c r="D89" s="2">
        <v>839.50547785317735</v>
      </c>
      <c r="E89" s="2">
        <v>2.2797982913904466E-6</v>
      </c>
      <c r="F89" s="2">
        <v>4.83259391068987E-24</v>
      </c>
      <c r="G89" s="2">
        <v>8.1683826058575324</v>
      </c>
      <c r="H89" s="2">
        <v>71.096503079058905</v>
      </c>
      <c r="I89" s="2">
        <v>760.24058988846264</v>
      </c>
      <c r="J89" s="2"/>
      <c r="K89" s="2"/>
      <c r="L89" s="2"/>
      <c r="M89" s="2"/>
      <c r="N89" s="2"/>
      <c r="O89" s="2"/>
    </row>
    <row r="90" spans="1:15" x14ac:dyDescent="0.25">
      <c r="A90" s="2">
        <v>80</v>
      </c>
      <c r="B90" s="2">
        <v>400</v>
      </c>
      <c r="C90" s="2">
        <v>912</v>
      </c>
      <c r="D90" s="2">
        <v>840.70566859996882</v>
      </c>
      <c r="E90" s="2">
        <v>1.6023230509217566E-6</v>
      </c>
      <c r="F90" s="2">
        <v>5.0196916392759529E-25</v>
      </c>
      <c r="G90" s="2">
        <v>6.6682394181991853</v>
      </c>
      <c r="H90" s="2">
        <v>44.307487131895229</v>
      </c>
      <c r="I90" s="2">
        <v>789.72994044755137</v>
      </c>
      <c r="J90" s="2"/>
      <c r="K90" s="2"/>
      <c r="L90" s="2"/>
      <c r="M90" s="2"/>
      <c r="N90" s="2"/>
      <c r="O90" s="2"/>
    </row>
    <row r="91" spans="1:15" x14ac:dyDescent="0.25">
      <c r="A91" s="2">
        <v>81</v>
      </c>
      <c r="B91" s="2">
        <v>405</v>
      </c>
      <c r="C91" s="2">
        <v>698</v>
      </c>
      <c r="D91" s="2">
        <v>810.25161557994284</v>
      </c>
      <c r="E91" s="2">
        <v>1.1316772029066607E-6</v>
      </c>
      <c r="F91" s="2">
        <v>5.357725923884655E-26</v>
      </c>
      <c r="G91" s="2">
        <v>5.4561331692231683</v>
      </c>
      <c r="H91" s="2">
        <v>27.226084782919663</v>
      </c>
      <c r="I91" s="2">
        <v>777.56939649612275</v>
      </c>
      <c r="J91" s="2"/>
      <c r="K91" s="2"/>
      <c r="L91" s="2"/>
      <c r="M91" s="2"/>
      <c r="N91" s="2"/>
      <c r="O91" s="2"/>
    </row>
    <row r="92" spans="1:15" x14ac:dyDescent="0.25">
      <c r="A92" s="2">
        <v>82</v>
      </c>
      <c r="B92" s="2">
        <v>410</v>
      </c>
      <c r="C92" s="2">
        <v>621</v>
      </c>
      <c r="D92" s="2">
        <v>748.36221917275293</v>
      </c>
      <c r="E92" s="2">
        <v>8.0309862203103419E-7</v>
      </c>
      <c r="F92" s="2">
        <v>5.8766665587096968E-27</v>
      </c>
      <c r="G92" s="2">
        <v>4.4747644420647505</v>
      </c>
      <c r="H92" s="2">
        <v>16.544927519594506</v>
      </c>
      <c r="I92" s="2">
        <v>727.34252640799502</v>
      </c>
      <c r="J92" s="2"/>
      <c r="K92" s="2"/>
      <c r="L92" s="2"/>
      <c r="M92" s="2"/>
      <c r="N92" s="2"/>
      <c r="O92" s="2"/>
    </row>
    <row r="93" spans="1:15" x14ac:dyDescent="0.25">
      <c r="A93" s="2">
        <v>83</v>
      </c>
      <c r="B93" s="2">
        <v>415</v>
      </c>
      <c r="C93" s="2">
        <v>701</v>
      </c>
      <c r="D93" s="2">
        <v>663.04947057612424</v>
      </c>
      <c r="E93" s="2">
        <v>5.7259197489773415E-7</v>
      </c>
      <c r="F93" s="2">
        <v>6.6240332502520338E-28</v>
      </c>
      <c r="G93" s="2">
        <v>3.6785226662213741</v>
      </c>
      <c r="H93" s="2">
        <v>9.9692896793459926</v>
      </c>
      <c r="I93" s="2">
        <v>649.40165765796485</v>
      </c>
      <c r="J93" s="2"/>
      <c r="K93" s="2"/>
      <c r="L93" s="2"/>
      <c r="M93" s="2"/>
      <c r="N93" s="2"/>
      <c r="O93" s="2"/>
    </row>
    <row r="94" spans="1:15" x14ac:dyDescent="0.25">
      <c r="A94" s="2">
        <v>84</v>
      </c>
      <c r="B94" s="2">
        <v>420</v>
      </c>
      <c r="C94" s="2">
        <v>458</v>
      </c>
      <c r="D94" s="2">
        <v>565.91474919995812</v>
      </c>
      <c r="E94" s="2">
        <v>4.1011828844990648E-7</v>
      </c>
      <c r="F94" s="2">
        <v>7.67204280220792E-29</v>
      </c>
      <c r="G94" s="2">
        <v>3.0310731468421519</v>
      </c>
      <c r="H94" s="2">
        <v>5.9701779430714463</v>
      </c>
      <c r="I94" s="2">
        <v>556.91349769992621</v>
      </c>
      <c r="J94" s="2"/>
      <c r="K94" s="2"/>
      <c r="L94" s="2"/>
      <c r="M94" s="2"/>
      <c r="N94" s="2"/>
      <c r="O94" s="2"/>
    </row>
    <row r="95" spans="1:15" x14ac:dyDescent="0.25">
      <c r="A95" s="2">
        <v>85</v>
      </c>
      <c r="B95" s="2">
        <v>425</v>
      </c>
      <c r="C95" s="2">
        <v>468</v>
      </c>
      <c r="D95" s="2">
        <v>468.00130975599268</v>
      </c>
      <c r="E95" s="2">
        <v>2.9506597169546488E-7</v>
      </c>
      <c r="F95" s="2">
        <v>9.1289850355295938E-30</v>
      </c>
      <c r="G95" s="2">
        <v>2.5034382919699554</v>
      </c>
      <c r="H95" s="2">
        <v>3.5604153781260104</v>
      </c>
      <c r="I95" s="2">
        <v>461.93745579083077</v>
      </c>
      <c r="J95" s="2"/>
      <c r="K95" s="2"/>
      <c r="L95" s="2"/>
      <c r="M95" s="2"/>
      <c r="N95" s="2"/>
      <c r="O95" s="2"/>
    </row>
    <row r="96" spans="1:15" x14ac:dyDescent="0.25">
      <c r="A96" s="2">
        <v>86</v>
      </c>
      <c r="B96" s="2">
        <v>430</v>
      </c>
      <c r="C96" s="2">
        <v>326</v>
      </c>
      <c r="D96" s="2">
        <v>377.33364965785734</v>
      </c>
      <c r="E96" s="2">
        <v>2.1322345340453828E-7</v>
      </c>
      <c r="F96" s="2">
        <v>1.1157288531728289E-30</v>
      </c>
      <c r="G96" s="2">
        <v>2.0724761082848411</v>
      </c>
      <c r="H96" s="2">
        <v>2.1180883868222269</v>
      </c>
      <c r="I96" s="2">
        <v>373.14308494952684</v>
      </c>
      <c r="J96" s="2"/>
      <c r="K96" s="2"/>
      <c r="L96" s="2"/>
      <c r="M96" s="2"/>
      <c r="N96" s="2"/>
      <c r="O96" s="2"/>
    </row>
    <row r="97" spans="1:15" x14ac:dyDescent="0.25">
      <c r="A97" s="2">
        <v>87</v>
      </c>
      <c r="B97" s="2">
        <v>435</v>
      </c>
      <c r="C97" s="2">
        <v>325</v>
      </c>
      <c r="D97" s="2">
        <v>298.34649137895258</v>
      </c>
      <c r="E97" s="2">
        <v>1.5474531603950041E-7</v>
      </c>
      <c r="F97" s="2">
        <v>1.4002386813187836E-31</v>
      </c>
      <c r="G97" s="2">
        <v>1.7196757994013976</v>
      </c>
      <c r="H97" s="2">
        <v>1.2587595645666516</v>
      </c>
      <c r="I97" s="2">
        <v>295.36805586023922</v>
      </c>
      <c r="J97" s="2"/>
      <c r="K97" s="2"/>
      <c r="L97" s="2"/>
      <c r="M97" s="2"/>
      <c r="N97" s="2"/>
      <c r="O97" s="2"/>
    </row>
    <row r="98" spans="1:15" x14ac:dyDescent="0.25">
      <c r="A98" s="2">
        <v>88</v>
      </c>
      <c r="B98" s="2">
        <v>440</v>
      </c>
      <c r="C98" s="2">
        <v>270</v>
      </c>
      <c r="D98" s="2">
        <v>232.5101597859335</v>
      </c>
      <c r="E98" s="2">
        <v>1.127791064657756E-7</v>
      </c>
      <c r="F98" s="2">
        <v>1.8039321267265731E-32</v>
      </c>
      <c r="G98" s="2">
        <v>1.4302052292495304</v>
      </c>
      <c r="H98" s="2">
        <v>0.74820542555922509</v>
      </c>
      <c r="I98" s="2">
        <v>230.33174901834565</v>
      </c>
      <c r="J98" s="2"/>
      <c r="K98" s="2"/>
      <c r="L98" s="2"/>
      <c r="M98" s="2"/>
      <c r="N98" s="2"/>
      <c r="O98" s="2"/>
    </row>
    <row r="99" spans="1:15" x14ac:dyDescent="0.25">
      <c r="A99" s="2">
        <v>89</v>
      </c>
      <c r="B99" s="2">
        <v>445</v>
      </c>
      <c r="C99" s="2">
        <v>181</v>
      </c>
      <c r="D99" s="2">
        <v>179.35574241775171</v>
      </c>
      <c r="E99" s="2">
        <v>8.253370062562236E-8</v>
      </c>
      <c r="F99" s="2">
        <v>2.3848925715341858E-33</v>
      </c>
      <c r="G99" s="2">
        <v>1.1921577617164107</v>
      </c>
      <c r="H99" s="2">
        <v>0.44526046769452454</v>
      </c>
      <c r="I99" s="2">
        <v>177.71832410580708</v>
      </c>
      <c r="J99" s="2"/>
      <c r="K99" s="2"/>
      <c r="L99" s="2"/>
      <c r="M99" s="2"/>
      <c r="N99" s="2"/>
      <c r="O99" s="2"/>
    </row>
    <row r="100" spans="1:15" x14ac:dyDescent="0.25">
      <c r="A100" s="2">
        <v>90</v>
      </c>
      <c r="B100" s="2">
        <v>450</v>
      </c>
      <c r="C100" s="2">
        <v>362</v>
      </c>
      <c r="D100" s="2">
        <v>137.40342176091724</v>
      </c>
      <c r="E100" s="2">
        <v>6.0644225039662138E-8</v>
      </c>
      <c r="F100" s="2">
        <v>3.2344082122691397E-34</v>
      </c>
      <c r="G100" s="2">
        <v>0.99595658371091222</v>
      </c>
      <c r="H100" s="2">
        <v>0.26551096623132392</v>
      </c>
      <c r="I100" s="2">
        <v>136.14195415033078</v>
      </c>
      <c r="J100" s="2"/>
      <c r="K100" s="2"/>
      <c r="L100" s="2"/>
      <c r="M100" s="2"/>
      <c r="N100" s="2"/>
      <c r="O100" s="2"/>
    </row>
    <row r="101" spans="1:15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</row>
    <row r="102" spans="1:15" x14ac:dyDescent="0.2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</row>
    <row r="103" spans="1:15" x14ac:dyDescent="0.25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</row>
    <row r="104" spans="1:15" x14ac:dyDescent="0.2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</row>
    <row r="105" spans="1:15" x14ac:dyDescent="0.2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</row>
    <row r="106" spans="1:15" x14ac:dyDescent="0.2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</row>
    <row r="107" spans="1:15" x14ac:dyDescent="0.2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</row>
    <row r="108" spans="1:15" x14ac:dyDescent="0.2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</row>
    <row r="109" spans="1:15" x14ac:dyDescent="0.25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</row>
    <row r="110" spans="1:15" x14ac:dyDescent="0.25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</row>
    <row r="111" spans="1:15" x14ac:dyDescent="0.25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</row>
    <row r="112" spans="1:15" x14ac:dyDescent="0.25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</row>
    <row r="113" spans="1:15" x14ac:dyDescent="0.25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</row>
    <row r="114" spans="1:15" x14ac:dyDescent="0.25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</row>
    <row r="115" spans="1:15" x14ac:dyDescent="0.25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</row>
    <row r="116" spans="1:15" x14ac:dyDescent="0.25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</row>
    <row r="117" spans="1:15" x14ac:dyDescent="0.25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</row>
    <row r="118" spans="1:15" x14ac:dyDescent="0.25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</row>
    <row r="119" spans="1:15" x14ac:dyDescent="0.25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</row>
    <row r="120" spans="1:15" x14ac:dyDescent="0.25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</row>
    <row r="121" spans="1:15" x14ac:dyDescent="0.25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</row>
    <row r="122" spans="1:15" x14ac:dyDescent="0.25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</row>
    <row r="123" spans="1:15" x14ac:dyDescent="0.25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</row>
    <row r="124" spans="1:15" x14ac:dyDescent="0.25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</row>
    <row r="125" spans="1:15" x14ac:dyDescent="0.25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</row>
    <row r="126" spans="1:15" x14ac:dyDescent="0.25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</row>
    <row r="127" spans="1:15" x14ac:dyDescent="0.25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</row>
    <row r="128" spans="1:15" x14ac:dyDescent="0.25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</row>
    <row r="129" spans="1:15" x14ac:dyDescent="0.25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</row>
    <row r="130" spans="1:15" x14ac:dyDescent="0.25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</row>
    <row r="131" spans="1:15" x14ac:dyDescent="0.25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</row>
    <row r="132" spans="1:15" x14ac:dyDescent="0.25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</row>
    <row r="133" spans="1:15" x14ac:dyDescent="0.25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</row>
    <row r="134" spans="1:15" x14ac:dyDescent="0.25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</row>
    <row r="135" spans="1:15" x14ac:dyDescent="0.25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</row>
    <row r="136" spans="1:15" x14ac:dyDescent="0.25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</row>
    <row r="137" spans="1:15" x14ac:dyDescent="0.25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</row>
    <row r="138" spans="1:15" x14ac:dyDescent="0.25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</row>
    <row r="139" spans="1:15" x14ac:dyDescent="0.25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</row>
    <row r="140" spans="1:15" x14ac:dyDescent="0.25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</row>
    <row r="141" spans="1:15" x14ac:dyDescent="0.25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</row>
    <row r="142" spans="1:15" x14ac:dyDescent="0.25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</row>
    <row r="143" spans="1:15" x14ac:dyDescent="0.25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</row>
    <row r="144" spans="1:15" x14ac:dyDescent="0.25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</row>
    <row r="145" spans="1:15" x14ac:dyDescent="0.25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</row>
    <row r="146" spans="1:15" x14ac:dyDescent="0.25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</row>
    <row r="147" spans="1:15" x14ac:dyDescent="0.25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</row>
    <row r="148" spans="1:15" x14ac:dyDescent="0.25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</row>
    <row r="149" spans="1:15" x14ac:dyDescent="0.25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</row>
    <row r="150" spans="1:15" x14ac:dyDescent="0.25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</row>
    <row r="151" spans="1:15" x14ac:dyDescent="0.25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</row>
    <row r="152" spans="1:15" x14ac:dyDescent="0.25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</row>
    <row r="153" spans="1:15" x14ac:dyDescent="0.25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</row>
    <row r="154" spans="1:15" x14ac:dyDescent="0.25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</row>
    <row r="155" spans="1:15" x14ac:dyDescent="0.25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</row>
    <row r="156" spans="1:15" x14ac:dyDescent="0.25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</row>
    <row r="157" spans="1:15" x14ac:dyDescent="0.25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</row>
    <row r="158" spans="1:15" x14ac:dyDescent="0.25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</row>
    <row r="159" spans="1:15" x14ac:dyDescent="0.25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</row>
    <row r="160" spans="1:15" x14ac:dyDescent="0.25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</row>
    <row r="161" spans="1:15" x14ac:dyDescent="0.25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</row>
    <row r="162" spans="1:15" x14ac:dyDescent="0.25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</row>
    <row r="163" spans="1:15" x14ac:dyDescent="0.25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</row>
    <row r="164" spans="1:15" x14ac:dyDescent="0.25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</row>
    <row r="165" spans="1:15" x14ac:dyDescent="0.25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</row>
    <row r="166" spans="1:15" x14ac:dyDescent="0.25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</row>
    <row r="167" spans="1:15" x14ac:dyDescent="0.25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</row>
    <row r="168" spans="1:15" x14ac:dyDescent="0.25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</row>
    <row r="169" spans="1:15" x14ac:dyDescent="0.25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</row>
    <row r="170" spans="1:15" x14ac:dyDescent="0.25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</row>
    <row r="171" spans="1:15" x14ac:dyDescent="0.25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</row>
    <row r="172" spans="1:15" x14ac:dyDescent="0.25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</row>
    <row r="173" spans="1:15" x14ac:dyDescent="0.25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</row>
    <row r="174" spans="1:15" x14ac:dyDescent="0.25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</row>
    <row r="175" spans="1:15" x14ac:dyDescent="0.25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</row>
    <row r="176" spans="1:15" x14ac:dyDescent="0.25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</row>
    <row r="177" spans="1:15" x14ac:dyDescent="0.25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</row>
    <row r="178" spans="1:15" x14ac:dyDescent="0.25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</row>
    <row r="179" spans="1:15" x14ac:dyDescent="0.25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</row>
    <row r="180" spans="1:15" x14ac:dyDescent="0.25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</row>
    <row r="181" spans="1:15" x14ac:dyDescent="0.25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</row>
    <row r="182" spans="1:15" x14ac:dyDescent="0.25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</row>
    <row r="183" spans="1:15" x14ac:dyDescent="0.25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</row>
    <row r="184" spans="1:15" x14ac:dyDescent="0.25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</row>
    <row r="185" spans="1:15" x14ac:dyDescent="0.25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</row>
    <row r="186" spans="1:15" x14ac:dyDescent="0.25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</row>
    <row r="187" spans="1:15" x14ac:dyDescent="0.25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</row>
    <row r="188" spans="1:15" x14ac:dyDescent="0.25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</row>
    <row r="189" spans="1:15" x14ac:dyDescent="0.25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</row>
    <row r="190" spans="1:15" x14ac:dyDescent="0.25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</row>
    <row r="191" spans="1:15" x14ac:dyDescent="0.25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</row>
    <row r="192" spans="1:15" x14ac:dyDescent="0.25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</row>
    <row r="193" spans="1:15" x14ac:dyDescent="0.25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</row>
    <row r="194" spans="1:15" x14ac:dyDescent="0.25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</row>
    <row r="195" spans="1:15" x14ac:dyDescent="0.25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</row>
    <row r="196" spans="1:15" x14ac:dyDescent="0.25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</row>
    <row r="197" spans="1:15" x14ac:dyDescent="0.25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</row>
    <row r="198" spans="1:15" x14ac:dyDescent="0.25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</row>
    <row r="199" spans="1:15" x14ac:dyDescent="0.25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</row>
    <row r="200" spans="1:15" x14ac:dyDescent="0.25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</row>
    <row r="201" spans="1:15" x14ac:dyDescent="0.25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</row>
    <row r="202" spans="1:15" x14ac:dyDescent="0.25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</row>
    <row r="203" spans="1:15" x14ac:dyDescent="0.25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</row>
    <row r="204" spans="1:15" x14ac:dyDescent="0.25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</row>
    <row r="205" spans="1:15" x14ac:dyDescent="0.25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</row>
    <row r="206" spans="1:15" x14ac:dyDescent="0.25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</row>
    <row r="207" spans="1:15" x14ac:dyDescent="0.25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</row>
    <row r="208" spans="1:15" x14ac:dyDescent="0.25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</row>
    <row r="209" spans="1:15" x14ac:dyDescent="0.25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</row>
    <row r="210" spans="1:15" x14ac:dyDescent="0.25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</row>
    <row r="211" spans="1:15" x14ac:dyDescent="0.25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</row>
    <row r="212" spans="1:15" x14ac:dyDescent="0.25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</row>
    <row r="213" spans="1:15" x14ac:dyDescent="0.25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</row>
    <row r="214" spans="1:15" x14ac:dyDescent="0.25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</row>
    <row r="215" spans="1:15" x14ac:dyDescent="0.25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</row>
    <row r="216" spans="1:15" x14ac:dyDescent="0.25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</row>
    <row r="217" spans="1:15" x14ac:dyDescent="0.25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</row>
    <row r="218" spans="1:15" x14ac:dyDescent="0.25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</row>
    <row r="219" spans="1:15" x14ac:dyDescent="0.25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</row>
    <row r="220" spans="1:15" x14ac:dyDescent="0.25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</row>
    <row r="221" spans="1:15" x14ac:dyDescent="0.25">
      <c r="A221" s="2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</row>
    <row r="222" spans="1:15" x14ac:dyDescent="0.25">
      <c r="A222" s="2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</row>
    <row r="223" spans="1:15" x14ac:dyDescent="0.25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</row>
    <row r="224" spans="1:15" x14ac:dyDescent="0.25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</row>
    <row r="225" spans="1:15" x14ac:dyDescent="0.25">
      <c r="A225" s="2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</row>
    <row r="226" spans="1:15" x14ac:dyDescent="0.25">
      <c r="A226" s="2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</row>
    <row r="227" spans="1:15" x14ac:dyDescent="0.25">
      <c r="A227" s="2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</row>
    <row r="228" spans="1:15" x14ac:dyDescent="0.25">
      <c r="A228" s="2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</row>
    <row r="229" spans="1:15" x14ac:dyDescent="0.25">
      <c r="A229" s="2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</row>
    <row r="230" spans="1:15" x14ac:dyDescent="0.25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</row>
    <row r="231" spans="1:15" x14ac:dyDescent="0.25">
      <c r="A231" s="2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</row>
    <row r="232" spans="1:15" x14ac:dyDescent="0.25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</row>
    <row r="233" spans="1:15" x14ac:dyDescent="0.25">
      <c r="A233" s="2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</row>
    <row r="234" spans="1:15" x14ac:dyDescent="0.25">
      <c r="A234" s="2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</row>
    <row r="235" spans="1:15" x14ac:dyDescent="0.25">
      <c r="A235" s="2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</row>
    <row r="236" spans="1:15" x14ac:dyDescent="0.25">
      <c r="A236" s="2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</row>
    <row r="237" spans="1:15" x14ac:dyDescent="0.25">
      <c r="A237" s="2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</row>
    <row r="238" spans="1:15" x14ac:dyDescent="0.25">
      <c r="A238" s="2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</row>
    <row r="239" spans="1:15" x14ac:dyDescent="0.25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</row>
    <row r="240" spans="1:15" x14ac:dyDescent="0.25">
      <c r="A240" s="2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</row>
    <row r="241" spans="1:15" x14ac:dyDescent="0.25">
      <c r="A241" s="2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</row>
    <row r="242" spans="1:15" x14ac:dyDescent="0.25">
      <c r="A242" s="2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</row>
    <row r="243" spans="1:15" x14ac:dyDescent="0.25">
      <c r="A243" s="2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</row>
    <row r="244" spans="1:15" x14ac:dyDescent="0.25">
      <c r="A244" s="2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</row>
    <row r="245" spans="1:15" x14ac:dyDescent="0.25">
      <c r="A245" s="2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</row>
    <row r="246" spans="1:15" x14ac:dyDescent="0.25">
      <c r="A246" s="2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</row>
    <row r="247" spans="1:15" x14ac:dyDescent="0.25">
      <c r="A247" s="2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</row>
    <row r="248" spans="1:15" x14ac:dyDescent="0.25">
      <c r="A248" s="2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</row>
    <row r="249" spans="1:15" x14ac:dyDescent="0.25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</row>
    <row r="250" spans="1:15" x14ac:dyDescent="0.25">
      <c r="A250" s="2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</row>
    <row r="251" spans="1:15" x14ac:dyDescent="0.25">
      <c r="A251" s="2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</row>
    <row r="252" spans="1:15" x14ac:dyDescent="0.25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</row>
    <row r="253" spans="1:15" x14ac:dyDescent="0.25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</row>
    <row r="254" spans="1:15" x14ac:dyDescent="0.25">
      <c r="A254" s="2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</row>
    <row r="255" spans="1:15" x14ac:dyDescent="0.25">
      <c r="A255" s="2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</row>
    <row r="256" spans="1:15" x14ac:dyDescent="0.25">
      <c r="A256" s="2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</row>
    <row r="257" spans="1:15" x14ac:dyDescent="0.25">
      <c r="A257" s="2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</row>
    <row r="258" spans="1:15" x14ac:dyDescent="0.25">
      <c r="A258" s="2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</row>
    <row r="259" spans="1:15" x14ac:dyDescent="0.25">
      <c r="A259" s="2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</row>
    <row r="260" spans="1:15" x14ac:dyDescent="0.25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</row>
    <row r="261" spans="1:15" x14ac:dyDescent="0.25">
      <c r="A261" s="2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</row>
    <row r="262" spans="1:15" x14ac:dyDescent="0.25">
      <c r="A262" s="2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</row>
    <row r="263" spans="1:15" x14ac:dyDescent="0.25">
      <c r="A263" s="2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</row>
    <row r="264" spans="1:15" x14ac:dyDescent="0.25">
      <c r="A264" s="2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</row>
    <row r="265" spans="1:15" x14ac:dyDescent="0.25">
      <c r="A265" s="2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</row>
    <row r="266" spans="1:15" x14ac:dyDescent="0.25">
      <c r="A266" s="2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</row>
    <row r="267" spans="1:15" x14ac:dyDescent="0.25">
      <c r="A267" s="2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</row>
    <row r="268" spans="1:15" x14ac:dyDescent="0.25">
      <c r="A268" s="2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</row>
    <row r="269" spans="1:15" x14ac:dyDescent="0.25">
      <c r="A269" s="2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</row>
    <row r="270" spans="1:15" x14ac:dyDescent="0.25">
      <c r="A270" s="2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</row>
    <row r="271" spans="1:15" x14ac:dyDescent="0.25">
      <c r="A271" s="2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</row>
    <row r="272" spans="1:15" x14ac:dyDescent="0.25">
      <c r="A272" s="2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</row>
    <row r="273" spans="1:15" x14ac:dyDescent="0.25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</row>
    <row r="274" spans="1:15" x14ac:dyDescent="0.25">
      <c r="A274" s="2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</row>
    <row r="275" spans="1:15" x14ac:dyDescent="0.25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</row>
    <row r="276" spans="1:15" x14ac:dyDescent="0.25">
      <c r="A276" s="2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</row>
    <row r="277" spans="1:15" x14ac:dyDescent="0.25">
      <c r="A277" s="2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</row>
    <row r="278" spans="1:15" x14ac:dyDescent="0.25">
      <c r="A278" s="2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</row>
    <row r="279" spans="1:15" x14ac:dyDescent="0.25">
      <c r="A279" s="2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</row>
    <row r="280" spans="1:15" x14ac:dyDescent="0.25">
      <c r="A280" s="2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</row>
    <row r="281" spans="1:15" x14ac:dyDescent="0.25">
      <c r="A281" s="2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</row>
    <row r="282" spans="1:15" x14ac:dyDescent="0.25">
      <c r="A282" s="2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</row>
    <row r="283" spans="1:15" x14ac:dyDescent="0.25">
      <c r="A283" s="2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</row>
    <row r="284" spans="1:15" x14ac:dyDescent="0.25">
      <c r="A284" s="2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</row>
    <row r="285" spans="1:15" x14ac:dyDescent="0.25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</row>
    <row r="286" spans="1:15" x14ac:dyDescent="0.25">
      <c r="A286" s="2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</row>
    <row r="287" spans="1:15" x14ac:dyDescent="0.25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</row>
    <row r="288" spans="1:15" x14ac:dyDescent="0.25">
      <c r="A288" s="2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</row>
    <row r="289" spans="1:15" x14ac:dyDescent="0.25">
      <c r="A289" s="2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</row>
    <row r="290" spans="1:15" x14ac:dyDescent="0.25">
      <c r="A290" s="2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</row>
    <row r="291" spans="1:15" x14ac:dyDescent="0.25">
      <c r="A291" s="2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</row>
    <row r="292" spans="1:15" x14ac:dyDescent="0.25">
      <c r="A292" s="2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</row>
    <row r="293" spans="1:15" x14ac:dyDescent="0.25">
      <c r="A293" s="2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</row>
    <row r="294" spans="1:15" x14ac:dyDescent="0.25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</row>
    <row r="295" spans="1:15" x14ac:dyDescent="0.25">
      <c r="A295" s="2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</row>
    <row r="296" spans="1:15" x14ac:dyDescent="0.25">
      <c r="A296" s="2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</row>
    <row r="297" spans="1:15" x14ac:dyDescent="0.25">
      <c r="A297" s="2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</row>
    <row r="298" spans="1:15" x14ac:dyDescent="0.25">
      <c r="A298" s="2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</row>
    <row r="299" spans="1:15" x14ac:dyDescent="0.25">
      <c r="A299" s="2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</row>
    <row r="300" spans="1:15" x14ac:dyDescent="0.25">
      <c r="A300" s="2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</row>
    <row r="301" spans="1:15" x14ac:dyDescent="0.25">
      <c r="A301" s="2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</row>
    <row r="302" spans="1:15" x14ac:dyDescent="0.25">
      <c r="A302" s="2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</row>
    <row r="303" spans="1:15" x14ac:dyDescent="0.25">
      <c r="A303" s="2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</row>
    <row r="304" spans="1:15" x14ac:dyDescent="0.25">
      <c r="A304" s="2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</row>
    <row r="305" spans="1:15" x14ac:dyDescent="0.25">
      <c r="A305" s="2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</row>
    <row r="306" spans="1:15" x14ac:dyDescent="0.25">
      <c r="A306" s="2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</row>
    <row r="307" spans="1:15" x14ac:dyDescent="0.25">
      <c r="A307" s="2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</row>
    <row r="308" spans="1:15" x14ac:dyDescent="0.25">
      <c r="A308" s="2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</row>
    <row r="309" spans="1:15" x14ac:dyDescent="0.25">
      <c r="A309" s="2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</row>
    <row r="310" spans="1:15" x14ac:dyDescent="0.25">
      <c r="A310" s="2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</row>
    <row r="311" spans="1:15" x14ac:dyDescent="0.25">
      <c r="A311" s="2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</row>
    <row r="312" spans="1:15" x14ac:dyDescent="0.25">
      <c r="A312" s="2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</row>
    <row r="313" spans="1:15" x14ac:dyDescent="0.25">
      <c r="A313" s="2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</row>
    <row r="314" spans="1:15" x14ac:dyDescent="0.25">
      <c r="A314" s="2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</row>
    <row r="315" spans="1:15" x14ac:dyDescent="0.25">
      <c r="A315" s="2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</row>
    <row r="316" spans="1:15" x14ac:dyDescent="0.25">
      <c r="A316" s="2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</row>
    <row r="317" spans="1:15" x14ac:dyDescent="0.25">
      <c r="A317" s="2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</row>
    <row r="318" spans="1:15" x14ac:dyDescent="0.25">
      <c r="A318" s="2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</row>
    <row r="319" spans="1:15" x14ac:dyDescent="0.25">
      <c r="A319" s="2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</row>
    <row r="320" spans="1:15" x14ac:dyDescent="0.25">
      <c r="A320" s="2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</row>
    <row r="321" spans="1:15" x14ac:dyDescent="0.25">
      <c r="A321" s="2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</row>
    <row r="322" spans="1:15" x14ac:dyDescent="0.25">
      <c r="A322" s="2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</row>
    <row r="323" spans="1:15" x14ac:dyDescent="0.25">
      <c r="A323" s="2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</row>
    <row r="324" spans="1:15" x14ac:dyDescent="0.25">
      <c r="A324" s="2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</row>
    <row r="325" spans="1:15" x14ac:dyDescent="0.25">
      <c r="A325" s="2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</row>
    <row r="326" spans="1:15" x14ac:dyDescent="0.25">
      <c r="A326" s="2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</row>
    <row r="327" spans="1:15" x14ac:dyDescent="0.25">
      <c r="A327" s="2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</row>
    <row r="328" spans="1:15" x14ac:dyDescent="0.25">
      <c r="A328" s="2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</row>
    <row r="329" spans="1:15" x14ac:dyDescent="0.25">
      <c r="A329" s="2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</row>
    <row r="330" spans="1:15" x14ac:dyDescent="0.25">
      <c r="A330" s="2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</row>
    <row r="331" spans="1:15" x14ac:dyDescent="0.25">
      <c r="A331" s="2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</row>
    <row r="332" spans="1:15" x14ac:dyDescent="0.25">
      <c r="A332" s="2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</row>
    <row r="333" spans="1:15" x14ac:dyDescent="0.25">
      <c r="A333" s="2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</row>
    <row r="334" spans="1:15" x14ac:dyDescent="0.25">
      <c r="A334" s="2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</row>
    <row r="335" spans="1:15" x14ac:dyDescent="0.25">
      <c r="A335" s="2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</row>
    <row r="336" spans="1:15" x14ac:dyDescent="0.25">
      <c r="A336" s="2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</row>
    <row r="337" spans="1:15" x14ac:dyDescent="0.25">
      <c r="A337" s="2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</row>
    <row r="338" spans="1:15" x14ac:dyDescent="0.25">
      <c r="A338" s="2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</row>
    <row r="339" spans="1:15" x14ac:dyDescent="0.25">
      <c r="A339" s="2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</row>
    <row r="340" spans="1:15" x14ac:dyDescent="0.25">
      <c r="A340" s="2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</row>
    <row r="341" spans="1:15" x14ac:dyDescent="0.25">
      <c r="A341" s="2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</row>
    <row r="342" spans="1:15" x14ac:dyDescent="0.25">
      <c r="A342" s="2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</row>
    <row r="343" spans="1:15" x14ac:dyDescent="0.25">
      <c r="A343" s="2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</row>
    <row r="344" spans="1:15" x14ac:dyDescent="0.25">
      <c r="A344" s="2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</row>
    <row r="345" spans="1:15" x14ac:dyDescent="0.25">
      <c r="A345" s="2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</row>
    <row r="346" spans="1:15" x14ac:dyDescent="0.25">
      <c r="A346" s="2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</row>
    <row r="347" spans="1:15" x14ac:dyDescent="0.25">
      <c r="A347" s="2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</row>
    <row r="348" spans="1:15" x14ac:dyDescent="0.25">
      <c r="A348" s="2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</row>
    <row r="349" spans="1:15" x14ac:dyDescent="0.25">
      <c r="A349" s="2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</row>
    <row r="350" spans="1:15" x14ac:dyDescent="0.25">
      <c r="A350" s="2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</row>
    <row r="351" spans="1:15" x14ac:dyDescent="0.25">
      <c r="A351" s="2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</row>
    <row r="352" spans="1:15" x14ac:dyDescent="0.25">
      <c r="A352" s="2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</row>
    <row r="353" spans="1:15" x14ac:dyDescent="0.25">
      <c r="A353" s="2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</row>
    <row r="354" spans="1:15" x14ac:dyDescent="0.25">
      <c r="A354" s="2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</row>
    <row r="355" spans="1:15" x14ac:dyDescent="0.25">
      <c r="A355" s="2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</row>
    <row r="356" spans="1:15" x14ac:dyDescent="0.25">
      <c r="A356" s="2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</row>
    <row r="357" spans="1:15" x14ac:dyDescent="0.25">
      <c r="A357" s="2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</row>
    <row r="358" spans="1:15" x14ac:dyDescent="0.25">
      <c r="A358" s="2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</row>
    <row r="359" spans="1:15" x14ac:dyDescent="0.25">
      <c r="A359" s="2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</row>
    <row r="360" spans="1:15" x14ac:dyDescent="0.25">
      <c r="A360" s="2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</row>
    <row r="361" spans="1:15" x14ac:dyDescent="0.25">
      <c r="A361" s="2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</row>
    <row r="362" spans="1:15" x14ac:dyDescent="0.25">
      <c r="A362" s="2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</row>
    <row r="363" spans="1:15" x14ac:dyDescent="0.25">
      <c r="A363" s="2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</row>
    <row r="364" spans="1:15" x14ac:dyDescent="0.25">
      <c r="A364" s="2"/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</row>
    <row r="365" spans="1:15" x14ac:dyDescent="0.25">
      <c r="A365" s="2"/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</row>
    <row r="366" spans="1:15" x14ac:dyDescent="0.25">
      <c r="A366" s="2"/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</row>
    <row r="367" spans="1:15" x14ac:dyDescent="0.25">
      <c r="A367" s="2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</row>
    <row r="368" spans="1:15" x14ac:dyDescent="0.25">
      <c r="A368" s="2"/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</row>
    <row r="369" spans="1:15" x14ac:dyDescent="0.25">
      <c r="A369" s="2"/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</row>
    <row r="370" spans="1:15" x14ac:dyDescent="0.25">
      <c r="A370" s="2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</row>
    <row r="371" spans="1:15" x14ac:dyDescent="0.25">
      <c r="A371" s="2"/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</row>
    <row r="372" spans="1:15" x14ac:dyDescent="0.25">
      <c r="A372" s="2"/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</row>
    <row r="373" spans="1:15" x14ac:dyDescent="0.25">
      <c r="A373" s="2"/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</row>
    <row r="374" spans="1:15" x14ac:dyDescent="0.25">
      <c r="A374" s="2"/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</row>
    <row r="375" spans="1:15" x14ac:dyDescent="0.25">
      <c r="A375" s="2"/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</row>
    <row r="376" spans="1:15" x14ac:dyDescent="0.25">
      <c r="A376" s="2"/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</row>
    <row r="377" spans="1:15" x14ac:dyDescent="0.25">
      <c r="A377" s="2"/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</row>
    <row r="378" spans="1:15" x14ac:dyDescent="0.25">
      <c r="A378" s="2"/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</row>
    <row r="379" spans="1:15" x14ac:dyDescent="0.25">
      <c r="A379" s="2"/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</row>
    <row r="380" spans="1:15" x14ac:dyDescent="0.25">
      <c r="A380" s="2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</row>
    <row r="381" spans="1:15" x14ac:dyDescent="0.25">
      <c r="A381" s="2"/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</row>
    <row r="382" spans="1:15" x14ac:dyDescent="0.25">
      <c r="A382" s="2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</row>
    <row r="383" spans="1:15" x14ac:dyDescent="0.25">
      <c r="A383" s="2"/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</row>
    <row r="384" spans="1:15" x14ac:dyDescent="0.25">
      <c r="A384" s="2"/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</row>
    <row r="385" spans="1:15" x14ac:dyDescent="0.25">
      <c r="A385" s="2"/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</row>
    <row r="386" spans="1:15" x14ac:dyDescent="0.25">
      <c r="A386" s="2"/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</row>
    <row r="387" spans="1:15" x14ac:dyDescent="0.25">
      <c r="A387" s="2"/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</row>
    <row r="388" spans="1:15" x14ac:dyDescent="0.25">
      <c r="A388" s="2"/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</row>
    <row r="389" spans="1:15" x14ac:dyDescent="0.25">
      <c r="A389" s="2"/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</row>
    <row r="390" spans="1:15" x14ac:dyDescent="0.25">
      <c r="A390" s="2"/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</row>
    <row r="391" spans="1:15" x14ac:dyDescent="0.25">
      <c r="A391" s="2"/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</row>
    <row r="392" spans="1:15" x14ac:dyDescent="0.25">
      <c r="A392" s="2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</row>
    <row r="393" spans="1:15" x14ac:dyDescent="0.25">
      <c r="A393" s="2"/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</row>
    <row r="394" spans="1:15" x14ac:dyDescent="0.25">
      <c r="A394" s="2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</row>
    <row r="395" spans="1:15" x14ac:dyDescent="0.25">
      <c r="A395" s="2"/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</row>
    <row r="396" spans="1:15" x14ac:dyDescent="0.25">
      <c r="A396" s="2"/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</row>
    <row r="397" spans="1:15" x14ac:dyDescent="0.25">
      <c r="A397" s="2"/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</row>
    <row r="398" spans="1:15" x14ac:dyDescent="0.25">
      <c r="A398" s="2"/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</row>
    <row r="399" spans="1:15" x14ac:dyDescent="0.25">
      <c r="A399" s="2"/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</row>
    <row r="400" spans="1:15" x14ac:dyDescent="0.25">
      <c r="A400" s="2"/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</row>
    <row r="401" spans="1:15" x14ac:dyDescent="0.25">
      <c r="A401" s="2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</row>
    <row r="402" spans="1:15" x14ac:dyDescent="0.25">
      <c r="A402" s="2"/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</row>
    <row r="403" spans="1:15" x14ac:dyDescent="0.25">
      <c r="A403" s="2"/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</row>
    <row r="404" spans="1:15" x14ac:dyDescent="0.25">
      <c r="A404" s="2"/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</row>
    <row r="405" spans="1:15" x14ac:dyDescent="0.25">
      <c r="A405" s="2"/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</row>
    <row r="406" spans="1:15" x14ac:dyDescent="0.25">
      <c r="A406" s="2"/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</row>
    <row r="407" spans="1:15" x14ac:dyDescent="0.25">
      <c r="A407" s="2"/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</row>
    <row r="408" spans="1:15" x14ac:dyDescent="0.25">
      <c r="A408" s="2"/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</row>
    <row r="409" spans="1:15" x14ac:dyDescent="0.25">
      <c r="A409" s="2"/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</row>
    <row r="410" spans="1:15" x14ac:dyDescent="0.25">
      <c r="A410" s="2"/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</row>
    <row r="411" spans="1:15" x14ac:dyDescent="0.25">
      <c r="A411" s="2"/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</row>
    <row r="412" spans="1:15" x14ac:dyDescent="0.25">
      <c r="A412" s="2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</row>
    <row r="413" spans="1:15" x14ac:dyDescent="0.25">
      <c r="A413" s="2"/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</row>
    <row r="414" spans="1:15" x14ac:dyDescent="0.25">
      <c r="A414" s="2"/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</row>
    <row r="415" spans="1:15" x14ac:dyDescent="0.25">
      <c r="A415" s="2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</row>
    <row r="416" spans="1:15" x14ac:dyDescent="0.25">
      <c r="A416" s="2"/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</row>
    <row r="417" spans="1:15" x14ac:dyDescent="0.25">
      <c r="A417" s="2"/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</row>
    <row r="418" spans="1:15" x14ac:dyDescent="0.25">
      <c r="A418" s="2"/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</row>
    <row r="419" spans="1:15" x14ac:dyDescent="0.25">
      <c r="A419" s="2"/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</row>
    <row r="420" spans="1:15" x14ac:dyDescent="0.25">
      <c r="A420" s="2"/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</row>
    <row r="421" spans="1:15" x14ac:dyDescent="0.25">
      <c r="A421" s="2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</row>
    <row r="422" spans="1:15" x14ac:dyDescent="0.25">
      <c r="A422" s="2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</row>
    <row r="423" spans="1:15" x14ac:dyDescent="0.25">
      <c r="A423" s="2"/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</row>
    <row r="424" spans="1:15" x14ac:dyDescent="0.25">
      <c r="A424" s="2"/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</row>
    <row r="425" spans="1:15" x14ac:dyDescent="0.25">
      <c r="A425" s="2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</row>
    <row r="426" spans="1:15" x14ac:dyDescent="0.25">
      <c r="A426" s="2"/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</row>
    <row r="427" spans="1:15" x14ac:dyDescent="0.25">
      <c r="A427" s="2"/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</row>
    <row r="428" spans="1:15" x14ac:dyDescent="0.25">
      <c r="A428" s="2"/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</row>
    <row r="429" spans="1:15" x14ac:dyDescent="0.25">
      <c r="A429" s="2"/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</row>
    <row r="430" spans="1:15" x14ac:dyDescent="0.25">
      <c r="A430" s="2"/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</row>
    <row r="431" spans="1:15" x14ac:dyDescent="0.25">
      <c r="A431" s="2"/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</row>
    <row r="432" spans="1:15" x14ac:dyDescent="0.25">
      <c r="A432" s="2"/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</row>
    <row r="433" spans="1:15" x14ac:dyDescent="0.25">
      <c r="A433" s="2"/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</row>
    <row r="434" spans="1:15" x14ac:dyDescent="0.25">
      <c r="A434" s="2"/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</row>
    <row r="435" spans="1:15" x14ac:dyDescent="0.25">
      <c r="A435" s="2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</row>
    <row r="436" spans="1:15" x14ac:dyDescent="0.25">
      <c r="A436" s="2"/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</row>
    <row r="437" spans="1:15" x14ac:dyDescent="0.25">
      <c r="A437" s="2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</row>
    <row r="438" spans="1:15" x14ac:dyDescent="0.25">
      <c r="A438" s="2"/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</row>
    <row r="439" spans="1:15" x14ac:dyDescent="0.25">
      <c r="A439" s="2"/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</row>
    <row r="440" spans="1:15" x14ac:dyDescent="0.25">
      <c r="A440" s="2"/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</row>
    <row r="441" spans="1:15" x14ac:dyDescent="0.25">
      <c r="A441" s="2"/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</row>
    <row r="442" spans="1:15" x14ac:dyDescent="0.25">
      <c r="A442" s="2"/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</row>
    <row r="443" spans="1:15" x14ac:dyDescent="0.25">
      <c r="A443" s="2"/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</row>
    <row r="444" spans="1:15" x14ac:dyDescent="0.25">
      <c r="A444" s="2"/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</row>
    <row r="445" spans="1:15" x14ac:dyDescent="0.25">
      <c r="A445" s="2"/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</row>
    <row r="446" spans="1:15" x14ac:dyDescent="0.25">
      <c r="A446" s="2"/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</row>
    <row r="447" spans="1:15" x14ac:dyDescent="0.25">
      <c r="A447" s="2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</row>
    <row r="448" spans="1:15" x14ac:dyDescent="0.25">
      <c r="A448" s="2"/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</row>
    <row r="449" spans="1:15" x14ac:dyDescent="0.25">
      <c r="A449" s="2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</row>
    <row r="450" spans="1:15" x14ac:dyDescent="0.25">
      <c r="A450" s="2"/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</row>
    <row r="451" spans="1:15" x14ac:dyDescent="0.25">
      <c r="A451" s="2"/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</row>
    <row r="452" spans="1:15" x14ac:dyDescent="0.25">
      <c r="A452" s="2"/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</row>
    <row r="453" spans="1:15" x14ac:dyDescent="0.25">
      <c r="A453" s="2"/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</row>
    <row r="454" spans="1:15" x14ac:dyDescent="0.25">
      <c r="A454" s="2"/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</row>
    <row r="455" spans="1:15" x14ac:dyDescent="0.25">
      <c r="A455" s="2"/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</row>
    <row r="456" spans="1:15" x14ac:dyDescent="0.25">
      <c r="A456" s="2"/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</row>
    <row r="457" spans="1:15" x14ac:dyDescent="0.25">
      <c r="A457" s="2"/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</row>
    <row r="458" spans="1:15" x14ac:dyDescent="0.25">
      <c r="A458" s="2"/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</row>
    <row r="459" spans="1:15" x14ac:dyDescent="0.25">
      <c r="A459" s="2"/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</row>
    <row r="460" spans="1:15" x14ac:dyDescent="0.25">
      <c r="A460" s="2"/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</row>
    <row r="461" spans="1:15" x14ac:dyDescent="0.25">
      <c r="A461" s="2"/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</row>
    <row r="462" spans="1:15" x14ac:dyDescent="0.25">
      <c r="A462" s="2"/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</row>
    <row r="463" spans="1:15" x14ac:dyDescent="0.25">
      <c r="A463" s="2"/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</row>
    <row r="464" spans="1:15" x14ac:dyDescent="0.25">
      <c r="A464" s="2"/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</row>
    <row r="465" spans="1:15" x14ac:dyDescent="0.25">
      <c r="A465" s="2"/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</row>
    <row r="466" spans="1:15" x14ac:dyDescent="0.25">
      <c r="A466" s="2"/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</row>
    <row r="467" spans="1:15" x14ac:dyDescent="0.25">
      <c r="A467" s="2"/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</row>
    <row r="468" spans="1:15" x14ac:dyDescent="0.25">
      <c r="A468" s="2"/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</row>
    <row r="469" spans="1:15" x14ac:dyDescent="0.25">
      <c r="A469" s="2"/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</row>
    <row r="470" spans="1:15" x14ac:dyDescent="0.25">
      <c r="A470" s="2"/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</row>
    <row r="471" spans="1:15" x14ac:dyDescent="0.25">
      <c r="A471" s="2"/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</row>
    <row r="472" spans="1:15" x14ac:dyDescent="0.25">
      <c r="A472" s="2"/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</row>
    <row r="473" spans="1:15" x14ac:dyDescent="0.25">
      <c r="A473" s="2"/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</row>
    <row r="474" spans="1:15" x14ac:dyDescent="0.25">
      <c r="A474" s="2"/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</row>
    <row r="475" spans="1:15" x14ac:dyDescent="0.25">
      <c r="A475" s="2"/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</row>
    <row r="476" spans="1:15" x14ac:dyDescent="0.25">
      <c r="A476" s="2"/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</row>
    <row r="477" spans="1:15" x14ac:dyDescent="0.25">
      <c r="A477" s="2"/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</row>
    <row r="478" spans="1:15" x14ac:dyDescent="0.25">
      <c r="A478" s="2"/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</row>
    <row r="479" spans="1:15" x14ac:dyDescent="0.25">
      <c r="A479" s="2"/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</row>
    <row r="480" spans="1:15" x14ac:dyDescent="0.25">
      <c r="A480" s="2"/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</row>
    <row r="481" spans="1:15" x14ac:dyDescent="0.25">
      <c r="A481" s="2"/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</row>
    <row r="482" spans="1:15" x14ac:dyDescent="0.25">
      <c r="A482" s="2"/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</row>
    <row r="483" spans="1:15" x14ac:dyDescent="0.25">
      <c r="A483" s="2"/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</row>
    <row r="484" spans="1:15" x14ac:dyDescent="0.25">
      <c r="A484" s="2"/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</row>
    <row r="485" spans="1:15" x14ac:dyDescent="0.25">
      <c r="A485" s="2"/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</row>
    <row r="486" spans="1:15" x14ac:dyDescent="0.25">
      <c r="A486" s="2"/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</row>
    <row r="487" spans="1:15" x14ac:dyDescent="0.25">
      <c r="A487" s="2"/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</row>
    <row r="488" spans="1:15" x14ac:dyDescent="0.25">
      <c r="A488" s="2"/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</row>
    <row r="489" spans="1:15" x14ac:dyDescent="0.25">
      <c r="A489" s="2"/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</row>
    <row r="490" spans="1:15" x14ac:dyDescent="0.25">
      <c r="A490" s="2"/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</row>
    <row r="491" spans="1:15" x14ac:dyDescent="0.25">
      <c r="A491" s="2"/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</row>
    <row r="492" spans="1:15" x14ac:dyDescent="0.25">
      <c r="A492" s="2"/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</row>
    <row r="493" spans="1:15" x14ac:dyDescent="0.25">
      <c r="A493" s="2"/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</row>
    <row r="494" spans="1:15" x14ac:dyDescent="0.25">
      <c r="A494" s="2"/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</row>
    <row r="495" spans="1:15" x14ac:dyDescent="0.25">
      <c r="A495" s="2"/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</row>
    <row r="496" spans="1:15" x14ac:dyDescent="0.25">
      <c r="A496" s="2"/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</row>
    <row r="497" spans="1:15" x14ac:dyDescent="0.25">
      <c r="A497" s="2"/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</row>
    <row r="498" spans="1:15" x14ac:dyDescent="0.25">
      <c r="A498" s="2"/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</row>
    <row r="499" spans="1:15" x14ac:dyDescent="0.25">
      <c r="A499" s="2"/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</row>
    <row r="500" spans="1:15" x14ac:dyDescent="0.25">
      <c r="A500" s="2"/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</row>
    <row r="501" spans="1:15" x14ac:dyDescent="0.25">
      <c r="A501" s="2"/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</row>
    <row r="502" spans="1:15" x14ac:dyDescent="0.25">
      <c r="A502" s="2"/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</row>
    <row r="503" spans="1:15" x14ac:dyDescent="0.25">
      <c r="A503" s="2"/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</row>
    <row r="504" spans="1:15" x14ac:dyDescent="0.25">
      <c r="A504" s="2"/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</row>
    <row r="505" spans="1:15" x14ac:dyDescent="0.25">
      <c r="A505" s="2"/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</row>
    <row r="506" spans="1:15" x14ac:dyDescent="0.25">
      <c r="A506" s="2"/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</row>
    <row r="507" spans="1:15" x14ac:dyDescent="0.25">
      <c r="A507" s="2"/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</row>
    <row r="508" spans="1:15" x14ac:dyDescent="0.25">
      <c r="A508" s="2"/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</row>
    <row r="509" spans="1:15" x14ac:dyDescent="0.25">
      <c r="A509" s="2"/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</row>
    <row r="510" spans="1:15" x14ac:dyDescent="0.25">
      <c r="A510" s="2"/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</row>
    <row r="511" spans="1:15" x14ac:dyDescent="0.25">
      <c r="A511" s="2"/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</row>
    <row r="512" spans="1:15" x14ac:dyDescent="0.25">
      <c r="A512" s="2"/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</row>
    <row r="513" spans="1:15" x14ac:dyDescent="0.25">
      <c r="A513" s="2"/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</row>
    <row r="514" spans="1:15" x14ac:dyDescent="0.25">
      <c r="A514" s="2"/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</row>
    <row r="515" spans="1:15" x14ac:dyDescent="0.25">
      <c r="A515" s="2"/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</row>
    <row r="516" spans="1:15" x14ac:dyDescent="0.25">
      <c r="A516" s="2"/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</row>
    <row r="517" spans="1:15" x14ac:dyDescent="0.25">
      <c r="A517" s="2"/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</row>
    <row r="518" spans="1:15" x14ac:dyDescent="0.25">
      <c r="A518" s="2"/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</row>
    <row r="519" spans="1:15" x14ac:dyDescent="0.25">
      <c r="A519" s="2"/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</row>
    <row r="520" spans="1:15" x14ac:dyDescent="0.25">
      <c r="A520" s="2"/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</row>
    <row r="521" spans="1:15" x14ac:dyDescent="0.25">
      <c r="A521" s="2"/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</row>
    <row r="522" spans="1:15" x14ac:dyDescent="0.25">
      <c r="A522" s="2"/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</row>
    <row r="523" spans="1:15" x14ac:dyDescent="0.25">
      <c r="A523" s="2"/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</row>
    <row r="524" spans="1:15" x14ac:dyDescent="0.25">
      <c r="A524" s="2"/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</row>
    <row r="525" spans="1:15" x14ac:dyDescent="0.25">
      <c r="A525" s="2"/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</row>
    <row r="526" spans="1:15" x14ac:dyDescent="0.25">
      <c r="A526" s="2"/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</row>
    <row r="527" spans="1:15" x14ac:dyDescent="0.25">
      <c r="A527" s="2"/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</row>
    <row r="528" spans="1:15" x14ac:dyDescent="0.25">
      <c r="A528" s="2"/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</row>
    <row r="529" spans="1:15" x14ac:dyDescent="0.25">
      <c r="A529" s="2"/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</row>
    <row r="530" spans="1:15" x14ac:dyDescent="0.25">
      <c r="A530" s="2"/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</row>
    <row r="531" spans="1:15" x14ac:dyDescent="0.25">
      <c r="A531" s="2"/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</row>
    <row r="532" spans="1:15" x14ac:dyDescent="0.25">
      <c r="A532" s="2"/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</row>
    <row r="533" spans="1:15" x14ac:dyDescent="0.25">
      <c r="A533" s="2"/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</row>
    <row r="534" spans="1:15" x14ac:dyDescent="0.25">
      <c r="A534" s="2"/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</row>
    <row r="535" spans="1:15" x14ac:dyDescent="0.25">
      <c r="A535" s="2"/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</row>
    <row r="536" spans="1:15" x14ac:dyDescent="0.25">
      <c r="A536" s="2"/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</row>
    <row r="537" spans="1:15" x14ac:dyDescent="0.25">
      <c r="A537" s="2"/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</row>
    <row r="538" spans="1:15" x14ac:dyDescent="0.25">
      <c r="A538" s="2"/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</row>
    <row r="539" spans="1:15" x14ac:dyDescent="0.25">
      <c r="A539" s="2"/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</row>
    <row r="540" spans="1:15" x14ac:dyDescent="0.25">
      <c r="A540" s="2"/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</row>
    <row r="541" spans="1:15" x14ac:dyDescent="0.25">
      <c r="A541" s="2"/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</row>
    <row r="542" spans="1:15" x14ac:dyDescent="0.25">
      <c r="A542" s="2"/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</row>
    <row r="543" spans="1:15" x14ac:dyDescent="0.25">
      <c r="A543" s="2"/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</row>
    <row r="544" spans="1:15" x14ac:dyDescent="0.25">
      <c r="A544" s="2"/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</row>
    <row r="545" spans="1:15" x14ac:dyDescent="0.25">
      <c r="A545" s="2"/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</row>
    <row r="546" spans="1:15" x14ac:dyDescent="0.25">
      <c r="A546" s="2"/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</row>
    <row r="547" spans="1:15" x14ac:dyDescent="0.25">
      <c r="A547" s="2"/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</row>
    <row r="548" spans="1:15" x14ac:dyDescent="0.25">
      <c r="A548" s="2"/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</row>
    <row r="549" spans="1:15" x14ac:dyDescent="0.25">
      <c r="A549" s="2"/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</row>
    <row r="550" spans="1:15" x14ac:dyDescent="0.25">
      <c r="A550" s="2"/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</row>
    <row r="551" spans="1:15" x14ac:dyDescent="0.25">
      <c r="A551" s="2"/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</row>
    <row r="552" spans="1:15" x14ac:dyDescent="0.25">
      <c r="A552" s="2"/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</row>
    <row r="553" spans="1:15" x14ac:dyDescent="0.25">
      <c r="A553" s="2"/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</row>
    <row r="554" spans="1:15" x14ac:dyDescent="0.25">
      <c r="A554" s="2"/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</row>
    <row r="555" spans="1:15" x14ac:dyDescent="0.25">
      <c r="A555" s="2"/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</row>
    <row r="556" spans="1:15" x14ac:dyDescent="0.25">
      <c r="A556" s="2"/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</row>
    <row r="557" spans="1:15" x14ac:dyDescent="0.25">
      <c r="A557" s="2"/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</row>
    <row r="558" spans="1:15" x14ac:dyDescent="0.25">
      <c r="A558" s="2"/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</row>
    <row r="559" spans="1:15" x14ac:dyDescent="0.25">
      <c r="A559" s="2"/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</row>
    <row r="560" spans="1:15" x14ac:dyDescent="0.25">
      <c r="A560" s="2"/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</row>
    <row r="561" spans="1:15" x14ac:dyDescent="0.25">
      <c r="A561" s="2"/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</row>
    <row r="562" spans="1:15" x14ac:dyDescent="0.25">
      <c r="A562" s="2"/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</row>
    <row r="563" spans="1:15" x14ac:dyDescent="0.25">
      <c r="A563" s="2"/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</row>
    <row r="564" spans="1:15" x14ac:dyDescent="0.25">
      <c r="A564" s="2"/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</row>
    <row r="565" spans="1:15" x14ac:dyDescent="0.25">
      <c r="A565" s="2"/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</row>
    <row r="566" spans="1:15" x14ac:dyDescent="0.25">
      <c r="A566" s="2"/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</row>
    <row r="567" spans="1:15" x14ac:dyDescent="0.25">
      <c r="A567" s="2"/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</row>
    <row r="568" spans="1:15" x14ac:dyDescent="0.25">
      <c r="A568" s="2"/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</row>
    <row r="569" spans="1:15" x14ac:dyDescent="0.25">
      <c r="A569" s="2"/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</row>
    <row r="570" spans="1:15" x14ac:dyDescent="0.25">
      <c r="A570" s="2"/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</row>
    <row r="571" spans="1:15" x14ac:dyDescent="0.25">
      <c r="A571" s="2"/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</row>
    <row r="572" spans="1:15" x14ac:dyDescent="0.25">
      <c r="A572" s="2"/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</row>
    <row r="573" spans="1:15" x14ac:dyDescent="0.25">
      <c r="A573" s="2"/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</row>
    <row r="574" spans="1:15" x14ac:dyDescent="0.25">
      <c r="A574" s="2"/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</row>
    <row r="575" spans="1:15" x14ac:dyDescent="0.25">
      <c r="A575" s="2"/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</row>
    <row r="576" spans="1:15" x14ac:dyDescent="0.25">
      <c r="A576" s="2"/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</row>
    <row r="577" spans="1:15" x14ac:dyDescent="0.25">
      <c r="A577" s="2"/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</row>
    <row r="578" spans="1:15" x14ac:dyDescent="0.25">
      <c r="A578" s="2"/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</row>
    <row r="579" spans="1:15" x14ac:dyDescent="0.25">
      <c r="A579" s="2"/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</row>
    <row r="580" spans="1:15" x14ac:dyDescent="0.25">
      <c r="A580" s="2"/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</row>
    <row r="581" spans="1:15" x14ac:dyDescent="0.25">
      <c r="A581" s="2"/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</row>
    <row r="582" spans="1:15" x14ac:dyDescent="0.25">
      <c r="A582" s="2"/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</row>
    <row r="583" spans="1:15" x14ac:dyDescent="0.25">
      <c r="A583" s="2"/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</row>
    <row r="584" spans="1:15" x14ac:dyDescent="0.25">
      <c r="A584" s="2"/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</row>
    <row r="585" spans="1:15" x14ac:dyDescent="0.25">
      <c r="A585" s="2"/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</row>
    <row r="586" spans="1:15" x14ac:dyDescent="0.25">
      <c r="A586" s="2"/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</row>
    <row r="587" spans="1:15" x14ac:dyDescent="0.25">
      <c r="A587" s="2"/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</row>
    <row r="588" spans="1:15" x14ac:dyDescent="0.25">
      <c r="A588" s="2"/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</row>
    <row r="589" spans="1:15" x14ac:dyDescent="0.25">
      <c r="A589" s="2"/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</row>
    <row r="590" spans="1:15" x14ac:dyDescent="0.25">
      <c r="A590" s="2"/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</row>
    <row r="591" spans="1:15" x14ac:dyDescent="0.25">
      <c r="A591" s="2"/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</row>
    <row r="592" spans="1:15" x14ac:dyDescent="0.25">
      <c r="A592" s="2"/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</row>
    <row r="593" spans="1:15" x14ac:dyDescent="0.25">
      <c r="A593" s="2"/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</row>
    <row r="594" spans="1:15" x14ac:dyDescent="0.25">
      <c r="A594" s="2"/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</row>
    <row r="595" spans="1:15" x14ac:dyDescent="0.25">
      <c r="A595" s="2"/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</row>
    <row r="596" spans="1:15" x14ac:dyDescent="0.25">
      <c r="A596" s="2"/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</row>
    <row r="597" spans="1:15" x14ac:dyDescent="0.25">
      <c r="A597" s="2"/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</row>
    <row r="598" spans="1:15" x14ac:dyDescent="0.25">
      <c r="A598" s="2"/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</row>
    <row r="599" spans="1:15" x14ac:dyDescent="0.25">
      <c r="A599" s="2"/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</row>
    <row r="600" spans="1:15" x14ac:dyDescent="0.25">
      <c r="A600" s="2"/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</row>
    <row r="601" spans="1:15" x14ac:dyDescent="0.25">
      <c r="A601" s="2"/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</row>
    <row r="602" spans="1:15" x14ac:dyDescent="0.25">
      <c r="A602" s="2"/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</row>
    <row r="603" spans="1:15" x14ac:dyDescent="0.25">
      <c r="A603" s="2"/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</row>
    <row r="604" spans="1:15" x14ac:dyDescent="0.25">
      <c r="A604" s="2"/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</row>
    <row r="605" spans="1:15" x14ac:dyDescent="0.25">
      <c r="A605" s="2"/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</row>
    <row r="606" spans="1:15" x14ac:dyDescent="0.25">
      <c r="A606" s="2"/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</row>
    <row r="607" spans="1:15" x14ac:dyDescent="0.25">
      <c r="A607" s="2"/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</row>
    <row r="608" spans="1:15" x14ac:dyDescent="0.25">
      <c r="A608" s="2"/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</row>
    <row r="609" spans="1:15" x14ac:dyDescent="0.25">
      <c r="A609" s="2"/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</row>
    <row r="610" spans="1:15" x14ac:dyDescent="0.25">
      <c r="A610" s="2"/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</row>
    <row r="611" spans="1:15" x14ac:dyDescent="0.25">
      <c r="A611" s="2"/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</row>
    <row r="612" spans="1:15" x14ac:dyDescent="0.25">
      <c r="A612" s="2"/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</row>
    <row r="613" spans="1:15" x14ac:dyDescent="0.25">
      <c r="A613" s="2"/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</row>
    <row r="614" spans="1:15" x14ac:dyDescent="0.25">
      <c r="A614" s="2"/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</row>
    <row r="615" spans="1:15" x14ac:dyDescent="0.25">
      <c r="A615" s="2"/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</row>
    <row r="616" spans="1:15" x14ac:dyDescent="0.25">
      <c r="A616" s="2"/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</row>
    <row r="617" spans="1:15" x14ac:dyDescent="0.25">
      <c r="A617" s="2"/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</row>
    <row r="618" spans="1:15" x14ac:dyDescent="0.25">
      <c r="A618" s="2"/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</row>
    <row r="619" spans="1:15" x14ac:dyDescent="0.25">
      <c r="A619" s="2"/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</row>
    <row r="620" spans="1:15" x14ac:dyDescent="0.25">
      <c r="A620" s="2"/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</row>
    <row r="621" spans="1:15" x14ac:dyDescent="0.25">
      <c r="A621" s="2"/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</row>
    <row r="622" spans="1:15" x14ac:dyDescent="0.25">
      <c r="A622" s="2"/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</row>
    <row r="623" spans="1:15" x14ac:dyDescent="0.25">
      <c r="A623" s="2"/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</row>
    <row r="624" spans="1:15" x14ac:dyDescent="0.25">
      <c r="A624" s="2"/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</row>
    <row r="625" spans="1:15" x14ac:dyDescent="0.25">
      <c r="A625" s="2"/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</row>
    <row r="626" spans="1:15" x14ac:dyDescent="0.25">
      <c r="A626" s="2"/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</row>
    <row r="627" spans="1:15" x14ac:dyDescent="0.25">
      <c r="A627" s="2"/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</row>
    <row r="628" spans="1:15" x14ac:dyDescent="0.25">
      <c r="A628" s="2"/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</row>
    <row r="629" spans="1:15" x14ac:dyDescent="0.25">
      <c r="A629" s="2"/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</row>
    <row r="630" spans="1:15" x14ac:dyDescent="0.25">
      <c r="A630" s="2"/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</row>
    <row r="631" spans="1:15" x14ac:dyDescent="0.25">
      <c r="A631" s="2"/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</row>
    <row r="632" spans="1:15" x14ac:dyDescent="0.25">
      <c r="A632" s="2"/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</row>
    <row r="633" spans="1:15" x14ac:dyDescent="0.25">
      <c r="A633" s="2"/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</row>
    <row r="634" spans="1:15" x14ac:dyDescent="0.25">
      <c r="A634" s="2"/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</row>
    <row r="635" spans="1:15" x14ac:dyDescent="0.25">
      <c r="A635" s="2"/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</row>
    <row r="636" spans="1:15" x14ac:dyDescent="0.25">
      <c r="A636" s="2"/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</row>
    <row r="637" spans="1:15" x14ac:dyDescent="0.25">
      <c r="A637" s="2"/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</row>
    <row r="638" spans="1:15" x14ac:dyDescent="0.25">
      <c r="A638" s="2"/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</row>
    <row r="639" spans="1:15" x14ac:dyDescent="0.25">
      <c r="A639" s="2"/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</row>
    <row r="640" spans="1:15" x14ac:dyDescent="0.25">
      <c r="A640" s="2"/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</row>
    <row r="641" spans="1:15" x14ac:dyDescent="0.25">
      <c r="A641" s="2"/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</row>
    <row r="642" spans="1:15" x14ac:dyDescent="0.25">
      <c r="A642" s="2"/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</row>
    <row r="643" spans="1:15" x14ac:dyDescent="0.25">
      <c r="A643" s="2"/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</row>
    <row r="644" spans="1:15" x14ac:dyDescent="0.25">
      <c r="A644" s="2"/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</row>
    <row r="645" spans="1:15" x14ac:dyDescent="0.25">
      <c r="A645" s="2"/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</row>
    <row r="646" spans="1:15" x14ac:dyDescent="0.25">
      <c r="A646" s="2"/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</row>
    <row r="647" spans="1:15" x14ac:dyDescent="0.25">
      <c r="A647" s="2"/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</row>
    <row r="648" spans="1:15" x14ac:dyDescent="0.25">
      <c r="A648" s="2"/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</row>
    <row r="649" spans="1:15" x14ac:dyDescent="0.25">
      <c r="A649" s="2"/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</row>
    <row r="650" spans="1:15" x14ac:dyDescent="0.25">
      <c r="A650" s="2"/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</row>
    <row r="651" spans="1:15" x14ac:dyDescent="0.25">
      <c r="A651" s="2"/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</row>
    <row r="652" spans="1:15" x14ac:dyDescent="0.25">
      <c r="A652" s="2"/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</row>
    <row r="653" spans="1:15" x14ac:dyDescent="0.25">
      <c r="A653" s="2"/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</row>
    <row r="654" spans="1:15" x14ac:dyDescent="0.25">
      <c r="A654" s="2"/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</row>
    <row r="655" spans="1:15" x14ac:dyDescent="0.25">
      <c r="A655" s="2"/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</row>
    <row r="656" spans="1:15" x14ac:dyDescent="0.25">
      <c r="A656" s="2"/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</row>
    <row r="657" spans="1:15" x14ac:dyDescent="0.25">
      <c r="A657" s="2"/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</row>
    <row r="658" spans="1:15" x14ac:dyDescent="0.25">
      <c r="A658" s="2"/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</row>
    <row r="659" spans="1:15" x14ac:dyDescent="0.25">
      <c r="A659" s="2"/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</row>
    <row r="660" spans="1:15" x14ac:dyDescent="0.25">
      <c r="A660" s="2"/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</row>
    <row r="661" spans="1:15" x14ac:dyDescent="0.25">
      <c r="A661" s="2"/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</row>
    <row r="662" spans="1:15" x14ac:dyDescent="0.25">
      <c r="A662" s="2"/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</row>
    <row r="663" spans="1:15" x14ac:dyDescent="0.25">
      <c r="A663" s="2"/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</row>
    <row r="664" spans="1:15" x14ac:dyDescent="0.25">
      <c r="A664" s="2"/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</row>
    <row r="665" spans="1:15" x14ac:dyDescent="0.25">
      <c r="A665" s="2"/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</row>
    <row r="666" spans="1:15" x14ac:dyDescent="0.25">
      <c r="A666" s="2"/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</row>
    <row r="667" spans="1:15" x14ac:dyDescent="0.25">
      <c r="A667" s="2"/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</row>
    <row r="668" spans="1:15" x14ac:dyDescent="0.25">
      <c r="A668" s="2"/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</row>
    <row r="669" spans="1:15" x14ac:dyDescent="0.25">
      <c r="A669" s="2"/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</row>
    <row r="670" spans="1:15" x14ac:dyDescent="0.25">
      <c r="A670" s="2"/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</row>
    <row r="671" spans="1:15" x14ac:dyDescent="0.25">
      <c r="A671" s="2"/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</row>
    <row r="672" spans="1:15" x14ac:dyDescent="0.25">
      <c r="A672" s="2"/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</row>
    <row r="673" spans="1:15" x14ac:dyDescent="0.25">
      <c r="A673" s="2"/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</row>
    <row r="674" spans="1:15" x14ac:dyDescent="0.25">
      <c r="A674" s="2"/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</row>
    <row r="675" spans="1:15" x14ac:dyDescent="0.25">
      <c r="A675" s="2"/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</row>
    <row r="676" spans="1:15" x14ac:dyDescent="0.25">
      <c r="A676" s="2"/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</row>
    <row r="677" spans="1:15" x14ac:dyDescent="0.25">
      <c r="A677" s="2"/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</row>
    <row r="678" spans="1:15" x14ac:dyDescent="0.25">
      <c r="A678" s="2"/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</row>
    <row r="679" spans="1:15" x14ac:dyDescent="0.25">
      <c r="A679" s="2"/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</row>
    <row r="680" spans="1:15" x14ac:dyDescent="0.25">
      <c r="A680" s="2"/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</row>
    <row r="681" spans="1:15" x14ac:dyDescent="0.25">
      <c r="A681" s="2"/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</row>
    <row r="682" spans="1:15" x14ac:dyDescent="0.25">
      <c r="A682" s="2"/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</row>
    <row r="683" spans="1:15" x14ac:dyDescent="0.25">
      <c r="A683" s="2"/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</row>
    <row r="684" spans="1:15" x14ac:dyDescent="0.25">
      <c r="A684" s="2"/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</row>
    <row r="685" spans="1:15" x14ac:dyDescent="0.25">
      <c r="A685" s="2"/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</row>
    <row r="686" spans="1:15" x14ac:dyDescent="0.25">
      <c r="A686" s="2"/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</row>
    <row r="687" spans="1:15" x14ac:dyDescent="0.25">
      <c r="A687" s="2"/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</row>
    <row r="688" spans="1:15" x14ac:dyDescent="0.25">
      <c r="A688" s="2"/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</row>
    <row r="689" spans="1:15" x14ac:dyDescent="0.25">
      <c r="A689" s="2"/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</row>
    <row r="690" spans="1:15" x14ac:dyDescent="0.25">
      <c r="A690" s="2"/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</row>
    <row r="691" spans="1:15" x14ac:dyDescent="0.25">
      <c r="A691" s="2"/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</row>
    <row r="692" spans="1:15" x14ac:dyDescent="0.25">
      <c r="A692" s="2"/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</row>
    <row r="693" spans="1:15" x14ac:dyDescent="0.25">
      <c r="A693" s="2"/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</row>
    <row r="694" spans="1:15" x14ac:dyDescent="0.25">
      <c r="A694" s="2"/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</row>
    <row r="695" spans="1:15" x14ac:dyDescent="0.25">
      <c r="A695" s="2"/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</row>
    <row r="696" spans="1:15" x14ac:dyDescent="0.25">
      <c r="A696" s="2"/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</row>
    <row r="697" spans="1:15" x14ac:dyDescent="0.25">
      <c r="A697" s="2"/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</row>
    <row r="698" spans="1:15" x14ac:dyDescent="0.25">
      <c r="A698" s="2"/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</row>
    <row r="699" spans="1:15" x14ac:dyDescent="0.25">
      <c r="A699" s="2"/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</row>
    <row r="700" spans="1:15" x14ac:dyDescent="0.25">
      <c r="A700" s="2"/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</row>
    <row r="701" spans="1:15" x14ac:dyDescent="0.25">
      <c r="A701" s="2"/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</row>
    <row r="702" spans="1:15" x14ac:dyDescent="0.25">
      <c r="A702" s="2"/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</row>
    <row r="703" spans="1:15" x14ac:dyDescent="0.25">
      <c r="A703" s="2"/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</row>
    <row r="704" spans="1:15" x14ac:dyDescent="0.25">
      <c r="A704" s="2"/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</row>
    <row r="705" spans="1:15" x14ac:dyDescent="0.25">
      <c r="A705" s="2"/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</row>
    <row r="706" spans="1:15" x14ac:dyDescent="0.25">
      <c r="A706" s="2"/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</row>
    <row r="707" spans="1:15" x14ac:dyDescent="0.25">
      <c r="A707" s="2"/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</row>
    <row r="708" spans="1:15" x14ac:dyDescent="0.25">
      <c r="A708" s="2"/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</row>
    <row r="709" spans="1:15" x14ac:dyDescent="0.25">
      <c r="A709" s="2"/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</row>
    <row r="710" spans="1:15" x14ac:dyDescent="0.25">
      <c r="A710" s="2"/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</row>
    <row r="711" spans="1:15" x14ac:dyDescent="0.25">
      <c r="A711" s="2"/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</row>
    <row r="712" spans="1:15" x14ac:dyDescent="0.25">
      <c r="A712" s="2"/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</row>
    <row r="713" spans="1:15" x14ac:dyDescent="0.25">
      <c r="A713" s="2"/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</row>
    <row r="714" spans="1:15" x14ac:dyDescent="0.25">
      <c r="A714" s="2"/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</row>
    <row r="715" spans="1:15" x14ac:dyDescent="0.25">
      <c r="A715" s="2"/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</row>
    <row r="716" spans="1:15" x14ac:dyDescent="0.25">
      <c r="A716" s="2"/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</row>
    <row r="717" spans="1:15" x14ac:dyDescent="0.25">
      <c r="A717" s="2"/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</row>
    <row r="718" spans="1:15" x14ac:dyDescent="0.25">
      <c r="A718" s="2"/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</row>
    <row r="719" spans="1:15" x14ac:dyDescent="0.25">
      <c r="A719" s="2"/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</row>
    <row r="720" spans="1:15" x14ac:dyDescent="0.25">
      <c r="A720" s="2"/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</row>
    <row r="721" spans="1:15" x14ac:dyDescent="0.25">
      <c r="A721" s="2"/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</row>
    <row r="722" spans="1:15" x14ac:dyDescent="0.25">
      <c r="A722" s="2"/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</row>
    <row r="723" spans="1:15" x14ac:dyDescent="0.25">
      <c r="A723" s="2"/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</row>
    <row r="724" spans="1:15" x14ac:dyDescent="0.25">
      <c r="A724" s="2"/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</row>
    <row r="725" spans="1:15" x14ac:dyDescent="0.25">
      <c r="A725" s="2"/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</row>
    <row r="726" spans="1:15" x14ac:dyDescent="0.25">
      <c r="A726" s="2"/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</row>
    <row r="727" spans="1:15" x14ac:dyDescent="0.25">
      <c r="A727" s="2"/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</row>
    <row r="728" spans="1:15" x14ac:dyDescent="0.25">
      <c r="A728" s="2"/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</row>
    <row r="729" spans="1:15" x14ac:dyDescent="0.25">
      <c r="A729" s="2"/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</row>
    <row r="730" spans="1:15" x14ac:dyDescent="0.25">
      <c r="A730" s="2"/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</row>
    <row r="731" spans="1:15" x14ac:dyDescent="0.25">
      <c r="A731" s="2"/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</row>
    <row r="732" spans="1:15" x14ac:dyDescent="0.25">
      <c r="A732" s="2"/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</row>
    <row r="733" spans="1:15" x14ac:dyDescent="0.25">
      <c r="A733" s="2"/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</row>
    <row r="734" spans="1:15" x14ac:dyDescent="0.25">
      <c r="A734" s="2"/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</row>
    <row r="735" spans="1:15" x14ac:dyDescent="0.25">
      <c r="A735" s="2"/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</row>
    <row r="736" spans="1:15" x14ac:dyDescent="0.25">
      <c r="A736" s="2"/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</row>
    <row r="737" spans="1:15" x14ac:dyDescent="0.25">
      <c r="A737" s="2"/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</row>
    <row r="738" spans="1:15" x14ac:dyDescent="0.25">
      <c r="A738" s="2"/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</row>
    <row r="739" spans="1:15" x14ac:dyDescent="0.25">
      <c r="A739" s="2"/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</row>
    <row r="740" spans="1:15" x14ac:dyDescent="0.25">
      <c r="A740" s="2"/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</row>
    <row r="741" spans="1:15" x14ac:dyDescent="0.25">
      <c r="A741" s="2"/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</row>
    <row r="742" spans="1:15" x14ac:dyDescent="0.25">
      <c r="A742" s="2"/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</row>
    <row r="743" spans="1:15" x14ac:dyDescent="0.25">
      <c r="A743" s="2"/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</row>
    <row r="744" spans="1:15" x14ac:dyDescent="0.25">
      <c r="A744" s="2"/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</row>
    <row r="745" spans="1:15" x14ac:dyDescent="0.25">
      <c r="A745" s="2"/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</row>
    <row r="746" spans="1:15" x14ac:dyDescent="0.25">
      <c r="A746" s="2"/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</row>
    <row r="747" spans="1:15" x14ac:dyDescent="0.25">
      <c r="A747" s="2"/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</row>
    <row r="748" spans="1:15" x14ac:dyDescent="0.25">
      <c r="A748" s="2"/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</row>
    <row r="749" spans="1:15" x14ac:dyDescent="0.25">
      <c r="A749" s="2"/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</row>
    <row r="750" spans="1:15" x14ac:dyDescent="0.25">
      <c r="A750" s="2"/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</row>
    <row r="751" spans="1:15" x14ac:dyDescent="0.25">
      <c r="A751" s="2"/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</row>
    <row r="752" spans="1:15" x14ac:dyDescent="0.25">
      <c r="A752" s="2"/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</row>
    <row r="753" spans="1:15" x14ac:dyDescent="0.25">
      <c r="A753" s="2"/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</row>
    <row r="754" spans="1:15" x14ac:dyDescent="0.25">
      <c r="A754" s="2"/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</row>
    <row r="755" spans="1:15" x14ac:dyDescent="0.25">
      <c r="A755" s="2"/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</row>
    <row r="756" spans="1:15" x14ac:dyDescent="0.25">
      <c r="A756" s="2"/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</row>
    <row r="757" spans="1:15" x14ac:dyDescent="0.25">
      <c r="A757" s="2"/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</row>
    <row r="758" spans="1:15" x14ac:dyDescent="0.25">
      <c r="A758" s="2"/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</row>
    <row r="759" spans="1:15" x14ac:dyDescent="0.25">
      <c r="A759" s="2"/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</row>
    <row r="760" spans="1:15" x14ac:dyDescent="0.25">
      <c r="A760" s="2"/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</row>
    <row r="761" spans="1:15" x14ac:dyDescent="0.25">
      <c r="A761" s="2"/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</row>
    <row r="762" spans="1:15" x14ac:dyDescent="0.25">
      <c r="A762" s="2"/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</row>
    <row r="763" spans="1:15" x14ac:dyDescent="0.25">
      <c r="A763" s="2"/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</row>
    <row r="764" spans="1:15" x14ac:dyDescent="0.25">
      <c r="A764" s="2"/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</row>
    <row r="765" spans="1:15" x14ac:dyDescent="0.25">
      <c r="A765" s="2"/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</row>
    <row r="766" spans="1:15" x14ac:dyDescent="0.25">
      <c r="A766" s="2"/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</row>
    <row r="767" spans="1:15" x14ac:dyDescent="0.25">
      <c r="A767" s="2"/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</row>
    <row r="768" spans="1:15" x14ac:dyDescent="0.25">
      <c r="A768" s="2"/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</row>
    <row r="769" spans="1:15" x14ac:dyDescent="0.25">
      <c r="A769" s="2"/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</row>
    <row r="770" spans="1:15" x14ac:dyDescent="0.25">
      <c r="A770" s="2"/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</row>
    <row r="771" spans="1:15" x14ac:dyDescent="0.25">
      <c r="A771" s="2"/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</row>
    <row r="772" spans="1:15" x14ac:dyDescent="0.25">
      <c r="A772" s="2"/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</row>
    <row r="773" spans="1:15" x14ac:dyDescent="0.25">
      <c r="A773" s="2"/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</row>
    <row r="774" spans="1:15" x14ac:dyDescent="0.25">
      <c r="A774" s="2"/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</row>
    <row r="775" spans="1:15" x14ac:dyDescent="0.25">
      <c r="A775" s="2"/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</row>
    <row r="776" spans="1:15" x14ac:dyDescent="0.25">
      <c r="A776" s="2"/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</row>
    <row r="777" spans="1:15" x14ac:dyDescent="0.25">
      <c r="A777" s="2"/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</row>
    <row r="778" spans="1:15" x14ac:dyDescent="0.25">
      <c r="A778" s="2"/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</row>
    <row r="779" spans="1:15" x14ac:dyDescent="0.25">
      <c r="A779" s="2"/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</row>
    <row r="780" spans="1:15" x14ac:dyDescent="0.25">
      <c r="A780" s="2"/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</row>
    <row r="781" spans="1:15" x14ac:dyDescent="0.25">
      <c r="A781" s="2"/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</row>
    <row r="782" spans="1:15" x14ac:dyDescent="0.25">
      <c r="A782" s="2"/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</row>
    <row r="783" spans="1:15" x14ac:dyDescent="0.25">
      <c r="A783" s="2"/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</row>
    <row r="784" spans="1:15" x14ac:dyDescent="0.25">
      <c r="A784" s="2"/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</row>
    <row r="785" spans="1:15" x14ac:dyDescent="0.25">
      <c r="A785" s="2"/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</row>
    <row r="786" spans="1:15" x14ac:dyDescent="0.25">
      <c r="A786" s="2"/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</row>
    <row r="787" spans="1:15" x14ac:dyDescent="0.25">
      <c r="A787" s="2"/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</row>
    <row r="788" spans="1:15" x14ac:dyDescent="0.25">
      <c r="A788" s="2"/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</row>
    <row r="789" spans="1:15" x14ac:dyDescent="0.25">
      <c r="A789" s="2"/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</row>
    <row r="790" spans="1:15" x14ac:dyDescent="0.25">
      <c r="A790" s="2"/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</row>
    <row r="791" spans="1:15" x14ac:dyDescent="0.25">
      <c r="A791" s="2"/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</row>
    <row r="792" spans="1:15" x14ac:dyDescent="0.25">
      <c r="A792" s="2"/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</row>
    <row r="793" spans="1:15" x14ac:dyDescent="0.25">
      <c r="A793" s="2"/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</row>
    <row r="794" spans="1:15" x14ac:dyDescent="0.25">
      <c r="A794" s="2"/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</row>
    <row r="795" spans="1:15" x14ac:dyDescent="0.25">
      <c r="A795" s="2"/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</row>
    <row r="796" spans="1:15" x14ac:dyDescent="0.25">
      <c r="A796" s="2"/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</row>
    <row r="797" spans="1:15" x14ac:dyDescent="0.25">
      <c r="A797" s="2"/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</row>
    <row r="798" spans="1:15" x14ac:dyDescent="0.25">
      <c r="A798" s="2"/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</row>
    <row r="799" spans="1:15" x14ac:dyDescent="0.25">
      <c r="A799" s="2"/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</row>
    <row r="800" spans="1:15" x14ac:dyDescent="0.25">
      <c r="A800" s="2"/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</row>
    <row r="801" spans="1:15" x14ac:dyDescent="0.25">
      <c r="A801" s="2"/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</row>
    <row r="802" spans="1:15" x14ac:dyDescent="0.25">
      <c r="A802" s="2"/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</row>
    <row r="803" spans="1:15" x14ac:dyDescent="0.25">
      <c r="A803" s="2"/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</row>
    <row r="804" spans="1:15" x14ac:dyDescent="0.25">
      <c r="A804" s="2"/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</row>
    <row r="805" spans="1:15" x14ac:dyDescent="0.25">
      <c r="A805" s="2"/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</row>
    <row r="806" spans="1:15" x14ac:dyDescent="0.25">
      <c r="A806" s="2"/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</row>
    <row r="807" spans="1:15" x14ac:dyDescent="0.25">
      <c r="A807" s="2"/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</row>
    <row r="808" spans="1:15" x14ac:dyDescent="0.25">
      <c r="A808" s="2"/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</row>
    <row r="809" spans="1:15" x14ac:dyDescent="0.25">
      <c r="A809" s="2"/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</row>
    <row r="810" spans="1:15" x14ac:dyDescent="0.25">
      <c r="A810" s="2"/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</row>
    <row r="811" spans="1:15" x14ac:dyDescent="0.25">
      <c r="A811" s="2"/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</row>
    <row r="812" spans="1:15" x14ac:dyDescent="0.25">
      <c r="A812" s="2"/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</row>
    <row r="813" spans="1:15" x14ac:dyDescent="0.25">
      <c r="A813" s="2"/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</row>
    <row r="814" spans="1:15" x14ac:dyDescent="0.25">
      <c r="A814" s="2"/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</row>
    <row r="815" spans="1:15" x14ac:dyDescent="0.25">
      <c r="A815" s="2"/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</row>
    <row r="816" spans="1:15" x14ac:dyDescent="0.25">
      <c r="A816" s="2"/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</row>
    <row r="817" spans="1:15" x14ac:dyDescent="0.25">
      <c r="A817" s="2"/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</row>
    <row r="818" spans="1:15" x14ac:dyDescent="0.25">
      <c r="A818" s="2"/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</row>
    <row r="819" spans="1:15" x14ac:dyDescent="0.25">
      <c r="A819" s="2"/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</row>
    <row r="820" spans="1:15" x14ac:dyDescent="0.25">
      <c r="A820" s="2"/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</row>
    <row r="821" spans="1:15" x14ac:dyDescent="0.25">
      <c r="A821" s="2"/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</row>
    <row r="822" spans="1:15" x14ac:dyDescent="0.25">
      <c r="A822" s="2"/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</row>
    <row r="823" spans="1:15" x14ac:dyDescent="0.25">
      <c r="A823" s="2"/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</row>
    <row r="824" spans="1:15" x14ac:dyDescent="0.25">
      <c r="A824" s="2"/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</row>
    <row r="825" spans="1:15" x14ac:dyDescent="0.25">
      <c r="A825" s="2"/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</row>
    <row r="826" spans="1:15" x14ac:dyDescent="0.25">
      <c r="A826" s="2"/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</row>
    <row r="827" spans="1:15" x14ac:dyDescent="0.25">
      <c r="A827" s="2"/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</row>
    <row r="828" spans="1:15" x14ac:dyDescent="0.25">
      <c r="A828" s="2"/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</row>
    <row r="829" spans="1:15" x14ac:dyDescent="0.25">
      <c r="A829" s="2"/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</row>
    <row r="830" spans="1:15" x14ac:dyDescent="0.25">
      <c r="A830" s="2"/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</row>
    <row r="831" spans="1:15" x14ac:dyDescent="0.25">
      <c r="A831" s="2"/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</row>
    <row r="832" spans="1:15" x14ac:dyDescent="0.25">
      <c r="A832" s="2"/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</row>
    <row r="833" spans="1:15" x14ac:dyDescent="0.25">
      <c r="A833" s="2"/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</row>
    <row r="834" spans="1:15" x14ac:dyDescent="0.25">
      <c r="A834" s="2"/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</row>
    <row r="835" spans="1:15" x14ac:dyDescent="0.25">
      <c r="A835" s="2"/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</row>
    <row r="836" spans="1:15" x14ac:dyDescent="0.25">
      <c r="A836" s="2"/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</row>
    <row r="837" spans="1:15" x14ac:dyDescent="0.25">
      <c r="A837" s="2"/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</row>
    <row r="838" spans="1:15" x14ac:dyDescent="0.25">
      <c r="A838" s="2"/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</row>
    <row r="839" spans="1:15" x14ac:dyDescent="0.25">
      <c r="A839" s="2"/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</row>
    <row r="840" spans="1:15" x14ac:dyDescent="0.25">
      <c r="A840" s="2"/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</row>
    <row r="841" spans="1:15" x14ac:dyDescent="0.25">
      <c r="A841" s="2"/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</row>
    <row r="842" spans="1:15" x14ac:dyDescent="0.25">
      <c r="A842" s="2"/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</row>
    <row r="843" spans="1:15" x14ac:dyDescent="0.25">
      <c r="A843" s="2"/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</row>
    <row r="844" spans="1:15" x14ac:dyDescent="0.25">
      <c r="A844" s="2"/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</row>
    <row r="845" spans="1:15" x14ac:dyDescent="0.25">
      <c r="A845" s="2"/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</row>
    <row r="846" spans="1:15" x14ac:dyDescent="0.25">
      <c r="A846" s="2"/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</row>
    <row r="847" spans="1:15" x14ac:dyDescent="0.25">
      <c r="A847" s="2"/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</row>
    <row r="848" spans="1:15" x14ac:dyDescent="0.25">
      <c r="A848" s="2"/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</row>
    <row r="849" spans="1:15" x14ac:dyDescent="0.25">
      <c r="A849" s="2"/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</row>
    <row r="850" spans="1:15" x14ac:dyDescent="0.25">
      <c r="A850" s="2"/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</row>
    <row r="851" spans="1:15" x14ac:dyDescent="0.25">
      <c r="A851" s="2"/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</row>
    <row r="852" spans="1:15" x14ac:dyDescent="0.25">
      <c r="A852" s="2"/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</row>
    <row r="853" spans="1:15" x14ac:dyDescent="0.25">
      <c r="A853" s="2"/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</row>
    <row r="854" spans="1:15" x14ac:dyDescent="0.25">
      <c r="A854" s="2"/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</row>
    <row r="855" spans="1:15" x14ac:dyDescent="0.25">
      <c r="A855" s="2"/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</row>
    <row r="856" spans="1:15" x14ac:dyDescent="0.25">
      <c r="A856" s="2"/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</row>
    <row r="857" spans="1:15" x14ac:dyDescent="0.25">
      <c r="A857" s="2"/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</row>
    <row r="858" spans="1:15" x14ac:dyDescent="0.25">
      <c r="A858" s="2"/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</row>
    <row r="859" spans="1:15" x14ac:dyDescent="0.25">
      <c r="A859" s="2"/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</row>
    <row r="860" spans="1:15" x14ac:dyDescent="0.25">
      <c r="A860" s="2"/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</row>
    <row r="861" spans="1:15" x14ac:dyDescent="0.25">
      <c r="A861" s="2"/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</row>
    <row r="862" spans="1:15" x14ac:dyDescent="0.25">
      <c r="A862" s="2"/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</row>
    <row r="863" spans="1:15" x14ac:dyDescent="0.25">
      <c r="A863" s="2"/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</row>
    <row r="864" spans="1:15" x14ac:dyDescent="0.25">
      <c r="A864" s="2"/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</row>
    <row r="865" spans="1:15" x14ac:dyDescent="0.25">
      <c r="A865" s="2"/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</row>
    <row r="866" spans="1:15" x14ac:dyDescent="0.25">
      <c r="A866" s="2"/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</row>
    <row r="867" spans="1:15" x14ac:dyDescent="0.25">
      <c r="A867" s="2"/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</row>
    <row r="868" spans="1:15" x14ac:dyDescent="0.25">
      <c r="A868" s="2"/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</row>
    <row r="869" spans="1:15" x14ac:dyDescent="0.25">
      <c r="A869" s="2"/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</row>
    <row r="870" spans="1:15" x14ac:dyDescent="0.25">
      <c r="A870" s="2"/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</row>
    <row r="871" spans="1:15" x14ac:dyDescent="0.25">
      <c r="A871" s="2"/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</row>
    <row r="872" spans="1:15" x14ac:dyDescent="0.25">
      <c r="A872" s="2"/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</row>
    <row r="873" spans="1:15" x14ac:dyDescent="0.25">
      <c r="A873" s="2"/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</row>
    <row r="874" spans="1:15" x14ac:dyDescent="0.25">
      <c r="A874" s="2"/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</row>
    <row r="875" spans="1:15" x14ac:dyDescent="0.25">
      <c r="A875" s="2"/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</row>
    <row r="876" spans="1:15" x14ac:dyDescent="0.25">
      <c r="A876" s="2"/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</row>
    <row r="877" spans="1:15" x14ac:dyDescent="0.25">
      <c r="A877" s="2"/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</row>
    <row r="878" spans="1:15" x14ac:dyDescent="0.25">
      <c r="A878" s="2"/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</row>
    <row r="879" spans="1:15" x14ac:dyDescent="0.25">
      <c r="A879" s="2"/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</row>
    <row r="880" spans="1:15" x14ac:dyDescent="0.25">
      <c r="A880" s="2"/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</row>
    <row r="881" spans="1:15" x14ac:dyDescent="0.25">
      <c r="A881" s="2"/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</row>
    <row r="882" spans="1:15" x14ac:dyDescent="0.25">
      <c r="A882" s="2"/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</row>
    <row r="883" spans="1:15" x14ac:dyDescent="0.25">
      <c r="A883" s="2"/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</row>
    <row r="884" spans="1:15" x14ac:dyDescent="0.25">
      <c r="A884" s="2"/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</row>
    <row r="885" spans="1:15" x14ac:dyDescent="0.25">
      <c r="A885" s="2"/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</row>
    <row r="886" spans="1:15" x14ac:dyDescent="0.25">
      <c r="A886" s="2"/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</row>
    <row r="887" spans="1:15" x14ac:dyDescent="0.25">
      <c r="A887" s="2"/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</row>
    <row r="888" spans="1:15" x14ac:dyDescent="0.25">
      <c r="A888" s="2"/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</row>
    <row r="889" spans="1:15" x14ac:dyDescent="0.25">
      <c r="A889" s="2"/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</row>
    <row r="890" spans="1:15" x14ac:dyDescent="0.25">
      <c r="A890" s="2"/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</row>
    <row r="891" spans="1:15" x14ac:dyDescent="0.25">
      <c r="A891" s="2"/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</row>
    <row r="892" spans="1:15" x14ac:dyDescent="0.25">
      <c r="A892" s="2"/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</row>
    <row r="893" spans="1:15" x14ac:dyDescent="0.25">
      <c r="A893" s="2"/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</row>
    <row r="894" spans="1:15" x14ac:dyDescent="0.25">
      <c r="A894" s="2"/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</row>
    <row r="895" spans="1:15" x14ac:dyDescent="0.25">
      <c r="A895" s="2"/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</row>
    <row r="896" spans="1:15" x14ac:dyDescent="0.25">
      <c r="A896" s="2"/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</row>
    <row r="897" spans="1:15" x14ac:dyDescent="0.25">
      <c r="A897" s="2"/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</row>
    <row r="898" spans="1:15" x14ac:dyDescent="0.25">
      <c r="A898" s="2"/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</row>
    <row r="899" spans="1:15" x14ac:dyDescent="0.25">
      <c r="A899" s="2"/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</row>
    <row r="900" spans="1:15" x14ac:dyDescent="0.25">
      <c r="A900" s="2"/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</row>
    <row r="901" spans="1:15" x14ac:dyDescent="0.25">
      <c r="A901" s="2"/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</row>
    <row r="902" spans="1:15" x14ac:dyDescent="0.25">
      <c r="A902" s="2"/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</row>
    <row r="903" spans="1:15" x14ac:dyDescent="0.25">
      <c r="A903" s="2"/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</row>
    <row r="904" spans="1:15" x14ac:dyDescent="0.25">
      <c r="A904" s="2"/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</row>
    <row r="905" spans="1:15" x14ac:dyDescent="0.25">
      <c r="A905" s="2"/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</row>
    <row r="906" spans="1:15" x14ac:dyDescent="0.25">
      <c r="A906" s="2"/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</row>
    <row r="907" spans="1:15" x14ac:dyDescent="0.25">
      <c r="A907" s="2"/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</row>
    <row r="908" spans="1:15" x14ac:dyDescent="0.25">
      <c r="A908" s="2"/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</row>
    <row r="909" spans="1:15" x14ac:dyDescent="0.25">
      <c r="A909" s="2"/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</row>
    <row r="910" spans="1:15" x14ac:dyDescent="0.25">
      <c r="A910" s="2"/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</row>
    <row r="911" spans="1:15" x14ac:dyDescent="0.25">
      <c r="A911" s="2"/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</row>
    <row r="912" spans="1:15" x14ac:dyDescent="0.25">
      <c r="A912" s="2"/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</row>
    <row r="913" spans="1:15" x14ac:dyDescent="0.25">
      <c r="A913" s="2"/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</row>
    <row r="914" spans="1:15" x14ac:dyDescent="0.25">
      <c r="A914" s="2"/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</row>
    <row r="915" spans="1:15" x14ac:dyDescent="0.25">
      <c r="A915" s="2"/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</row>
    <row r="916" spans="1:15" x14ac:dyDescent="0.25">
      <c r="A916" s="2"/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</row>
    <row r="917" spans="1:15" x14ac:dyDescent="0.25">
      <c r="A917" s="2"/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</row>
    <row r="918" spans="1:15" x14ac:dyDescent="0.25">
      <c r="A918" s="2"/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</row>
    <row r="919" spans="1:15" x14ac:dyDescent="0.25">
      <c r="A919" s="2"/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</row>
    <row r="920" spans="1:15" x14ac:dyDescent="0.25">
      <c r="A920" s="2"/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</row>
    <row r="921" spans="1:15" x14ac:dyDescent="0.25">
      <c r="A921" s="2"/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</row>
    <row r="922" spans="1:15" x14ac:dyDescent="0.25">
      <c r="A922" s="2"/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</row>
    <row r="923" spans="1:15" x14ac:dyDescent="0.25">
      <c r="A923" s="2"/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</row>
    <row r="924" spans="1:15" x14ac:dyDescent="0.25">
      <c r="A924" s="2"/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</row>
    <row r="925" spans="1:15" x14ac:dyDescent="0.25">
      <c r="A925" s="2"/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</row>
    <row r="926" spans="1:15" x14ac:dyDescent="0.25">
      <c r="A926" s="2"/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</row>
    <row r="927" spans="1:15" x14ac:dyDescent="0.25">
      <c r="A927" s="2"/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</row>
    <row r="928" spans="1:15" x14ac:dyDescent="0.25">
      <c r="A928" s="2"/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</row>
    <row r="929" spans="1:15" x14ac:dyDescent="0.25">
      <c r="A929" s="2"/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</row>
    <row r="930" spans="1:15" x14ac:dyDescent="0.25">
      <c r="A930" s="2"/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</row>
    <row r="931" spans="1:15" x14ac:dyDescent="0.25">
      <c r="A931" s="2"/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</row>
    <row r="932" spans="1:15" x14ac:dyDescent="0.25">
      <c r="A932" s="2"/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</row>
    <row r="933" spans="1:15" x14ac:dyDescent="0.25">
      <c r="A933" s="2"/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</row>
    <row r="934" spans="1:15" x14ac:dyDescent="0.25">
      <c r="A934" s="2"/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</row>
    <row r="935" spans="1:15" x14ac:dyDescent="0.25">
      <c r="A935" s="2"/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</row>
    <row r="936" spans="1:15" x14ac:dyDescent="0.25">
      <c r="A936" s="2"/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</row>
    <row r="937" spans="1:15" x14ac:dyDescent="0.25">
      <c r="A937" s="2"/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</row>
    <row r="938" spans="1:15" x14ac:dyDescent="0.25">
      <c r="A938" s="2"/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</row>
    <row r="939" spans="1:15" x14ac:dyDescent="0.25">
      <c r="A939" s="2"/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</row>
    <row r="940" spans="1:15" x14ac:dyDescent="0.25">
      <c r="A940" s="2"/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</row>
    <row r="941" spans="1:15" x14ac:dyDescent="0.25">
      <c r="A941" s="2"/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</row>
    <row r="942" spans="1:15" x14ac:dyDescent="0.25">
      <c r="A942" s="2"/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</row>
    <row r="943" spans="1:15" x14ac:dyDescent="0.25">
      <c r="A943" s="2"/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</row>
    <row r="944" spans="1:15" x14ac:dyDescent="0.25">
      <c r="A944" s="2"/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</row>
    <row r="945" spans="1:15" x14ac:dyDescent="0.25">
      <c r="A945" s="2"/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</row>
    <row r="946" spans="1:15" x14ac:dyDescent="0.25">
      <c r="A946" s="2"/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</row>
    <row r="947" spans="1:15" x14ac:dyDescent="0.25">
      <c r="A947" s="2"/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</row>
    <row r="948" spans="1:15" x14ac:dyDescent="0.25">
      <c r="A948" s="2"/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</row>
    <row r="949" spans="1:15" x14ac:dyDescent="0.25">
      <c r="A949" s="2"/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</row>
    <row r="950" spans="1:15" x14ac:dyDescent="0.25">
      <c r="A950" s="2"/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</row>
    <row r="951" spans="1:15" x14ac:dyDescent="0.25">
      <c r="A951" s="2"/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</row>
    <row r="952" spans="1:15" x14ac:dyDescent="0.25">
      <c r="A952" s="2"/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</row>
    <row r="953" spans="1:15" x14ac:dyDescent="0.25">
      <c r="A953" s="2"/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</row>
    <row r="954" spans="1:15" x14ac:dyDescent="0.25">
      <c r="A954" s="2"/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</row>
    <row r="955" spans="1:15" x14ac:dyDescent="0.25">
      <c r="A955" s="2"/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</row>
    <row r="956" spans="1:15" x14ac:dyDescent="0.25">
      <c r="A956" s="2"/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</row>
    <row r="957" spans="1:15" x14ac:dyDescent="0.25">
      <c r="A957" s="2"/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</row>
    <row r="958" spans="1:15" x14ac:dyDescent="0.25">
      <c r="A958" s="2"/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</row>
    <row r="959" spans="1:15" x14ac:dyDescent="0.25">
      <c r="A959" s="2"/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</row>
    <row r="960" spans="1:15" x14ac:dyDescent="0.25">
      <c r="A960" s="2"/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</row>
    <row r="961" spans="1:15" x14ac:dyDescent="0.25">
      <c r="A961" s="2"/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</row>
    <row r="962" spans="1:15" x14ac:dyDescent="0.25">
      <c r="A962" s="2"/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</row>
    <row r="963" spans="1:15" x14ac:dyDescent="0.25">
      <c r="A963" s="2"/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</row>
    <row r="964" spans="1:15" x14ac:dyDescent="0.25">
      <c r="A964" s="2"/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</row>
    <row r="965" spans="1:15" x14ac:dyDescent="0.25">
      <c r="A965" s="2"/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</row>
    <row r="966" spans="1:15" x14ac:dyDescent="0.25">
      <c r="A966" s="2"/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</row>
    <row r="967" spans="1:15" x14ac:dyDescent="0.25">
      <c r="A967" s="2"/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</row>
    <row r="968" spans="1:15" x14ac:dyDescent="0.25">
      <c r="A968" s="2"/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</row>
    <row r="969" spans="1:15" x14ac:dyDescent="0.25">
      <c r="A969" s="2"/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</row>
    <row r="970" spans="1:15" x14ac:dyDescent="0.25">
      <c r="A970" s="2"/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</row>
    <row r="971" spans="1:15" x14ac:dyDescent="0.25">
      <c r="A971" s="2"/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</row>
    <row r="972" spans="1:15" x14ac:dyDescent="0.25">
      <c r="A972" s="2"/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</row>
    <row r="973" spans="1:15" x14ac:dyDescent="0.25">
      <c r="A973" s="2"/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</row>
    <row r="974" spans="1:15" x14ac:dyDescent="0.25">
      <c r="A974" s="2"/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</row>
    <row r="975" spans="1:15" x14ac:dyDescent="0.25">
      <c r="A975" s="2"/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</row>
    <row r="976" spans="1:15" x14ac:dyDescent="0.25">
      <c r="A976" s="2"/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</row>
    <row r="977" spans="1:15" x14ac:dyDescent="0.25">
      <c r="A977" s="2"/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</row>
    <row r="978" spans="1:15" x14ac:dyDescent="0.25">
      <c r="A978" s="2"/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</row>
    <row r="979" spans="1:15" x14ac:dyDescent="0.25">
      <c r="A979" s="2"/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</row>
    <row r="980" spans="1:15" x14ac:dyDescent="0.25">
      <c r="A980" s="2"/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</row>
    <row r="981" spans="1:15" x14ac:dyDescent="0.25">
      <c r="A981" s="2"/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</row>
    <row r="982" spans="1:15" x14ac:dyDescent="0.25">
      <c r="A982" s="2"/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</row>
    <row r="983" spans="1:15" x14ac:dyDescent="0.25">
      <c r="A983" s="2"/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</row>
    <row r="984" spans="1:15" x14ac:dyDescent="0.25">
      <c r="A984" s="2"/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</row>
    <row r="985" spans="1:15" x14ac:dyDescent="0.25">
      <c r="A985" s="2"/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</row>
    <row r="986" spans="1:15" x14ac:dyDescent="0.25">
      <c r="A986" s="2"/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</row>
    <row r="987" spans="1:15" x14ac:dyDescent="0.25">
      <c r="A987" s="2"/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</row>
    <row r="988" spans="1:15" x14ac:dyDescent="0.25">
      <c r="A988" s="2"/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</row>
    <row r="989" spans="1:15" x14ac:dyDescent="0.25">
      <c r="A989" s="2"/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</row>
    <row r="990" spans="1:15" x14ac:dyDescent="0.25">
      <c r="A990" s="2"/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</row>
    <row r="991" spans="1:15" x14ac:dyDescent="0.25">
      <c r="A991" s="2"/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</row>
    <row r="992" spans="1:15" x14ac:dyDescent="0.25">
      <c r="A992" s="2"/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</row>
    <row r="993" spans="1:15" x14ac:dyDescent="0.25">
      <c r="A993" s="2"/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</row>
    <row r="994" spans="1:15" x14ac:dyDescent="0.25">
      <c r="A994" s="2"/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</row>
    <row r="995" spans="1:15" x14ac:dyDescent="0.25">
      <c r="A995" s="2"/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</row>
    <row r="996" spans="1:15" x14ac:dyDescent="0.25">
      <c r="A996" s="2"/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</row>
    <row r="997" spans="1:15" x14ac:dyDescent="0.25">
      <c r="A997" s="2"/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</row>
    <row r="998" spans="1:15" x14ac:dyDescent="0.25">
      <c r="A998" s="2"/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</row>
    <row r="999" spans="1:15" x14ac:dyDescent="0.25">
      <c r="A999" s="2"/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</row>
    <row r="1000" spans="1:15" x14ac:dyDescent="0.25">
      <c r="A1000" s="2"/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</row>
    <row r="1001" spans="1:15" x14ac:dyDescent="0.25">
      <c r="A1001" s="2"/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 s="2"/>
      <c r="O1001" s="2"/>
    </row>
    <row r="1002" spans="1:15" x14ac:dyDescent="0.25">
      <c r="A1002" s="2"/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 s="2"/>
      <c r="O1002" s="2"/>
    </row>
    <row r="1003" spans="1:15" x14ac:dyDescent="0.25">
      <c r="A1003" s="2"/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 s="2"/>
      <c r="O1003" s="2"/>
    </row>
    <row r="1004" spans="1:15" x14ac:dyDescent="0.25">
      <c r="A1004" s="2"/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 s="2"/>
      <c r="O1004" s="2"/>
    </row>
    <row r="1005" spans="1:15" x14ac:dyDescent="0.25">
      <c r="A1005" s="2"/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 s="2"/>
      <c r="O1005" s="2"/>
    </row>
    <row r="1006" spans="1:15" x14ac:dyDescent="0.25">
      <c r="A1006" s="2"/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 s="2"/>
      <c r="O1006" s="2"/>
    </row>
    <row r="1007" spans="1:15" x14ac:dyDescent="0.25">
      <c r="A1007" s="2"/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 s="2"/>
      <c r="O1007" s="2"/>
    </row>
    <row r="1008" spans="1:15" x14ac:dyDescent="0.25">
      <c r="A1008" s="2"/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 s="2"/>
      <c r="O1008" s="2"/>
    </row>
    <row r="1009" spans="1:15" x14ac:dyDescent="0.25">
      <c r="A1009" s="2"/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 s="2"/>
      <c r="O1009" s="2"/>
    </row>
    <row r="1010" spans="1:15" x14ac:dyDescent="0.25">
      <c r="A1010" s="2"/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 s="2"/>
      <c r="O1010" s="2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nicioForm">
                <anchor moveWithCells="1" sizeWithCells="1">
                  <from>
                    <xdr:col>2</xdr:col>
                    <xdr:colOff>0</xdr:colOff>
                    <xdr:row>1</xdr:row>
                    <xdr:rowOff>9525</xdr:rowOff>
                  </from>
                  <to>
                    <xdr:col>3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ClearData">
                <anchor moveWithCells="1" sizeWithCells="1">
                  <from>
                    <xdr:col>2</xdr:col>
                    <xdr:colOff>0</xdr:colOff>
                    <xdr:row>8</xdr:row>
                    <xdr:rowOff>9525</xdr:rowOff>
                  </from>
                  <to>
                    <xdr:col>3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ES1598"/>
  <sheetViews>
    <sheetView workbookViewId="0">
      <selection activeCell="S10" sqref="S10:AC100"/>
    </sheetView>
  </sheetViews>
  <sheetFormatPr defaultRowHeight="15" x14ac:dyDescent="0.25"/>
  <cols>
    <col min="1" max="1" width="10.28515625" style="22" bestFit="1" customWidth="1"/>
    <col min="2" max="2" width="9.42578125" style="22" bestFit="1" customWidth="1"/>
    <col min="3" max="3" width="12.140625" style="22" bestFit="1" customWidth="1"/>
    <col min="4" max="4" width="11.140625" style="22" bestFit="1" customWidth="1"/>
    <col min="5" max="6" width="12.140625" style="22" bestFit="1" customWidth="1"/>
    <col min="7" max="7" width="12.85546875" style="22" bestFit="1" customWidth="1"/>
    <col min="8" max="10" width="9.42578125" style="22" bestFit="1" customWidth="1"/>
    <col min="11" max="11" width="12.28515625" style="22" bestFit="1" customWidth="1"/>
    <col min="12" max="12" width="9.42578125" style="22" bestFit="1" customWidth="1"/>
    <col min="13" max="15" width="9.140625" style="22"/>
    <col min="16" max="17" width="9.42578125" style="22" bestFit="1" customWidth="1"/>
    <col min="18" max="18" width="9.28515625" style="22" bestFit="1" customWidth="1"/>
    <col min="19" max="19" width="12.140625" style="22" bestFit="1" customWidth="1"/>
    <col min="20" max="22" width="12" style="22" bestFit="1" customWidth="1"/>
    <col min="23" max="23" width="12.140625" style="22" bestFit="1" customWidth="1"/>
    <col min="24" max="24" width="12" style="22" bestFit="1" customWidth="1"/>
    <col min="25" max="28" width="9.140625" style="22"/>
    <col min="29" max="33" width="9.42578125" style="22" bestFit="1" customWidth="1"/>
    <col min="34" max="34" width="12.140625" style="22" bestFit="1" customWidth="1"/>
    <col min="35" max="36" width="12" style="22" bestFit="1" customWidth="1"/>
    <col min="37" max="38" width="12.140625" style="22" bestFit="1" customWidth="1"/>
    <col min="39" max="45" width="9.140625" style="22"/>
    <col min="46" max="48" width="9.42578125" style="22" bestFit="1" customWidth="1"/>
    <col min="49" max="49" width="12.140625" style="22" bestFit="1" customWidth="1"/>
    <col min="50" max="50" width="12" style="22" bestFit="1" customWidth="1"/>
    <col min="51" max="52" width="12.140625" style="22" bestFit="1" customWidth="1"/>
    <col min="53" max="53" width="12" style="22" bestFit="1" customWidth="1"/>
    <col min="54" max="60" width="9.140625" style="22"/>
    <col min="61" max="63" width="9.42578125" style="22" bestFit="1" customWidth="1"/>
    <col min="64" max="64" width="12.140625" style="22" bestFit="1" customWidth="1"/>
    <col min="65" max="66" width="12" style="22" bestFit="1" customWidth="1"/>
    <col min="67" max="68" width="12.140625" style="22" bestFit="1" customWidth="1"/>
    <col min="69" max="75" width="9.140625" style="22"/>
    <col min="76" max="78" width="9.42578125" style="22" bestFit="1" customWidth="1"/>
    <col min="79" max="79" width="12.140625" style="22" bestFit="1" customWidth="1"/>
    <col min="80" max="81" width="12" style="22" bestFit="1" customWidth="1"/>
    <col min="82" max="83" width="12.140625" style="22" bestFit="1" customWidth="1"/>
    <col min="84" max="90" width="9.140625" style="22"/>
    <col min="91" max="93" width="9.42578125" style="22" bestFit="1" customWidth="1"/>
    <col min="94" max="94" width="12.140625" style="22" bestFit="1" customWidth="1"/>
    <col min="95" max="96" width="12" style="22" bestFit="1" customWidth="1"/>
    <col min="97" max="98" width="12.140625" style="22" bestFit="1" customWidth="1"/>
    <col min="99" max="105" width="9.140625" style="22"/>
    <col min="106" max="108" width="9.42578125" style="22" bestFit="1" customWidth="1"/>
    <col min="109" max="109" width="12.140625" style="22" bestFit="1" customWidth="1"/>
    <col min="110" max="111" width="12" style="22" bestFit="1" customWidth="1"/>
    <col min="112" max="113" width="12.140625" style="22" bestFit="1" customWidth="1"/>
    <col min="114" max="120" width="9.140625" style="22"/>
    <col min="121" max="123" width="9.42578125" style="22" bestFit="1" customWidth="1"/>
    <col min="124" max="124" width="12.140625" style="22" bestFit="1" customWidth="1"/>
    <col min="125" max="126" width="12" style="22" bestFit="1" customWidth="1"/>
    <col min="127" max="127" width="12.140625" style="22" bestFit="1" customWidth="1"/>
    <col min="128" max="128" width="12" style="22" bestFit="1" customWidth="1"/>
    <col min="129" max="135" width="9.140625" style="22"/>
    <col min="136" max="137" width="9.42578125" style="22" bestFit="1" customWidth="1"/>
    <col min="138" max="138" width="10.140625" style="22" bestFit="1" customWidth="1"/>
    <col min="139" max="139" width="11.140625" style="22" bestFit="1" customWidth="1"/>
    <col min="140" max="141" width="12" style="22" bestFit="1" customWidth="1"/>
    <col min="142" max="143" width="12.140625" style="22" bestFit="1" customWidth="1"/>
    <col min="144" max="16384" width="9.140625" style="22"/>
  </cols>
  <sheetData>
    <row r="1" spans="1:149" x14ac:dyDescent="0.25">
      <c r="A1" s="20">
        <v>1000</v>
      </c>
      <c r="B1" s="21" t="s">
        <v>0</v>
      </c>
      <c r="C1" s="21" t="s">
        <v>1</v>
      </c>
      <c r="D1" s="20">
        <v>1</v>
      </c>
      <c r="E1" s="20">
        <v>0</v>
      </c>
      <c r="F1" s="21">
        <v>1</v>
      </c>
      <c r="G1" s="21">
        <v>1</v>
      </c>
      <c r="H1" s="20" t="s">
        <v>22</v>
      </c>
      <c r="I1" s="20"/>
      <c r="J1" s="20"/>
      <c r="AC1" s="22">
        <f>COLUMN()</f>
        <v>29</v>
      </c>
      <c r="AD1" s="22">
        <v>5</v>
      </c>
      <c r="AG1" s="22">
        <v>0.504</v>
      </c>
      <c r="AH1" s="22" t="s">
        <v>7</v>
      </c>
      <c r="AI1" s="22" t="s">
        <v>36</v>
      </c>
      <c r="AJ1" s="22" t="s">
        <v>37</v>
      </c>
      <c r="AK1" s="22" t="s">
        <v>38</v>
      </c>
      <c r="AL1" s="22" t="s">
        <v>39</v>
      </c>
      <c r="AV1" s="22">
        <v>0.38159999999999999</v>
      </c>
      <c r="AW1" s="22" t="s">
        <v>7</v>
      </c>
      <c r="AX1" s="22" t="s">
        <v>36</v>
      </c>
      <c r="AY1" s="22" t="s">
        <v>37</v>
      </c>
      <c r="AZ1" s="22" t="s">
        <v>38</v>
      </c>
      <c r="BA1" s="22" t="s">
        <v>39</v>
      </c>
      <c r="BK1" s="22">
        <v>0.25419999999999998</v>
      </c>
      <c r="BL1" s="22" t="s">
        <v>7</v>
      </c>
      <c r="BM1" s="22" t="s">
        <v>36</v>
      </c>
      <c r="BN1" s="22" t="s">
        <v>37</v>
      </c>
      <c r="BO1" s="22" t="s">
        <v>38</v>
      </c>
      <c r="BP1" s="22" t="s">
        <v>39</v>
      </c>
      <c r="BZ1" s="22">
        <v>0.245</v>
      </c>
      <c r="CA1" s="22" t="s">
        <v>7</v>
      </c>
      <c r="CB1" s="22" t="s">
        <v>36</v>
      </c>
      <c r="CC1" s="22" t="s">
        <v>37</v>
      </c>
      <c r="CD1" s="22" t="s">
        <v>38</v>
      </c>
      <c r="CE1" s="22" t="s">
        <v>39</v>
      </c>
      <c r="CO1" s="22">
        <v>0.17849999999999999</v>
      </c>
      <c r="CP1" s="22" t="s">
        <v>7</v>
      </c>
      <c r="CQ1" s="22" t="s">
        <v>36</v>
      </c>
      <c r="CR1" s="22" t="s">
        <v>37</v>
      </c>
      <c r="CS1" s="22" t="s">
        <v>38</v>
      </c>
      <c r="CT1" s="22" t="s">
        <v>39</v>
      </c>
      <c r="DD1" s="22">
        <v>0.17169999999999999</v>
      </c>
      <c r="DE1" s="22" t="s">
        <v>7</v>
      </c>
      <c r="DF1" s="22" t="s">
        <v>36</v>
      </c>
      <c r="DG1" s="22" t="s">
        <v>37</v>
      </c>
      <c r="DH1" s="22" t="s">
        <v>38</v>
      </c>
      <c r="DI1" s="22" t="s">
        <v>39</v>
      </c>
      <c r="DS1" s="22">
        <v>0.13039999999999999</v>
      </c>
      <c r="DT1" s="22" t="s">
        <v>7</v>
      </c>
      <c r="DU1" s="22" t="s">
        <v>36</v>
      </c>
      <c r="DV1" s="22" t="s">
        <v>37</v>
      </c>
      <c r="DW1" s="22" t="s">
        <v>38</v>
      </c>
      <c r="DX1" s="22" t="s">
        <v>39</v>
      </c>
      <c r="EH1" s="22">
        <v>0.1273</v>
      </c>
      <c r="EI1" s="22" t="s">
        <v>7</v>
      </c>
      <c r="EJ1" s="22" t="s">
        <v>36</v>
      </c>
      <c r="EK1" s="22" t="s">
        <v>37</v>
      </c>
      <c r="EL1" s="22" t="s">
        <v>38</v>
      </c>
      <c r="EM1" s="22" t="s">
        <v>39</v>
      </c>
    </row>
    <row r="2" spans="1:149" x14ac:dyDescent="0.25">
      <c r="A2" s="20">
        <v>3</v>
      </c>
      <c r="B2" s="21" t="s">
        <v>40</v>
      </c>
      <c r="C2" s="21" t="s">
        <v>66</v>
      </c>
      <c r="D2" s="26">
        <v>1</v>
      </c>
      <c r="E2" s="26">
        <v>0</v>
      </c>
      <c r="F2" s="27">
        <v>0</v>
      </c>
      <c r="G2" s="27">
        <v>2</v>
      </c>
      <c r="H2" s="26" t="s">
        <v>23</v>
      </c>
      <c r="AD2" s="22">
        <v>8</v>
      </c>
      <c r="AE2" s="22" t="s">
        <v>28</v>
      </c>
      <c r="AG2" s="22" t="s">
        <v>45</v>
      </c>
      <c r="AH2" s="22" t="s">
        <v>41</v>
      </c>
      <c r="AI2" s="22" t="s">
        <v>41</v>
      </c>
      <c r="AJ2" s="22" t="s">
        <v>41</v>
      </c>
      <c r="AK2" s="22" t="s">
        <v>41</v>
      </c>
      <c r="AL2" s="22">
        <v>2</v>
      </c>
      <c r="AT2" s="22" t="s">
        <v>28</v>
      </c>
      <c r="AV2" s="22" t="s">
        <v>45</v>
      </c>
      <c r="AW2" s="22" t="s">
        <v>41</v>
      </c>
      <c r="AX2" s="22" t="s">
        <v>41</v>
      </c>
      <c r="AY2" s="22" t="s">
        <v>41</v>
      </c>
      <c r="AZ2" s="22" t="s">
        <v>41</v>
      </c>
      <c r="BA2" s="22" t="s">
        <v>41</v>
      </c>
      <c r="BI2" s="22" t="s">
        <v>28</v>
      </c>
      <c r="BK2" s="22" t="s">
        <v>45</v>
      </c>
      <c r="BL2" s="22" t="s">
        <v>41</v>
      </c>
      <c r="BM2" s="22" t="s">
        <v>41</v>
      </c>
      <c r="BN2" s="22" t="s">
        <v>41</v>
      </c>
      <c r="BO2" s="22" t="s">
        <v>41</v>
      </c>
      <c r="BP2" s="22" t="s">
        <v>41</v>
      </c>
      <c r="BX2" s="22" t="s">
        <v>28</v>
      </c>
      <c r="BZ2" s="22" t="s">
        <v>45</v>
      </c>
      <c r="CA2" s="22" t="s">
        <v>41</v>
      </c>
      <c r="CB2" s="22" t="s">
        <v>41</v>
      </c>
      <c r="CC2" s="22" t="s">
        <v>41</v>
      </c>
      <c r="CD2" s="22" t="s">
        <v>41</v>
      </c>
      <c r="CE2" s="22" t="s">
        <v>41</v>
      </c>
      <c r="CM2" s="22" t="s">
        <v>28</v>
      </c>
      <c r="CO2" s="22" t="s">
        <v>45</v>
      </c>
      <c r="CP2" s="22" t="s">
        <v>41</v>
      </c>
      <c r="CQ2" s="22" t="s">
        <v>41</v>
      </c>
      <c r="CR2" s="22" t="s">
        <v>41</v>
      </c>
      <c r="CS2" s="22" t="s">
        <v>41</v>
      </c>
      <c r="CT2" s="22" t="s">
        <v>41</v>
      </c>
      <c r="DB2" s="22" t="s">
        <v>28</v>
      </c>
      <c r="DD2" s="22" t="s">
        <v>45</v>
      </c>
      <c r="DE2" s="22" t="s">
        <v>41</v>
      </c>
      <c r="DF2" s="22" t="s">
        <v>41</v>
      </c>
      <c r="DG2" s="22" t="s">
        <v>41</v>
      </c>
      <c r="DH2" s="22" t="s">
        <v>41</v>
      </c>
      <c r="DI2" s="22">
        <v>2</v>
      </c>
      <c r="DQ2" s="22" t="s">
        <v>28</v>
      </c>
      <c r="DS2" s="22" t="s">
        <v>45</v>
      </c>
      <c r="DT2" s="22" t="s">
        <v>41</v>
      </c>
      <c r="DU2" s="22" t="s">
        <v>41</v>
      </c>
      <c r="DV2" s="22" t="s">
        <v>41</v>
      </c>
      <c r="DW2" s="22" t="s">
        <v>41</v>
      </c>
      <c r="DX2" s="22" t="s">
        <v>41</v>
      </c>
      <c r="EF2" s="22" t="s">
        <v>28</v>
      </c>
      <c r="EH2" s="22" t="s">
        <v>45</v>
      </c>
      <c r="EI2" s="22" t="s">
        <v>41</v>
      </c>
      <c r="EJ2" s="22" t="s">
        <v>41</v>
      </c>
      <c r="EK2" s="22" t="s">
        <v>41</v>
      </c>
      <c r="EL2" s="22" t="s">
        <v>41</v>
      </c>
      <c r="EM2" s="22" t="s">
        <v>41</v>
      </c>
    </row>
    <row r="3" spans="1:149" x14ac:dyDescent="0.25">
      <c r="A3" s="20">
        <v>3</v>
      </c>
      <c r="B3" s="20">
        <v>0</v>
      </c>
      <c r="C3" s="20">
        <v>1</v>
      </c>
      <c r="D3" s="27">
        <v>9</v>
      </c>
      <c r="E3" s="27">
        <v>9</v>
      </c>
      <c r="F3" s="26">
        <v>100</v>
      </c>
      <c r="G3" s="27">
        <v>3</v>
      </c>
      <c r="H3" s="26" t="s">
        <v>24</v>
      </c>
      <c r="AD3" s="22">
        <v>19.8</v>
      </c>
      <c r="AE3" s="22">
        <v>90</v>
      </c>
      <c r="AG3" s="22" t="s">
        <v>31</v>
      </c>
      <c r="AH3" s="22">
        <v>159.78399999999999</v>
      </c>
      <c r="AI3" s="22">
        <v>216.392</v>
      </c>
      <c r="AJ3" s="22">
        <v>271.63400000000001</v>
      </c>
      <c r="AK3" s="22">
        <v>328.81</v>
      </c>
      <c r="AL3" s="22">
        <v>400.93599999999998</v>
      </c>
      <c r="AT3" s="22">
        <v>90</v>
      </c>
      <c r="AV3" s="22" t="s">
        <v>31</v>
      </c>
      <c r="AW3" s="22">
        <v>158.779</v>
      </c>
      <c r="AX3" s="22">
        <v>216.59800000000001</v>
      </c>
      <c r="AY3" s="22">
        <v>268.13799999999998</v>
      </c>
      <c r="AZ3" s="22">
        <v>327.43799999999999</v>
      </c>
      <c r="BA3" s="22">
        <v>399.72199999999998</v>
      </c>
      <c r="BI3" s="22">
        <v>90</v>
      </c>
      <c r="BK3" s="22" t="s">
        <v>31</v>
      </c>
      <c r="BL3" s="22">
        <v>158.51</v>
      </c>
      <c r="BM3" s="22">
        <v>215.756</v>
      </c>
      <c r="BN3" s="22">
        <v>275.78199999999998</v>
      </c>
      <c r="BO3" s="22">
        <v>327.13799999999998</v>
      </c>
      <c r="BP3" s="22">
        <v>396.69099999999997</v>
      </c>
      <c r="BX3" s="22">
        <v>90</v>
      </c>
      <c r="BZ3" s="22" t="s">
        <v>31</v>
      </c>
      <c r="CA3" s="22">
        <v>157.982</v>
      </c>
      <c r="CB3" s="22">
        <v>215.53200000000001</v>
      </c>
      <c r="CC3" s="22">
        <v>277.83800000000002</v>
      </c>
      <c r="CD3" s="22">
        <v>327.113</v>
      </c>
      <c r="CE3" s="22">
        <v>397.40600000000001</v>
      </c>
      <c r="CM3" s="22">
        <v>90</v>
      </c>
      <c r="CO3" s="22" t="s">
        <v>31</v>
      </c>
      <c r="CP3" s="22">
        <v>159.38200000000001</v>
      </c>
      <c r="CQ3" s="22">
        <v>214.96899999999999</v>
      </c>
      <c r="CR3" s="22">
        <v>276.56099999999998</v>
      </c>
      <c r="CS3" s="22">
        <v>324.89699999999999</v>
      </c>
      <c r="CT3" s="22">
        <v>396.28699999999998</v>
      </c>
      <c r="DB3" s="22">
        <v>90</v>
      </c>
      <c r="DD3" s="22" t="s">
        <v>31</v>
      </c>
      <c r="DE3" s="22">
        <v>161.327</v>
      </c>
      <c r="DF3" s="22">
        <v>214.51</v>
      </c>
      <c r="DG3" s="22">
        <v>275.53300000000002</v>
      </c>
      <c r="DH3" s="22">
        <v>323.56200000000001</v>
      </c>
      <c r="DI3" s="22">
        <v>396.02600000000001</v>
      </c>
      <c r="DQ3" s="22">
        <v>90</v>
      </c>
      <c r="DS3" s="22" t="s">
        <v>31</v>
      </c>
      <c r="DT3" s="22">
        <v>162.29900000000001</v>
      </c>
      <c r="DU3" s="22">
        <v>213.94800000000001</v>
      </c>
      <c r="DV3" s="22">
        <v>276.62700000000001</v>
      </c>
      <c r="DW3" s="22">
        <v>321.57600000000002</v>
      </c>
      <c r="DX3" s="22">
        <v>396.12</v>
      </c>
      <c r="EF3" s="22">
        <v>90</v>
      </c>
      <c r="EH3" s="22" t="s">
        <v>31</v>
      </c>
      <c r="EI3" s="22">
        <v>164.428</v>
      </c>
      <c r="EJ3" s="22">
        <v>213.82599999999999</v>
      </c>
      <c r="EK3" s="22">
        <v>274.90800000000002</v>
      </c>
      <c r="EL3" s="22">
        <v>319.87700000000001</v>
      </c>
      <c r="EM3" s="22">
        <v>397.726</v>
      </c>
    </row>
    <row r="4" spans="1:149" x14ac:dyDescent="0.25">
      <c r="A4" s="20">
        <v>4</v>
      </c>
      <c r="B4" s="21" t="s">
        <v>2</v>
      </c>
      <c r="C4" s="21" t="s">
        <v>1</v>
      </c>
      <c r="D4" s="21" t="s">
        <v>7</v>
      </c>
      <c r="E4" s="23"/>
      <c r="F4" s="20">
        <v>50</v>
      </c>
      <c r="G4" s="21">
        <v>4</v>
      </c>
      <c r="H4" s="20" t="s">
        <v>25</v>
      </c>
      <c r="I4" s="20"/>
      <c r="J4" s="20"/>
      <c r="AD4" s="22">
        <v>33</v>
      </c>
      <c r="AE4" s="22" t="s">
        <v>44</v>
      </c>
      <c r="AF4" s="22" t="s">
        <v>17</v>
      </c>
      <c r="AG4" s="22" t="s">
        <v>2</v>
      </c>
      <c r="AH4" s="22">
        <v>2536.634</v>
      </c>
      <c r="AI4" s="22">
        <v>7247.2209999999995</v>
      </c>
      <c r="AJ4" s="22">
        <v>617.06100000000004</v>
      </c>
      <c r="AK4" s="22">
        <v>2112.7750000000001</v>
      </c>
      <c r="AL4" s="22">
        <v>790.62900000000002</v>
      </c>
      <c r="AT4" s="22" t="s">
        <v>44</v>
      </c>
      <c r="AU4" s="22" t="s">
        <v>17</v>
      </c>
      <c r="AV4" s="22" t="s">
        <v>2</v>
      </c>
      <c r="AW4" s="22">
        <v>4359.9089999999997</v>
      </c>
      <c r="AX4" s="22">
        <v>15450.38</v>
      </c>
      <c r="AY4" s="22">
        <v>1142.4349999999999</v>
      </c>
      <c r="AZ4" s="22">
        <v>4363.6710000000003</v>
      </c>
      <c r="BA4" s="22">
        <v>1351.8869999999999</v>
      </c>
      <c r="BI4" s="22" t="s">
        <v>44</v>
      </c>
      <c r="BJ4" s="22" t="s">
        <v>17</v>
      </c>
      <c r="BK4" s="22" t="s">
        <v>2</v>
      </c>
      <c r="BL4" s="22">
        <v>6702.4290000000001</v>
      </c>
      <c r="BM4" s="22">
        <v>25586.187999999998</v>
      </c>
      <c r="BN4" s="22">
        <v>1559.682</v>
      </c>
      <c r="BO4" s="22">
        <v>7568.7939999999999</v>
      </c>
      <c r="BP4" s="22">
        <v>2255.076</v>
      </c>
      <c r="BX4" s="22" t="s">
        <v>44</v>
      </c>
      <c r="BY4" s="22" t="s">
        <v>17</v>
      </c>
      <c r="BZ4" s="22" t="s">
        <v>2</v>
      </c>
      <c r="CA4" s="22">
        <v>8873.2630000000008</v>
      </c>
      <c r="CB4" s="22">
        <v>35124.36</v>
      </c>
      <c r="CC4" s="22">
        <v>2244.2840000000001</v>
      </c>
      <c r="CD4" s="22">
        <v>10598.478999999999</v>
      </c>
      <c r="CE4" s="22">
        <v>3091.15</v>
      </c>
      <c r="CM4" s="22" t="s">
        <v>44</v>
      </c>
      <c r="CN4" s="22" t="s">
        <v>17</v>
      </c>
      <c r="CO4" s="22" t="s">
        <v>2</v>
      </c>
      <c r="CP4" s="22">
        <v>14889.1</v>
      </c>
      <c r="CQ4" s="22">
        <v>60535.675999999999</v>
      </c>
      <c r="CR4" s="22">
        <v>5499.4740000000002</v>
      </c>
      <c r="CS4" s="22">
        <v>23045.367999999999</v>
      </c>
      <c r="CT4" s="22">
        <v>5551.3289999999997</v>
      </c>
      <c r="DB4" s="22" t="s">
        <v>44</v>
      </c>
      <c r="DC4" s="22" t="s">
        <v>17</v>
      </c>
      <c r="DD4" s="22" t="s">
        <v>2</v>
      </c>
      <c r="DE4" s="22">
        <v>21570.281999999999</v>
      </c>
      <c r="DF4" s="22">
        <v>82383.971999999994</v>
      </c>
      <c r="DG4" s="22">
        <v>11011.562</v>
      </c>
      <c r="DH4" s="22">
        <v>37491.368000000002</v>
      </c>
      <c r="DI4" s="22">
        <v>8282.7289999999994</v>
      </c>
      <c r="DQ4" s="22" t="s">
        <v>44</v>
      </c>
      <c r="DR4" s="22" t="s">
        <v>17</v>
      </c>
      <c r="DS4" s="22" t="s">
        <v>2</v>
      </c>
      <c r="DT4" s="22">
        <v>27936.245999999999</v>
      </c>
      <c r="DU4" s="22">
        <v>99395.652000000002</v>
      </c>
      <c r="DV4" s="22">
        <v>14987.233</v>
      </c>
      <c r="DW4" s="22">
        <v>55549.434999999998</v>
      </c>
      <c r="DX4" s="22">
        <v>10385.636</v>
      </c>
      <c r="EF4" s="22" t="s">
        <v>44</v>
      </c>
      <c r="EG4" s="22" t="s">
        <v>17</v>
      </c>
      <c r="EH4" s="22" t="s">
        <v>2</v>
      </c>
      <c r="EI4" s="22">
        <v>34387.415000000001</v>
      </c>
      <c r="EJ4" s="22">
        <v>109692.799</v>
      </c>
      <c r="EK4" s="22">
        <v>19122.944</v>
      </c>
      <c r="EL4" s="22">
        <v>71845.638999999996</v>
      </c>
      <c r="EM4" s="22">
        <v>11459.298000000001</v>
      </c>
    </row>
    <row r="5" spans="1:149" x14ac:dyDescent="0.25">
      <c r="A5" s="20">
        <v>4</v>
      </c>
      <c r="B5" s="21" t="s">
        <v>67</v>
      </c>
      <c r="C5" s="21" t="s">
        <v>68</v>
      </c>
      <c r="D5" s="21" t="s">
        <v>42</v>
      </c>
      <c r="E5" s="21"/>
      <c r="F5" s="20">
        <v>1</v>
      </c>
      <c r="G5" s="21">
        <v>5</v>
      </c>
      <c r="H5" s="20" t="s">
        <v>26</v>
      </c>
      <c r="I5" s="20"/>
      <c r="J5" s="20"/>
      <c r="S5" s="22">
        <v>19.8</v>
      </c>
      <c r="AD5" s="22">
        <v>46.2</v>
      </c>
      <c r="AE5" s="22">
        <v>19.8</v>
      </c>
      <c r="AF5" s="22" t="s">
        <v>16</v>
      </c>
      <c r="AG5" s="22" t="s">
        <v>32</v>
      </c>
      <c r="AH5" s="22">
        <v>1.0091000000000001</v>
      </c>
      <c r="AI5" s="22">
        <v>1.0102</v>
      </c>
      <c r="AJ5" s="22">
        <v>1.1475</v>
      </c>
      <c r="AK5" s="22">
        <v>1.2906</v>
      </c>
      <c r="AL5" s="22">
        <v>2.4504000000000001</v>
      </c>
      <c r="AT5" s="22">
        <v>33</v>
      </c>
      <c r="AU5" s="22" t="s">
        <v>16</v>
      </c>
      <c r="AV5" s="22" t="s">
        <v>32</v>
      </c>
      <c r="AW5" s="22">
        <v>1.0091000000000001</v>
      </c>
      <c r="AX5" s="22">
        <v>1.0102</v>
      </c>
      <c r="AY5" s="22">
        <v>1.1475</v>
      </c>
      <c r="AZ5" s="22">
        <v>1.2906</v>
      </c>
      <c r="BA5" s="22">
        <v>2.4504000000000001</v>
      </c>
      <c r="BI5" s="22">
        <v>46.2</v>
      </c>
      <c r="BJ5" s="22" t="s">
        <v>16</v>
      </c>
      <c r="BK5" s="22" t="s">
        <v>32</v>
      </c>
      <c r="BL5" s="22">
        <v>1.0091000000000001</v>
      </c>
      <c r="BM5" s="22">
        <v>1.0102</v>
      </c>
      <c r="BN5" s="22">
        <v>1.1475</v>
      </c>
      <c r="BO5" s="22">
        <v>1.2906</v>
      </c>
      <c r="BP5" s="22">
        <v>2.4504000000000001</v>
      </c>
      <c r="BX5" s="22">
        <v>59.4</v>
      </c>
      <c r="BY5" s="22" t="s">
        <v>16</v>
      </c>
      <c r="BZ5" s="22" t="s">
        <v>32</v>
      </c>
      <c r="CA5" s="22">
        <v>1.0091000000000001</v>
      </c>
      <c r="CB5" s="22">
        <v>1.0102</v>
      </c>
      <c r="CC5" s="22">
        <v>1.1475</v>
      </c>
      <c r="CD5" s="22">
        <v>1.2906</v>
      </c>
      <c r="CE5" s="22">
        <v>2.4504000000000001</v>
      </c>
      <c r="CM5" s="22">
        <v>105.6</v>
      </c>
      <c r="CN5" s="22" t="s">
        <v>16</v>
      </c>
      <c r="CO5" s="22" t="s">
        <v>32</v>
      </c>
      <c r="CP5" s="22">
        <v>1.0091000000000001</v>
      </c>
      <c r="CQ5" s="22">
        <v>1.0102</v>
      </c>
      <c r="CR5" s="22">
        <v>1.1475</v>
      </c>
      <c r="CS5" s="22">
        <v>1.2906</v>
      </c>
      <c r="CT5" s="22">
        <v>2.4504000000000001</v>
      </c>
      <c r="DB5" s="22">
        <v>158.4</v>
      </c>
      <c r="DC5" s="22" t="s">
        <v>16</v>
      </c>
      <c r="DD5" s="22" t="s">
        <v>32</v>
      </c>
      <c r="DE5" s="22">
        <v>1.0091000000000001</v>
      </c>
      <c r="DF5" s="22">
        <v>1.0102</v>
      </c>
      <c r="DG5" s="22">
        <v>1.1475</v>
      </c>
      <c r="DH5" s="22">
        <v>1.2906</v>
      </c>
      <c r="DI5" s="22">
        <v>2.4504000000000001</v>
      </c>
      <c r="DQ5" s="22">
        <v>211.2</v>
      </c>
      <c r="DR5" s="22" t="s">
        <v>16</v>
      </c>
      <c r="DS5" s="22" t="s">
        <v>32</v>
      </c>
      <c r="DT5" s="22">
        <v>1.0091000000000001</v>
      </c>
      <c r="DU5" s="22">
        <v>1.0102</v>
      </c>
      <c r="DV5" s="22">
        <v>1.1475</v>
      </c>
      <c r="DW5" s="22">
        <v>1.2906</v>
      </c>
      <c r="DX5" s="22">
        <v>2.4504000000000001</v>
      </c>
      <c r="EF5" s="22">
        <v>264</v>
      </c>
      <c r="EG5" s="22" t="s">
        <v>16</v>
      </c>
      <c r="EH5" s="22" t="s">
        <v>32</v>
      </c>
      <c r="EI5" s="22">
        <v>1.0091000000000001</v>
      </c>
      <c r="EJ5" s="22">
        <v>1.0102</v>
      </c>
      <c r="EK5" s="22">
        <v>1.1475</v>
      </c>
      <c r="EL5" s="22">
        <v>1.2906</v>
      </c>
      <c r="EM5" s="22">
        <v>2.4504000000000001</v>
      </c>
    </row>
    <row r="6" spans="1:149" x14ac:dyDescent="0.25">
      <c r="A6" s="20"/>
      <c r="B6" s="22">
        <v>0</v>
      </c>
      <c r="C6" s="22">
        <v>140000</v>
      </c>
      <c r="D6" s="20"/>
      <c r="E6" s="20"/>
      <c r="F6" s="20">
        <v>1</v>
      </c>
      <c r="G6" s="20"/>
      <c r="H6" s="20" t="s">
        <v>27</v>
      </c>
      <c r="I6" s="20"/>
      <c r="J6" s="20"/>
      <c r="S6" s="22">
        <v>0</v>
      </c>
      <c r="AD6" s="22">
        <v>59.4</v>
      </c>
      <c r="AE6" s="22">
        <v>0</v>
      </c>
      <c r="AF6" s="22" t="s">
        <v>16</v>
      </c>
      <c r="AG6" s="22" t="s">
        <v>30</v>
      </c>
      <c r="AH6" s="22">
        <v>1.4255</v>
      </c>
      <c r="AI6" s="22">
        <v>1.0630999999999999</v>
      </c>
      <c r="AJ6" s="22">
        <v>1.8435999999999999</v>
      </c>
      <c r="AK6" s="22">
        <v>1.2949999999999999</v>
      </c>
      <c r="AL6" s="22">
        <v>2</v>
      </c>
      <c r="AT6" s="22">
        <v>0</v>
      </c>
      <c r="AU6" s="22" t="s">
        <v>16</v>
      </c>
      <c r="AV6" s="22" t="s">
        <v>30</v>
      </c>
      <c r="AW6" s="22">
        <v>1.3987000000000001</v>
      </c>
      <c r="AX6" s="22">
        <v>1.0637000000000001</v>
      </c>
      <c r="AY6" s="22">
        <v>1.8311999999999999</v>
      </c>
      <c r="AZ6" s="22">
        <v>1.3982000000000001</v>
      </c>
      <c r="BA6" s="22">
        <v>1.921</v>
      </c>
      <c r="BI6" s="22">
        <v>0</v>
      </c>
      <c r="BJ6" s="22" t="s">
        <v>16</v>
      </c>
      <c r="BK6" s="22" t="s">
        <v>30</v>
      </c>
      <c r="BL6" s="22">
        <v>1.2205999999999999</v>
      </c>
      <c r="BM6" s="22">
        <v>1.1416999999999999</v>
      </c>
      <c r="BN6" s="22">
        <v>1.3137000000000001</v>
      </c>
      <c r="BO6" s="22">
        <v>1.3395999999999999</v>
      </c>
      <c r="BP6" s="22">
        <v>1.8230999999999999</v>
      </c>
      <c r="BX6" s="22">
        <v>0</v>
      </c>
      <c r="BY6" s="22" t="s">
        <v>16</v>
      </c>
      <c r="BZ6" s="22" t="s">
        <v>30</v>
      </c>
      <c r="CA6" s="22">
        <v>1.2891999999999999</v>
      </c>
      <c r="CB6" s="22">
        <v>1.1460999999999999</v>
      </c>
      <c r="CC6" s="22">
        <v>1.3367</v>
      </c>
      <c r="CD6" s="22">
        <v>1.3291999999999999</v>
      </c>
      <c r="CE6" s="22">
        <v>1.8987000000000001</v>
      </c>
      <c r="CM6" s="22">
        <v>0</v>
      </c>
      <c r="CN6" s="22" t="s">
        <v>16</v>
      </c>
      <c r="CO6" s="22" t="s">
        <v>30</v>
      </c>
      <c r="CP6" s="22">
        <v>1.5114000000000001</v>
      </c>
      <c r="CQ6" s="22">
        <v>1.1565000000000001</v>
      </c>
      <c r="CR6" s="22">
        <v>1.2686999999999999</v>
      </c>
      <c r="CS6" s="22">
        <v>1.3671</v>
      </c>
      <c r="CT6" s="22">
        <v>1.9386000000000001</v>
      </c>
      <c r="DB6" s="22">
        <v>0</v>
      </c>
      <c r="DC6" s="22" t="s">
        <v>16</v>
      </c>
      <c r="DD6" s="22" t="s">
        <v>30</v>
      </c>
      <c r="DE6" s="22">
        <v>1.708</v>
      </c>
      <c r="DF6" s="22">
        <v>1.1662999999999999</v>
      </c>
      <c r="DG6" s="22">
        <v>1.5206</v>
      </c>
      <c r="DH6" s="22">
        <v>1.3956</v>
      </c>
      <c r="DI6" s="22">
        <v>2</v>
      </c>
      <c r="DQ6" s="22">
        <v>4</v>
      </c>
      <c r="DR6" s="22" t="s">
        <v>16</v>
      </c>
      <c r="DS6" s="22" t="s">
        <v>30</v>
      </c>
      <c r="DT6" s="22">
        <v>1.7468999999999999</v>
      </c>
      <c r="DU6" s="22">
        <v>1.2149000000000001</v>
      </c>
      <c r="DV6" s="22">
        <v>1.2199</v>
      </c>
      <c r="DW6" s="22">
        <v>1.4466000000000001</v>
      </c>
      <c r="DX6" s="22">
        <v>1.9698</v>
      </c>
      <c r="EF6" s="22">
        <v>0</v>
      </c>
      <c r="EG6" s="22" t="s">
        <v>16</v>
      </c>
      <c r="EH6" s="22" t="s">
        <v>30</v>
      </c>
      <c r="EI6" s="22">
        <v>1.8966000000000001</v>
      </c>
      <c r="EJ6" s="22">
        <v>1.2224999999999999</v>
      </c>
      <c r="EK6" s="22">
        <v>1.26</v>
      </c>
      <c r="EL6" s="22">
        <v>1.5293000000000001</v>
      </c>
      <c r="EM6" s="22">
        <v>1.9366000000000001</v>
      </c>
    </row>
    <row r="7" spans="1:149" x14ac:dyDescent="0.25">
      <c r="A7" s="20"/>
      <c r="D7" s="20"/>
      <c r="E7" s="20"/>
      <c r="F7" s="20"/>
      <c r="G7" s="20"/>
      <c r="H7" s="20"/>
      <c r="I7" s="20"/>
      <c r="J7" s="20"/>
      <c r="S7" s="22">
        <v>5</v>
      </c>
      <c r="AD7" s="22">
        <v>105.6</v>
      </c>
      <c r="AE7" s="22">
        <v>5</v>
      </c>
      <c r="AF7" s="22" t="s">
        <v>16</v>
      </c>
      <c r="AG7" s="22" t="s">
        <v>33</v>
      </c>
      <c r="AH7" s="22">
        <v>169105102405.80481</v>
      </c>
      <c r="AI7" s="22">
        <v>6109948237.758153</v>
      </c>
      <c r="AJ7" s="22">
        <v>8657651295.0935497</v>
      </c>
      <c r="AK7" s="22">
        <v>12892718496.688431</v>
      </c>
      <c r="AL7" s="22">
        <v>6.2461807686176909E+17</v>
      </c>
      <c r="AT7" s="22">
        <v>5</v>
      </c>
      <c r="AU7" s="22" t="s">
        <v>16</v>
      </c>
      <c r="AV7" s="22" t="s">
        <v>33</v>
      </c>
      <c r="AW7" s="22">
        <v>181289149386.11969</v>
      </c>
      <c r="AX7" s="22">
        <v>6043312302.8681631</v>
      </c>
      <c r="AY7" s="22">
        <v>10283567121.592438</v>
      </c>
      <c r="AZ7" s="22">
        <v>13599904159.297775</v>
      </c>
      <c r="BA7" s="22">
        <v>6.789259786418839E+17</v>
      </c>
      <c r="BI7" s="22">
        <v>5</v>
      </c>
      <c r="BJ7" s="22" t="s">
        <v>16</v>
      </c>
      <c r="BK7" s="22" t="s">
        <v>33</v>
      </c>
      <c r="BL7" s="22">
        <v>186996422394.42233</v>
      </c>
      <c r="BM7" s="22">
        <v>6278781293.3986816</v>
      </c>
      <c r="BN7" s="22">
        <v>7387449509.8224335</v>
      </c>
      <c r="BO7" s="22">
        <v>13847469910.090466</v>
      </c>
      <c r="BP7" s="22">
        <v>8.3329328432022566E+17</v>
      </c>
      <c r="BX7" s="22">
        <v>5</v>
      </c>
      <c r="BY7" s="22" t="s">
        <v>16</v>
      </c>
      <c r="BZ7" s="22" t="s">
        <v>33</v>
      </c>
      <c r="CA7" s="22">
        <v>192832517193.76559</v>
      </c>
      <c r="CB7" s="22">
        <v>6351723196.3358936</v>
      </c>
      <c r="CC7" s="22">
        <v>6684812652.7032595</v>
      </c>
      <c r="CD7" s="22">
        <v>13874296130.769054</v>
      </c>
      <c r="CE7" s="22">
        <v>7.9196770635478438E+17</v>
      </c>
      <c r="CM7" s="22">
        <v>5</v>
      </c>
      <c r="CN7" s="22" t="s">
        <v>16</v>
      </c>
      <c r="CO7" s="22" t="s">
        <v>33</v>
      </c>
      <c r="CP7" s="22">
        <v>172675172855.3811</v>
      </c>
      <c r="CQ7" s="22">
        <v>6539489075.8313255</v>
      </c>
      <c r="CR7" s="22">
        <v>7143207657.3308048</v>
      </c>
      <c r="CS7" s="22">
        <v>15287508293.937971</v>
      </c>
      <c r="CT7" s="22">
        <v>8.5151084772171469E+17</v>
      </c>
      <c r="DB7" s="22">
        <v>5</v>
      </c>
      <c r="DC7" s="22" t="s">
        <v>16</v>
      </c>
      <c r="DD7" s="22" t="s">
        <v>33</v>
      </c>
      <c r="DE7" s="22">
        <v>149473548348.21909</v>
      </c>
      <c r="DF7" s="22">
        <v>6696286855.0363789</v>
      </c>
      <c r="DG7" s="22">
        <v>7353866040.6393366</v>
      </c>
      <c r="DH7" s="22">
        <v>16206176869.019955</v>
      </c>
      <c r="DI7" s="22">
        <v>8.6403415883069158E+17</v>
      </c>
      <c r="DQ7" s="22">
        <v>5</v>
      </c>
      <c r="DR7" s="22" t="s">
        <v>16</v>
      </c>
      <c r="DS7" s="22" t="s">
        <v>33</v>
      </c>
      <c r="DT7" s="22">
        <v>139718778715.10922</v>
      </c>
      <c r="DU7" s="22">
        <v>6873235219.4214964</v>
      </c>
      <c r="DV7" s="22">
        <v>7148918081.8576555</v>
      </c>
      <c r="DW7" s="22">
        <v>17673324333.756451</v>
      </c>
      <c r="DX7" s="22">
        <v>8.5981338578911002E+17</v>
      </c>
      <c r="EF7" s="22">
        <v>5</v>
      </c>
      <c r="EG7" s="22" t="s">
        <v>16</v>
      </c>
      <c r="EH7" s="22" t="s">
        <v>33</v>
      </c>
      <c r="EI7" s="22">
        <v>120089594563.78691</v>
      </c>
      <c r="EJ7" s="22">
        <v>6914008008.1540689</v>
      </c>
      <c r="EK7" s="22">
        <v>7736994133.9354715</v>
      </c>
      <c r="EL7" s="22">
        <v>18986303117.521347</v>
      </c>
      <c r="EM7" s="22">
        <v>7.7402614040420685E+17</v>
      </c>
    </row>
    <row r="8" spans="1:149" x14ac:dyDescent="0.25">
      <c r="A8" s="22" t="s">
        <v>3</v>
      </c>
      <c r="C8" s="22">
        <v>157.982</v>
      </c>
      <c r="D8" s="22">
        <v>213.82599999999999</v>
      </c>
      <c r="E8" s="22">
        <v>268.13799999999998</v>
      </c>
      <c r="F8" s="22">
        <v>319.87700000000001</v>
      </c>
      <c r="G8" s="22">
        <v>396.02600000000001</v>
      </c>
      <c r="S8" s="22">
        <v>22</v>
      </c>
      <c r="AD8" s="22">
        <v>158.4</v>
      </c>
      <c r="AE8" s="22">
        <v>22</v>
      </c>
      <c r="AF8" s="22" t="s">
        <v>16</v>
      </c>
      <c r="AG8" s="22" t="s">
        <v>34</v>
      </c>
      <c r="AH8" s="22">
        <v>11.642125860677428</v>
      </c>
      <c r="AI8" s="22">
        <v>336.46068121834151</v>
      </c>
      <c r="AJ8" s="22">
        <v>52482.296950598764</v>
      </c>
      <c r="AK8" s="22">
        <v>9784673.4747122377</v>
      </c>
      <c r="AL8" s="22">
        <v>1.2859656219673188E+19</v>
      </c>
      <c r="AT8" s="22">
        <v>22</v>
      </c>
      <c r="AU8" s="22" t="s">
        <v>16</v>
      </c>
      <c r="AV8" s="22" t="s">
        <v>34</v>
      </c>
      <c r="AW8" s="22">
        <v>10.8596840602853</v>
      </c>
      <c r="AX8" s="22">
        <v>340.17062883035987</v>
      </c>
      <c r="AY8" s="22">
        <v>44184.417798935385</v>
      </c>
      <c r="AZ8" s="22">
        <v>9275877.183681041</v>
      </c>
      <c r="BA8" s="22">
        <v>1.18310007124836E+19</v>
      </c>
      <c r="BI8" s="22">
        <v>22</v>
      </c>
      <c r="BJ8" s="22" t="s">
        <v>16</v>
      </c>
      <c r="BK8" s="22" t="s">
        <v>34</v>
      </c>
      <c r="BL8" s="22">
        <v>10.528238244786056</v>
      </c>
      <c r="BM8" s="22">
        <v>327.41343426729537</v>
      </c>
      <c r="BN8" s="22">
        <v>61506.129491605425</v>
      </c>
      <c r="BO8" s="22">
        <v>9110042.5933805089</v>
      </c>
      <c r="BP8" s="22">
        <v>9.6393117383494943E+18</v>
      </c>
      <c r="BX8" s="22">
        <v>22</v>
      </c>
      <c r="BY8" s="22" t="s">
        <v>16</v>
      </c>
      <c r="BZ8" s="22" t="s">
        <v>34</v>
      </c>
      <c r="CA8" s="22">
        <v>10.209600095158512</v>
      </c>
      <c r="CB8" s="22">
        <v>323.6534846907079</v>
      </c>
      <c r="CC8" s="22">
        <v>67971.003791720679</v>
      </c>
      <c r="CD8" s="22">
        <v>9092428.1493252628</v>
      </c>
      <c r="CE8" s="22">
        <v>1.0142299581894095E+19</v>
      </c>
      <c r="CM8" s="22">
        <v>22</v>
      </c>
      <c r="CN8" s="22" t="s">
        <v>16</v>
      </c>
      <c r="CO8" s="22" t="s">
        <v>34</v>
      </c>
      <c r="CP8" s="22">
        <v>11.401424149955746</v>
      </c>
      <c r="CQ8" s="22">
        <v>314.36054444720935</v>
      </c>
      <c r="CR8" s="22">
        <v>63609.158232650472</v>
      </c>
      <c r="CS8" s="22">
        <v>8251903.3361049676</v>
      </c>
      <c r="CT8" s="22">
        <v>9.4330844504529961E+18</v>
      </c>
      <c r="DB8" s="22">
        <v>22</v>
      </c>
      <c r="DC8" s="22" t="s">
        <v>16</v>
      </c>
      <c r="DD8" s="22" t="s">
        <v>34</v>
      </c>
      <c r="DE8" s="22">
        <v>13.171179166126898</v>
      </c>
      <c r="DF8" s="22">
        <v>306.99959407186196</v>
      </c>
      <c r="DG8" s="22">
        <v>61787.014293278167</v>
      </c>
      <c r="DH8" s="22">
        <v>7784133.2789988201</v>
      </c>
      <c r="DI8" s="22">
        <v>9.2963613243092931E+18</v>
      </c>
      <c r="DQ8" s="22">
        <v>22</v>
      </c>
      <c r="DR8" s="22" t="s">
        <v>16</v>
      </c>
      <c r="DS8" s="22" t="s">
        <v>34</v>
      </c>
      <c r="DT8" s="22">
        <v>14.090753612336179</v>
      </c>
      <c r="DU8" s="22">
        <v>299.09602693008685</v>
      </c>
      <c r="DV8" s="22">
        <v>63558.34840476534</v>
      </c>
      <c r="DW8" s="22">
        <v>7137935.0205511572</v>
      </c>
      <c r="DX8" s="22">
        <v>9.3419966120484291E+18</v>
      </c>
      <c r="EF8" s="22">
        <v>22</v>
      </c>
      <c r="EG8" s="22" t="s">
        <v>16</v>
      </c>
      <c r="EH8" s="22" t="s">
        <v>34</v>
      </c>
      <c r="EI8" s="22">
        <v>16.393950641955122</v>
      </c>
      <c r="EJ8" s="22">
        <v>297.33221943920893</v>
      </c>
      <c r="EK8" s="22">
        <v>58727.384084588375</v>
      </c>
      <c r="EL8" s="22">
        <v>6644318.2704199906</v>
      </c>
      <c r="EM8" s="22">
        <v>1.037739336922283E+19</v>
      </c>
    </row>
    <row r="9" spans="1:149" x14ac:dyDescent="0.25">
      <c r="A9" s="22" t="s">
        <v>4</v>
      </c>
      <c r="C9" s="22">
        <v>164.428</v>
      </c>
      <c r="D9" s="22">
        <v>216.59800000000001</v>
      </c>
      <c r="E9" s="22">
        <v>277.83800000000002</v>
      </c>
      <c r="F9" s="22">
        <v>328.81</v>
      </c>
      <c r="G9" s="22">
        <v>400.93599999999998</v>
      </c>
      <c r="P9" s="22">
        <v>1</v>
      </c>
      <c r="Q9" s="22">
        <v>5</v>
      </c>
      <c r="AD9" s="22">
        <v>211.2</v>
      </c>
      <c r="AG9" s="22" t="s">
        <v>35</v>
      </c>
      <c r="AH9" s="22">
        <v>124819.50044793278</v>
      </c>
      <c r="AI9" s="22">
        <v>386099.62478130241</v>
      </c>
      <c r="AJ9" s="22">
        <v>48843.986251106187</v>
      </c>
      <c r="AK9" s="22">
        <v>148274.80435956389</v>
      </c>
      <c r="AL9" s="22">
        <v>45880.923342076712</v>
      </c>
      <c r="AV9" s="22" t="s">
        <v>35</v>
      </c>
      <c r="AW9" s="22">
        <v>211305.38302156364</v>
      </c>
      <c r="AX9" s="22">
        <v>824037.71144303493</v>
      </c>
      <c r="AY9" s="22">
        <v>88954.507349670952</v>
      </c>
      <c r="AZ9" s="22">
        <v>318089.07270051498</v>
      </c>
      <c r="BA9" s="22">
        <v>77210.49371930398</v>
      </c>
      <c r="BK9" s="22" t="s">
        <v>35</v>
      </c>
      <c r="BL9" s="22">
        <v>301092.47127577668</v>
      </c>
      <c r="BM9" s="22">
        <v>1411119.1385020781</v>
      </c>
      <c r="BN9" s="22">
        <v>103029.55259816084</v>
      </c>
      <c r="BO9" s="22">
        <v>538247.7760284855</v>
      </c>
      <c r="BP9" s="22">
        <v>125697.14855643659</v>
      </c>
      <c r="BZ9" s="22" t="s">
        <v>35</v>
      </c>
      <c r="CA9" s="22">
        <v>409616.06936297455</v>
      </c>
      <c r="CB9" s="22">
        <v>1939371.4744660696</v>
      </c>
      <c r="CC9" s="22">
        <v>150769.42871243795</v>
      </c>
      <c r="CD9" s="22">
        <v>750406.73791403032</v>
      </c>
      <c r="CE9" s="22">
        <v>175545.82130925037</v>
      </c>
      <c r="CO9" s="22" t="s">
        <v>35</v>
      </c>
      <c r="CP9" s="22">
        <v>756039.91661082255</v>
      </c>
      <c r="CQ9" s="22">
        <v>3350928.0051140347</v>
      </c>
      <c r="CR9" s="22">
        <v>357400.24753595772</v>
      </c>
      <c r="CS9" s="22">
        <v>1645427.9162381634</v>
      </c>
      <c r="CT9" s="22">
        <v>317939.41960425489</v>
      </c>
      <c r="DD9" s="22" t="s">
        <v>35</v>
      </c>
      <c r="DE9" s="22">
        <v>1186592.5165673897</v>
      </c>
      <c r="DF9" s="22">
        <v>4572406.6742359623</v>
      </c>
      <c r="DG9" s="22">
        <v>789102.1347991334</v>
      </c>
      <c r="DH9" s="22">
        <v>2696101.363189307</v>
      </c>
      <c r="DI9" s="22">
        <v>480773.84642232669</v>
      </c>
      <c r="DS9" s="22" t="s">
        <v>35</v>
      </c>
      <c r="DT9" s="22">
        <v>1564323.1021730078</v>
      </c>
      <c r="DU9" s="22">
        <v>5625497.9445947371</v>
      </c>
      <c r="DV9" s="22">
        <v>953757.966896381</v>
      </c>
      <c r="DW9" s="22">
        <v>4049707.872675627</v>
      </c>
      <c r="DX9" s="22">
        <v>598915.20191260288</v>
      </c>
      <c r="EH9" s="22" t="s">
        <v>35</v>
      </c>
      <c r="EI9" s="22">
        <v>2042939.4360494928</v>
      </c>
      <c r="EJ9" s="22">
        <v>6226113.2328708274</v>
      </c>
      <c r="EK9" s="22">
        <v>1230910.2214060416</v>
      </c>
      <c r="EL9" s="22">
        <v>5375500.509196152</v>
      </c>
      <c r="EM9" s="22">
        <v>656445.16051681095</v>
      </c>
    </row>
    <row r="10" spans="1:149" x14ac:dyDescent="0.25">
      <c r="A10" s="22" t="s">
        <v>5</v>
      </c>
      <c r="B10" s="24">
        <v>264</v>
      </c>
      <c r="C10" s="20" t="s">
        <v>99</v>
      </c>
      <c r="D10" s="26"/>
      <c r="E10" s="26" t="s">
        <v>100</v>
      </c>
      <c r="F10" s="26"/>
      <c r="G10" s="26"/>
      <c r="P10" s="22" t="str">
        <f>"Residual x " &amp; P9</f>
        <v>Residual x 1</v>
      </c>
      <c r="Q10" s="22" t="s">
        <v>8</v>
      </c>
      <c r="R10" s="22" t="str">
        <f>"Residual to 0 x " &amp; P9</f>
        <v>Residual to 0 x 1</v>
      </c>
      <c r="S10" s="22" t="s">
        <v>29</v>
      </c>
      <c r="T10" s="22" t="s">
        <v>74</v>
      </c>
      <c r="U10" s="22" t="s">
        <v>75</v>
      </c>
      <c r="V10" s="22" t="s">
        <v>76</v>
      </c>
      <c r="W10" s="22" t="s">
        <v>77</v>
      </c>
      <c r="X10" s="22" t="s">
        <v>78</v>
      </c>
      <c r="AD10" s="22">
        <v>264</v>
      </c>
      <c r="AE10" s="22" t="s">
        <v>19</v>
      </c>
      <c r="AF10" s="22" t="s">
        <v>20</v>
      </c>
      <c r="AG10" s="22" t="s">
        <v>29</v>
      </c>
      <c r="AH10" s="22" t="s">
        <v>74</v>
      </c>
      <c r="AI10" s="22" t="s">
        <v>75</v>
      </c>
      <c r="AJ10" s="22" t="s">
        <v>76</v>
      </c>
      <c r="AK10" s="22" t="s">
        <v>77</v>
      </c>
      <c r="AL10" s="22" t="s">
        <v>78</v>
      </c>
      <c r="AR10" s="22" t="s">
        <v>21</v>
      </c>
      <c r="AT10" s="22" t="s">
        <v>19</v>
      </c>
      <c r="AU10" s="22" t="s">
        <v>20</v>
      </c>
      <c r="AV10" s="22" t="s">
        <v>29</v>
      </c>
      <c r="AW10" s="22" t="s">
        <v>52</v>
      </c>
      <c r="AX10" s="22" t="s">
        <v>53</v>
      </c>
      <c r="AY10" s="22" t="s">
        <v>81</v>
      </c>
      <c r="AZ10" s="22" t="s">
        <v>79</v>
      </c>
      <c r="BA10" s="22" t="s">
        <v>80</v>
      </c>
      <c r="BG10" s="22" t="s">
        <v>21</v>
      </c>
      <c r="BI10" s="22" t="s">
        <v>19</v>
      </c>
      <c r="BJ10" s="22" t="s">
        <v>20</v>
      </c>
      <c r="BK10" s="22" t="s">
        <v>29</v>
      </c>
      <c r="BL10" s="22" t="s">
        <v>84</v>
      </c>
      <c r="BM10" s="22" t="s">
        <v>55</v>
      </c>
      <c r="BN10" s="22" t="s">
        <v>82</v>
      </c>
      <c r="BO10" s="22" t="s">
        <v>54</v>
      </c>
      <c r="BP10" s="22" t="s">
        <v>83</v>
      </c>
      <c r="BV10" s="22" t="s">
        <v>21</v>
      </c>
      <c r="BX10" s="22" t="s">
        <v>19</v>
      </c>
      <c r="BY10" s="22" t="s">
        <v>20</v>
      </c>
      <c r="BZ10" s="22" t="s">
        <v>29</v>
      </c>
      <c r="CA10" s="22" t="s">
        <v>56</v>
      </c>
      <c r="CB10" s="22" t="s">
        <v>51</v>
      </c>
      <c r="CC10" s="22" t="s">
        <v>85</v>
      </c>
      <c r="CD10" s="22" t="s">
        <v>54</v>
      </c>
      <c r="CE10" s="22" t="s">
        <v>58</v>
      </c>
      <c r="CK10" s="22" t="s">
        <v>21</v>
      </c>
      <c r="CM10" s="22" t="s">
        <v>19</v>
      </c>
      <c r="CN10" s="22" t="s">
        <v>20</v>
      </c>
      <c r="CO10" s="22" t="s">
        <v>29</v>
      </c>
      <c r="CP10" s="22" t="s">
        <v>86</v>
      </c>
      <c r="CQ10" s="22" t="s">
        <v>57</v>
      </c>
      <c r="CR10" s="22" t="s">
        <v>87</v>
      </c>
      <c r="CS10" s="22" t="s">
        <v>88</v>
      </c>
      <c r="CT10" s="22" t="s">
        <v>89</v>
      </c>
      <c r="CZ10" s="22" t="s">
        <v>21</v>
      </c>
      <c r="DB10" s="22" t="s">
        <v>19</v>
      </c>
      <c r="DC10" s="22" t="s">
        <v>20</v>
      </c>
      <c r="DD10" s="22" t="s">
        <v>29</v>
      </c>
      <c r="DE10" s="22" t="s">
        <v>71</v>
      </c>
      <c r="DF10" s="22" t="s">
        <v>69</v>
      </c>
      <c r="DG10" s="22" t="s">
        <v>72</v>
      </c>
      <c r="DH10" s="22" t="s">
        <v>70</v>
      </c>
      <c r="DI10" s="22" t="s">
        <v>73</v>
      </c>
      <c r="DO10" s="22" t="s">
        <v>21</v>
      </c>
      <c r="DQ10" s="22" t="s">
        <v>19</v>
      </c>
      <c r="DR10" s="22" t="s">
        <v>20</v>
      </c>
      <c r="DS10" s="22" t="s">
        <v>29</v>
      </c>
      <c r="DT10" s="22" t="s">
        <v>90</v>
      </c>
      <c r="DU10" s="22" t="s">
        <v>91</v>
      </c>
      <c r="DV10" s="22" t="s">
        <v>87</v>
      </c>
      <c r="DW10" s="22" t="s">
        <v>92</v>
      </c>
      <c r="DX10" s="22" t="s">
        <v>93</v>
      </c>
      <c r="ED10" s="22" t="s">
        <v>21</v>
      </c>
      <c r="EF10" s="22" t="s">
        <v>19</v>
      </c>
      <c r="EG10" s="22" t="s">
        <v>20</v>
      </c>
      <c r="EH10" s="22" t="s">
        <v>29</v>
      </c>
      <c r="EI10" s="22" t="s">
        <v>65</v>
      </c>
      <c r="EJ10" s="22" t="s">
        <v>59</v>
      </c>
      <c r="EK10" s="22" t="s">
        <v>94</v>
      </c>
      <c r="EL10" s="22" t="s">
        <v>95</v>
      </c>
      <c r="EM10" s="22" t="s">
        <v>96</v>
      </c>
      <c r="ES10" s="22" t="s">
        <v>21</v>
      </c>
    </row>
    <row r="11" spans="1:149" x14ac:dyDescent="0.25">
      <c r="A11" s="22" t="s">
        <v>6</v>
      </c>
      <c r="B11" s="24">
        <v>19.8</v>
      </c>
      <c r="C11" s="22">
        <v>2678.7704627272974</v>
      </c>
      <c r="D11" s="22">
        <v>19.8</v>
      </c>
      <c r="E11" s="22">
        <v>2536.634</v>
      </c>
      <c r="P11" s="22">
        <f>IF('Data-Plot'!C11="","",$Q$11+('Data-Plot'!C11-'Data-Plot'!D11)*$P$9)</f>
        <v>7828.2475895236103</v>
      </c>
      <c r="Q11" s="22">
        <f>IF('Data-Plot'!C11="","",MAX('Data-Plot'!$C$11:$C$1010)*(1+$Q$9/100))</f>
        <v>7796.25</v>
      </c>
      <c r="R11" s="22">
        <f>IF('Data-Plot'!C11="","",('Data-Plot'!C11-'Data-Plot'!D11)*$P$9)</f>
        <v>31.997589523610582</v>
      </c>
      <c r="S11" s="20">
        <v>2.4104763894186925E-3</v>
      </c>
      <c r="T11" s="20">
        <v>2.1782884899653795E-3</v>
      </c>
      <c r="U11" s="20">
        <v>2.3205094801885206E-4</v>
      </c>
      <c r="V11" s="20">
        <v>1.3538829805376832E-7</v>
      </c>
      <c r="W11" s="20">
        <v>1.5631364071924042E-9</v>
      </c>
      <c r="X11" s="20">
        <v>2.4071570406678346E-23</v>
      </c>
      <c r="AE11" s="22">
        <v>5</v>
      </c>
      <c r="AF11" s="22">
        <v>32</v>
      </c>
      <c r="AG11" s="22">
        <v>2.4104763894186925E-3</v>
      </c>
      <c r="AH11" s="22">
        <v>2.1782884899653795E-3</v>
      </c>
      <c r="AI11" s="22">
        <v>2.3205094801885206E-4</v>
      </c>
      <c r="AJ11" s="22">
        <v>1.3538829805376832E-7</v>
      </c>
      <c r="AK11" s="22">
        <v>1.5631364071924042E-9</v>
      </c>
      <c r="AL11" s="22">
        <v>2.4071570406678346E-23</v>
      </c>
      <c r="AT11" s="22">
        <v>5</v>
      </c>
      <c r="AU11" s="22">
        <v>44</v>
      </c>
      <c r="AV11" s="22">
        <v>4.4436309202271276E-3</v>
      </c>
      <c r="AW11" s="22">
        <v>3.9534827316208771E-3</v>
      </c>
      <c r="AX11" s="22">
        <v>4.8985178129952532E-4</v>
      </c>
      <c r="AY11" s="22">
        <v>2.9286966332664639E-7</v>
      </c>
      <c r="AZ11" s="22">
        <v>3.5376433985522259E-9</v>
      </c>
      <c r="BA11" s="22">
        <v>4.3493877412635392E-23</v>
      </c>
      <c r="BI11" s="22">
        <v>5</v>
      </c>
      <c r="BJ11" s="22">
        <v>8</v>
      </c>
      <c r="BK11" s="22">
        <v>6.6829611063863679E-3</v>
      </c>
      <c r="BL11" s="22">
        <v>5.8111877948637406E-3</v>
      </c>
      <c r="BM11" s="22">
        <v>8.7152364298401089E-4</v>
      </c>
      <c r="BN11" s="22">
        <v>2.4357371331638981E-7</v>
      </c>
      <c r="BO11" s="22">
        <v>6.0948253004216345E-9</v>
      </c>
      <c r="BP11" s="22">
        <v>8.5515811561569464E-23</v>
      </c>
      <c r="BX11" s="22">
        <v>5</v>
      </c>
      <c r="BY11" s="22">
        <v>120</v>
      </c>
      <c r="BZ11" s="22">
        <v>9.3644485726834762E-3</v>
      </c>
      <c r="CA11" s="22">
        <v>8.1524157081679805E-3</v>
      </c>
      <c r="CB11" s="22">
        <v>1.2117018447438796E-3</v>
      </c>
      <c r="CC11" s="22">
        <v>3.2250613345939964E-7</v>
      </c>
      <c r="CD11" s="22">
        <v>8.5136381575301566E-9</v>
      </c>
      <c r="CE11" s="22">
        <v>1.1441444124100725E-22</v>
      </c>
      <c r="CM11" s="22">
        <v>5</v>
      </c>
      <c r="CN11" s="22">
        <v>48</v>
      </c>
      <c r="CO11" s="22">
        <v>1.5628706576882753E-2</v>
      </c>
      <c r="CP11" s="22">
        <v>1.3472309716161287E-2</v>
      </c>
      <c r="CQ11" s="22">
        <v>2.1555592929639266E-3</v>
      </c>
      <c r="CR11" s="22">
        <v>8.1699676554868644E-7</v>
      </c>
      <c r="CS11" s="22">
        <v>2.0570991988816257E-8</v>
      </c>
      <c r="CT11" s="22">
        <v>2.2300970827500469E-22</v>
      </c>
      <c r="DB11" s="22">
        <v>5</v>
      </c>
      <c r="DC11" s="22">
        <v>21</v>
      </c>
      <c r="DD11" s="22">
        <v>2.1314272877514327E-2</v>
      </c>
      <c r="DE11" s="22">
        <v>1.8300511437630573E-2</v>
      </c>
      <c r="DF11" s="22">
        <v>3.0118688221919161E-3</v>
      </c>
      <c r="DG11" s="22">
        <v>1.8568838514200404E-6</v>
      </c>
      <c r="DH11" s="22">
        <v>3.5733840417432404E-8</v>
      </c>
      <c r="DI11" s="22">
        <v>3.4388625061447235E-22</v>
      </c>
      <c r="DQ11" s="22">
        <v>5</v>
      </c>
      <c r="DR11" s="22">
        <v>35</v>
      </c>
      <c r="DS11" s="22">
        <v>4.026356093043467</v>
      </c>
      <c r="DT11" s="22">
        <v>2.255039776101565E-2</v>
      </c>
      <c r="DU11" s="22">
        <v>3.8034547110800936E-3</v>
      </c>
      <c r="DV11" s="22">
        <v>2.1820315859217749E-6</v>
      </c>
      <c r="DW11" s="22">
        <v>5.8539784917441083E-8</v>
      </c>
      <c r="DX11" s="22">
        <v>4.2521251723790362E-22</v>
      </c>
      <c r="EF11" s="22">
        <v>5</v>
      </c>
      <c r="EG11" s="22">
        <v>24</v>
      </c>
      <c r="EH11" s="22">
        <v>2.9546169025517838E-2</v>
      </c>
      <c r="EI11" s="22">
        <v>2.5308525279728E-2</v>
      </c>
      <c r="EJ11" s="22">
        <v>4.2345123579521343E-3</v>
      </c>
      <c r="EK11" s="22">
        <v>3.0478904891924478E-6</v>
      </c>
      <c r="EL11" s="22">
        <v>8.349734851384166E-8</v>
      </c>
      <c r="EM11" s="22">
        <v>4.1995184190851736E-22</v>
      </c>
    </row>
    <row r="12" spans="1:149" x14ac:dyDescent="0.25">
      <c r="B12" s="24">
        <f>$B$11+($B$10-$B$11)*1/99</f>
        <v>22.266666666666666</v>
      </c>
      <c r="C12" s="22">
        <v>3046.5043381192891</v>
      </c>
      <c r="D12" s="22">
        <v>33</v>
      </c>
      <c r="E12" s="22">
        <v>4359.9089999999997</v>
      </c>
      <c r="P12" s="22">
        <f>IF('Data-Plot'!C12="","",$Q$11+('Data-Plot'!C12-'Data-Plot'!D12)*$P$9)</f>
        <v>7796.2449300488051</v>
      </c>
      <c r="Q12" s="22">
        <f>IF('Data-Plot'!C12="","",MAX('Data-Plot'!$C$11:$C$1010)*(1+$Q$9/100))</f>
        <v>7796.25</v>
      </c>
      <c r="R12" s="22">
        <f>IF('Data-Plot'!C12="","",('Data-Plot'!C12-'Data-Plot'!D12)*$P$9)</f>
        <v>-5.0699511950063579E-3</v>
      </c>
      <c r="S12" s="20">
        <v>5.0699511950063406E-3</v>
      </c>
      <c r="T12" s="20">
        <v>4.5812048221450467E-3</v>
      </c>
      <c r="U12" s="20">
        <v>4.884270255792046E-4</v>
      </c>
      <c r="V12" s="20">
        <v>3.1530219392910794E-7</v>
      </c>
      <c r="W12" s="20">
        <v>4.0450881595609869E-9</v>
      </c>
      <c r="X12" s="20">
        <v>1.463918234896403E-22</v>
      </c>
      <c r="AE12" s="22">
        <v>10</v>
      </c>
      <c r="AF12" s="22">
        <v>0</v>
      </c>
      <c r="AG12" s="22">
        <v>5.0699511950063406E-3</v>
      </c>
      <c r="AH12" s="22">
        <v>4.5812048221450467E-3</v>
      </c>
      <c r="AI12" s="22">
        <v>4.884270255792046E-4</v>
      </c>
      <c r="AJ12" s="22">
        <v>3.1530219392910794E-7</v>
      </c>
      <c r="AK12" s="22">
        <v>4.0450881595609869E-9</v>
      </c>
      <c r="AL12" s="22">
        <v>1.463918234896403E-22</v>
      </c>
      <c r="AT12" s="22">
        <v>10</v>
      </c>
      <c r="AU12" s="22">
        <v>57</v>
      </c>
      <c r="AV12" s="22">
        <v>9.3463977905037243E-3</v>
      </c>
      <c r="AW12" s="22">
        <v>8.3146534828268948E-3</v>
      </c>
      <c r="AX12" s="22">
        <v>1.0310530966122688E-3</v>
      </c>
      <c r="AY12" s="22">
        <v>6.8205634245305984E-7</v>
      </c>
      <c r="AZ12" s="22">
        <v>9.1547221076727576E-9</v>
      </c>
      <c r="BA12" s="22">
        <v>2.6450904189051727E-22</v>
      </c>
      <c r="BI12" s="22">
        <v>10</v>
      </c>
      <c r="BJ12" s="22">
        <v>38</v>
      </c>
      <c r="BK12" s="22">
        <v>1.4056621923349392E-2</v>
      </c>
      <c r="BL12" s="22">
        <v>1.2221632687225073E-2</v>
      </c>
      <c r="BM12" s="22">
        <v>1.8344062116005654E-3</v>
      </c>
      <c r="BN12" s="22">
        <v>5.6725232015870295E-7</v>
      </c>
      <c r="BO12" s="22">
        <v>1.5772203592653848E-8</v>
      </c>
      <c r="BP12" s="22">
        <v>5.2006642608666373E-22</v>
      </c>
      <c r="BX12" s="22">
        <v>10</v>
      </c>
      <c r="BY12" s="22">
        <v>74</v>
      </c>
      <c r="BZ12" s="22">
        <v>1.9696714125673538E-2</v>
      </c>
      <c r="CA12" s="22">
        <v>1.7145518653441837E-2</v>
      </c>
      <c r="CB12" s="22">
        <v>2.5504223646915826E-3</v>
      </c>
      <c r="CC12" s="22">
        <v>7.5107592678928152E-7</v>
      </c>
      <c r="CD12" s="22">
        <v>2.203161333032177E-8</v>
      </c>
      <c r="CE12" s="22">
        <v>6.9581412445664886E-22</v>
      </c>
      <c r="CM12" s="22">
        <v>10</v>
      </c>
      <c r="CN12" s="22">
        <v>25</v>
      </c>
      <c r="CO12" s="22">
        <v>3.2872935092545005E-2</v>
      </c>
      <c r="CP12" s="22">
        <v>2.8333900478976042E-2</v>
      </c>
      <c r="CQ12" s="22">
        <v>4.5370786979440358E-3</v>
      </c>
      <c r="CR12" s="22">
        <v>1.9026819623118178E-6</v>
      </c>
      <c r="CS12" s="22">
        <v>5.3233662616713522E-8</v>
      </c>
      <c r="CT12" s="22">
        <v>1.3562388036475369E-21</v>
      </c>
      <c r="DB12" s="22">
        <v>10</v>
      </c>
      <c r="DC12" s="22">
        <v>3</v>
      </c>
      <c r="DD12" s="22">
        <v>4.4832072908798835E-2</v>
      </c>
      <c r="DE12" s="22">
        <v>3.8488194154039583E-2</v>
      </c>
      <c r="DF12" s="22">
        <v>6.3394618353981094E-3</v>
      </c>
      <c r="DG12" s="22">
        <v>4.3244472428397007E-6</v>
      </c>
      <c r="DH12" s="22">
        <v>9.2472118302084732E-8</v>
      </c>
      <c r="DI12" s="22">
        <v>2.0913523484326403E-21</v>
      </c>
      <c r="DQ12" s="22">
        <v>10</v>
      </c>
      <c r="DR12" s="22">
        <v>81</v>
      </c>
      <c r="DS12" s="22">
        <v>4.0554370668135826</v>
      </c>
      <c r="DT12" s="22">
        <v>4.7426220723194648E-2</v>
      </c>
      <c r="DU12" s="22">
        <v>8.0056129258678187E-3</v>
      </c>
      <c r="DV12" s="22">
        <v>5.0816751238217758E-6</v>
      </c>
      <c r="DW12" s="22">
        <v>1.5148939641044778E-7</v>
      </c>
      <c r="DX12" s="22">
        <v>2.5859399581095474E-21</v>
      </c>
      <c r="EF12" s="22">
        <v>10</v>
      </c>
      <c r="EG12" s="22">
        <v>49</v>
      </c>
      <c r="EH12" s="22">
        <v>6.214712677036064E-2</v>
      </c>
      <c r="EI12" s="22">
        <v>5.3226897986922345E-2</v>
      </c>
      <c r="EJ12" s="22">
        <v>8.9129145579841321E-3</v>
      </c>
      <c r="EK12" s="22">
        <v>7.0981508145670917E-6</v>
      </c>
      <c r="EL12" s="22">
        <v>2.1607463959892E-7</v>
      </c>
      <c r="EM12" s="22">
        <v>2.5539470369480045E-21</v>
      </c>
    </row>
    <row r="13" spans="1:149" x14ac:dyDescent="0.25">
      <c r="B13" s="24">
        <f>$B$11+($B$10-$B$11)*2/99</f>
        <v>24.733333333333334</v>
      </c>
      <c r="C13" s="22">
        <v>3413.1333815961193</v>
      </c>
      <c r="D13" s="22">
        <v>46.2</v>
      </c>
      <c r="E13" s="22">
        <v>6702.4290000000001</v>
      </c>
      <c r="P13" s="22">
        <f>IF('Data-Plot'!C13="","",$Q$11+('Data-Plot'!C13-'Data-Plot'!D13)*$P$9)</f>
        <v>7804.2396080057497</v>
      </c>
      <c r="Q13" s="22">
        <f>IF('Data-Plot'!C13="","",MAX('Data-Plot'!$C$11:$C$1010)*(1+$Q$9/100))</f>
        <v>7796.25</v>
      </c>
      <c r="R13" s="22">
        <f>IF('Data-Plot'!C13="","",('Data-Plot'!C13-'Data-Plot'!D13)*$P$9)</f>
        <v>7.9896080057493757</v>
      </c>
      <c r="S13" s="20">
        <v>1.0391994250624065E-2</v>
      </c>
      <c r="T13" s="20">
        <v>9.389429420052128E-3</v>
      </c>
      <c r="U13" s="20">
        <v>1.0018416337575818E-3</v>
      </c>
      <c r="V13" s="20">
        <v>7.1306869800410838E-7</v>
      </c>
      <c r="W13" s="20">
        <v>1.0128116350495522E-8</v>
      </c>
      <c r="X13" s="20">
        <v>8.3622035587196226E-22</v>
      </c>
      <c r="AE13" s="22">
        <v>15</v>
      </c>
      <c r="AF13" s="22">
        <v>8</v>
      </c>
      <c r="AG13" s="22">
        <v>1.0391994250624065E-2</v>
      </c>
      <c r="AH13" s="22">
        <v>9.389429420052128E-3</v>
      </c>
      <c r="AI13" s="22">
        <v>1.0018416337575818E-3</v>
      </c>
      <c r="AJ13" s="22">
        <v>7.1306869800410838E-7</v>
      </c>
      <c r="AK13" s="22">
        <v>1.0128116350495522E-8</v>
      </c>
      <c r="AL13" s="22">
        <v>8.3622035587196226E-22</v>
      </c>
      <c r="AT13" s="22">
        <v>15</v>
      </c>
      <c r="AU13" s="22">
        <v>71</v>
      </c>
      <c r="AV13" s="22">
        <v>1.9157755521834668E-2</v>
      </c>
      <c r="AW13" s="22">
        <v>1.7041335958478166E-2</v>
      </c>
      <c r="AX13" s="22">
        <v>2.1148541436297489E-3</v>
      </c>
      <c r="AY13" s="22">
        <v>1.5424980778271374E-6</v>
      </c>
      <c r="AZ13" s="22">
        <v>2.2921648924710221E-8</v>
      </c>
      <c r="BA13" s="22">
        <v>1.5109303229404159E-21</v>
      </c>
      <c r="BI13" s="22">
        <v>15</v>
      </c>
      <c r="BJ13" s="22">
        <v>0</v>
      </c>
      <c r="BK13" s="22">
        <v>2.8812885718803746E-2</v>
      </c>
      <c r="BL13" s="22">
        <v>2.5048904015107367E-2</v>
      </c>
      <c r="BM13" s="22">
        <v>3.7626593490312013E-3</v>
      </c>
      <c r="BN13" s="22">
        <v>1.2828641258393561E-6</v>
      </c>
      <c r="BO13" s="22">
        <v>3.9490539337820689E-8</v>
      </c>
      <c r="BP13" s="22">
        <v>2.9707269267673431E-21</v>
      </c>
      <c r="BX13" s="22">
        <v>15</v>
      </c>
      <c r="BY13" s="22">
        <v>18</v>
      </c>
      <c r="BZ13" s="22">
        <v>4.0373752500898426E-2</v>
      </c>
      <c r="CA13" s="22">
        <v>3.5140676214472644E-2</v>
      </c>
      <c r="CB13" s="22">
        <v>5.2313225348714068E-3</v>
      </c>
      <c r="CC13" s="22">
        <v>1.6985886668462678E-6</v>
      </c>
      <c r="CD13" s="22">
        <v>5.5162887530945023E-8</v>
      </c>
      <c r="CE13" s="22">
        <v>3.9746341079975197E-21</v>
      </c>
      <c r="CM13" s="22">
        <v>15</v>
      </c>
      <c r="CN13" s="22">
        <v>36</v>
      </c>
      <c r="CO13" s="22">
        <v>6.7382581644828937E-2</v>
      </c>
      <c r="CP13" s="22">
        <v>5.8071874234493254E-2</v>
      </c>
      <c r="CQ13" s="22">
        <v>9.3062711311499655E-3</v>
      </c>
      <c r="CR13" s="22">
        <v>4.3029924173032387E-6</v>
      </c>
      <c r="CS13" s="22">
        <v>1.3328676841583873E-7</v>
      </c>
      <c r="CT13" s="22">
        <v>7.7471163894188772E-21</v>
      </c>
      <c r="DB13" s="22">
        <v>15</v>
      </c>
      <c r="DC13" s="22">
        <v>0</v>
      </c>
      <c r="DD13" s="22">
        <v>9.1896911098709608E-2</v>
      </c>
      <c r="DE13" s="22">
        <v>7.8883653606744764E-2</v>
      </c>
      <c r="DF13" s="22">
        <v>1.3003246046903257E-2</v>
      </c>
      <c r="DG13" s="22">
        <v>9.7799128090374062E-6</v>
      </c>
      <c r="DH13" s="22">
        <v>2.3153225254844618E-7</v>
      </c>
      <c r="DI13" s="22">
        <v>1.1946236909766709E-20</v>
      </c>
      <c r="DQ13" s="22">
        <v>15</v>
      </c>
      <c r="DR13" s="22">
        <v>27</v>
      </c>
      <c r="DS13" s="22">
        <v>4.1136352874475923</v>
      </c>
      <c r="DT13" s="22">
        <v>9.7202628409515518E-2</v>
      </c>
      <c r="DU13" s="22">
        <v>1.6420787323634244E-2</v>
      </c>
      <c r="DV13" s="22">
        <v>1.1492414369913242E-5</v>
      </c>
      <c r="DW13" s="22">
        <v>3.793000726287342E-7</v>
      </c>
      <c r="DX13" s="22">
        <v>1.4771423570572032E-20</v>
      </c>
      <c r="EF13" s="22">
        <v>15</v>
      </c>
      <c r="EG13" s="22">
        <v>62</v>
      </c>
      <c r="EH13" s="22">
        <v>0.12738983722579661</v>
      </c>
      <c r="EI13" s="22">
        <v>0.10909143596870921</v>
      </c>
      <c r="EJ13" s="22">
        <v>1.8281807492171166E-2</v>
      </c>
      <c r="EK13" s="22">
        <v>1.6052755918663471E-5</v>
      </c>
      <c r="EL13" s="22">
        <v>5.4100899756070512E-7</v>
      </c>
      <c r="EM13" s="22">
        <v>1.4588673391761794E-20</v>
      </c>
    </row>
    <row r="14" spans="1:149" x14ac:dyDescent="0.25">
      <c r="A14" s="22" t="str">
        <f>0&amp;"."&amp;5</f>
        <v>0.5</v>
      </c>
      <c r="B14" s="24">
        <f>$B$11+($B$10-$B$11)*3/99</f>
        <v>27.2</v>
      </c>
      <c r="C14" s="22">
        <v>3778.6609125516138</v>
      </c>
      <c r="D14" s="22">
        <v>59.4</v>
      </c>
      <c r="E14" s="22">
        <v>8873.2630000000008</v>
      </c>
      <c r="P14" s="22">
        <f>IF('Data-Plot'!C14="","",$Q$11+('Data-Plot'!C14-'Data-Plot'!D14)*$P$9)</f>
        <v>7796.2292144484427</v>
      </c>
      <c r="Q14" s="22">
        <f>IF('Data-Plot'!C14="","",MAX('Data-Plot'!$C$11:$C$1010)*(1+$Q$9/100))</f>
        <v>7796.25</v>
      </c>
      <c r="R14" s="22">
        <f>IF('Data-Plot'!C14="","",('Data-Plot'!C14-'Data-Plot'!D14)*$P$9)</f>
        <v>-2.0785551557024756E-2</v>
      </c>
      <c r="S14" s="20">
        <v>2.078555155702469E-2</v>
      </c>
      <c r="T14" s="20">
        <v>1.877876891365593E-2</v>
      </c>
      <c r="U14" s="20">
        <v>2.0051897044776586E-3</v>
      </c>
      <c r="V14" s="20">
        <v>1.5683617018164082E-6</v>
      </c>
      <c r="W14" s="20">
        <v>2.4577189288844439E-8</v>
      </c>
      <c r="X14" s="20">
        <v>4.5009934546020578E-21</v>
      </c>
      <c r="AE14" s="22">
        <v>20</v>
      </c>
      <c r="AF14" s="22">
        <v>0</v>
      </c>
      <c r="AG14" s="22">
        <v>2.078555155702469E-2</v>
      </c>
      <c r="AH14" s="22">
        <v>1.877876891365593E-2</v>
      </c>
      <c r="AI14" s="22">
        <v>2.0051897044776586E-3</v>
      </c>
      <c r="AJ14" s="22">
        <v>1.5683617018164082E-6</v>
      </c>
      <c r="AK14" s="22">
        <v>2.4577189288844439E-8</v>
      </c>
      <c r="AL14" s="22">
        <v>4.5009934546020578E-21</v>
      </c>
      <c r="AT14" s="22">
        <v>20</v>
      </c>
      <c r="AU14" s="22">
        <v>84</v>
      </c>
      <c r="AV14" s="22">
        <v>3.8318843929936834E-2</v>
      </c>
      <c r="AW14" s="22">
        <v>3.4082507328099351E-2</v>
      </c>
      <c r="AX14" s="22">
        <v>4.2328883261258448E-3</v>
      </c>
      <c r="AY14" s="22">
        <v>3.3926533545379004E-6</v>
      </c>
      <c r="AZ14" s="22">
        <v>5.5622357103690324E-8</v>
      </c>
      <c r="BA14" s="22">
        <v>8.1326500200097004E-21</v>
      </c>
      <c r="BI14" s="22">
        <v>20</v>
      </c>
      <c r="BJ14" s="22">
        <v>0</v>
      </c>
      <c r="BK14" s="22">
        <v>5.7631464100569414E-2</v>
      </c>
      <c r="BL14" s="22">
        <v>5.009757019925077E-2</v>
      </c>
      <c r="BM14" s="22">
        <v>7.5309764719413219E-3</v>
      </c>
      <c r="BN14" s="22">
        <v>2.8216004564429726E-6</v>
      </c>
      <c r="BO14" s="22">
        <v>9.5828920880891506E-8</v>
      </c>
      <c r="BP14" s="22">
        <v>1.5990070510597953E-20</v>
      </c>
      <c r="BX14" s="22">
        <v>20</v>
      </c>
      <c r="BY14" s="22">
        <v>4</v>
      </c>
      <c r="BZ14" s="22">
        <v>8.0755395203413405E-2</v>
      </c>
      <c r="CA14" s="22">
        <v>7.028101416071475E-2</v>
      </c>
      <c r="CB14" s="22">
        <v>1.0470511215386226E-2</v>
      </c>
      <c r="CC14" s="22">
        <v>3.7359674038700205E-6</v>
      </c>
      <c r="CD14" s="22">
        <v>1.3385990856047386E-7</v>
      </c>
      <c r="CE14" s="22">
        <v>2.1393645800311174E-20</v>
      </c>
      <c r="CM14" s="22">
        <v>20</v>
      </c>
      <c r="CN14" s="22">
        <v>0</v>
      </c>
      <c r="CO14" s="22">
        <v>0.13477950822992693</v>
      </c>
      <c r="CP14" s="22">
        <v>0.11614318481830115</v>
      </c>
      <c r="CQ14" s="22">
        <v>1.8626535740685252E-2</v>
      </c>
      <c r="CR14" s="22">
        <v>9.4642332919635005E-6</v>
      </c>
      <c r="CS14" s="22">
        <v>3.2343764859036109E-7</v>
      </c>
      <c r="CT14" s="22">
        <v>4.1699200355454828E-20</v>
      </c>
      <c r="DB14" s="22">
        <v>20</v>
      </c>
      <c r="DC14" s="22">
        <v>69</v>
      </c>
      <c r="DD14" s="22">
        <v>0.18381466131602595</v>
      </c>
      <c r="DE14" s="22">
        <v>0.15776654445606128</v>
      </c>
      <c r="DF14" s="22">
        <v>2.6026044549892498E-2</v>
      </c>
      <c r="DG14" s="22">
        <v>2.1510467000836736E-5</v>
      </c>
      <c r="DH14" s="22">
        <v>5.6184307135016694E-7</v>
      </c>
      <c r="DI14" s="22">
        <v>6.4301154307488322E-20</v>
      </c>
      <c r="DQ14" s="22">
        <v>20</v>
      </c>
      <c r="DR14" s="22">
        <v>71</v>
      </c>
      <c r="DS14" s="22">
        <v>4.2272967872994807</v>
      </c>
      <c r="DT14" s="22">
        <v>0.19440432397614124</v>
      </c>
      <c r="DU14" s="22">
        <v>3.2866265867293944E-2</v>
      </c>
      <c r="DV14" s="22">
        <v>2.5277035173912704E-5</v>
      </c>
      <c r="DW14" s="22">
        <v>9.2042087192345503E-7</v>
      </c>
      <c r="DX14" s="22">
        <v>7.9507847829142374E-20</v>
      </c>
      <c r="EF14" s="22">
        <v>20</v>
      </c>
      <c r="EG14" s="22">
        <v>21</v>
      </c>
      <c r="EH14" s="22">
        <v>0.25480956114522579</v>
      </c>
      <c r="EI14" s="22">
        <v>0.21818183649315456</v>
      </c>
      <c r="EJ14" s="22">
        <v>3.6591104527491196E-2</v>
      </c>
      <c r="EK14" s="22">
        <v>3.5307296006587981E-5</v>
      </c>
      <c r="EL14" s="22">
        <v>1.312828573435561E-6</v>
      </c>
      <c r="EM14" s="22">
        <v>7.8524186820562243E-20</v>
      </c>
    </row>
    <row r="15" spans="1:149" x14ac:dyDescent="0.25">
      <c r="A15" s="22">
        <f>1/2</f>
        <v>0.5</v>
      </c>
      <c r="B15" s="24">
        <f>$B$11+($B$10-$B$11)*4/99</f>
        <v>29.666666666666664</v>
      </c>
      <c r="C15" s="22">
        <v>4143.0902404067301</v>
      </c>
      <c r="D15" s="22">
        <v>105.6</v>
      </c>
      <c r="E15" s="22">
        <v>14889.1</v>
      </c>
      <c r="P15" s="22">
        <f>IF('Data-Plot'!C15="","",$Q$11+('Data-Plot'!C15-'Data-Plot'!D15)*$P$9)</f>
        <v>7811.2093812523717</v>
      </c>
      <c r="Q15" s="22">
        <f>IF('Data-Plot'!C15="","",MAX('Data-Plot'!$C$11:$C$1010)*(1+$Q$9/100))</f>
        <v>7796.25</v>
      </c>
      <c r="R15" s="22">
        <f>IF('Data-Plot'!C15="","",('Data-Plot'!C15-'Data-Plot'!D15)*$P$9)</f>
        <v>14.959381252371999</v>
      </c>
      <c r="S15" s="20">
        <v>4.0618747627999809E-2</v>
      </c>
      <c r="T15" s="20">
        <v>3.6694262821091769E-2</v>
      </c>
      <c r="U15" s="20">
        <v>3.9210673745775056E-3</v>
      </c>
      <c r="V15" s="20">
        <v>3.3595397824384635E-6</v>
      </c>
      <c r="W15" s="20">
        <v>5.7892548094741663E-8</v>
      </c>
      <c r="X15" s="20">
        <v>2.2896999872968822E-20</v>
      </c>
      <c r="AE15" s="22">
        <v>25</v>
      </c>
      <c r="AF15" s="22">
        <v>15</v>
      </c>
      <c r="AG15" s="22">
        <v>4.0618747627999809E-2</v>
      </c>
      <c r="AH15" s="22">
        <v>3.6694262821091769E-2</v>
      </c>
      <c r="AI15" s="22">
        <v>3.9210673745775056E-3</v>
      </c>
      <c r="AJ15" s="22">
        <v>3.3595397824384635E-6</v>
      </c>
      <c r="AK15" s="22">
        <v>5.7892548094741663E-8</v>
      </c>
      <c r="AL15" s="22">
        <v>2.2896999872968822E-20</v>
      </c>
      <c r="AT15" s="22">
        <v>25</v>
      </c>
      <c r="AU15" s="22">
        <v>47</v>
      </c>
      <c r="AV15" s="22">
        <v>7.4882849522177677E-2</v>
      </c>
      <c r="AW15" s="22">
        <v>6.6598209260668326E-2</v>
      </c>
      <c r="AX15" s="22">
        <v>8.2772419415232945E-3</v>
      </c>
      <c r="AY15" s="22">
        <v>7.2672993088747024E-6</v>
      </c>
      <c r="AZ15" s="22">
        <v>1.3102067717845651E-7</v>
      </c>
      <c r="BA15" s="22">
        <v>4.1371596815957636E-20</v>
      </c>
      <c r="BI15" s="22">
        <v>25</v>
      </c>
      <c r="BJ15" s="22">
        <v>0</v>
      </c>
      <c r="BK15" s="22">
        <v>0.11262491273707355</v>
      </c>
      <c r="BL15" s="22">
        <v>9.7892123076221554E-2</v>
      </c>
      <c r="BM15" s="22">
        <v>1.4726519867703913E-2</v>
      </c>
      <c r="BN15" s="22">
        <v>6.044064308795369E-6</v>
      </c>
      <c r="BO15" s="22">
        <v>2.2572883928111657E-7</v>
      </c>
      <c r="BP15" s="22">
        <v>8.1343073733105685E-20</v>
      </c>
      <c r="BX15" s="22">
        <v>25</v>
      </c>
      <c r="BY15" s="22">
        <v>0</v>
      </c>
      <c r="BZ15" s="22">
        <v>0.15781412652011789</v>
      </c>
      <c r="CA15" s="22">
        <v>0.13733114736359617</v>
      </c>
      <c r="CB15" s="22">
        <v>2.0474661142307917E-2</v>
      </c>
      <c r="CC15" s="22">
        <v>8.0027018685369249E-6</v>
      </c>
      <c r="CD15" s="22">
        <v>3.153123452489763E-7</v>
      </c>
      <c r="CE15" s="22">
        <v>1.0883159687140005E-19</v>
      </c>
      <c r="CM15" s="22">
        <v>25</v>
      </c>
      <c r="CN15" s="22">
        <v>12</v>
      </c>
      <c r="CO15" s="22">
        <v>0.26339161788011051</v>
      </c>
      <c r="CP15" s="22">
        <v>0.22694714584252421</v>
      </c>
      <c r="CQ15" s="22">
        <v>3.6423437121748885E-2</v>
      </c>
      <c r="CR15" s="22">
        <v>2.0273045576130764E-5</v>
      </c>
      <c r="CS15" s="22">
        <v>7.6187026134671004E-7</v>
      </c>
      <c r="CT15" s="22">
        <v>2.1212796571955138E-19</v>
      </c>
      <c r="DB15" s="22">
        <v>25</v>
      </c>
      <c r="DC15" s="22">
        <v>31</v>
      </c>
      <c r="DD15" s="22">
        <v>0.3592206844040991</v>
      </c>
      <c r="DE15" s="22">
        <v>0.30828040686367331</v>
      </c>
      <c r="DF15" s="22">
        <v>5.0892877181178242E-2</v>
      </c>
      <c r="DG15" s="22">
        <v>4.6076915518998351E-5</v>
      </c>
      <c r="DH15" s="22">
        <v>1.3234437285544632E-6</v>
      </c>
      <c r="DI15" s="22">
        <v>3.2710634593457045E-19</v>
      </c>
      <c r="DQ15" s="22">
        <v>25</v>
      </c>
      <c r="DR15" s="22">
        <v>22</v>
      </c>
      <c r="DS15" s="22">
        <v>4.4441966848747265</v>
      </c>
      <c r="DT15" s="22">
        <v>0.3798717185999898</v>
      </c>
      <c r="DU15" s="22">
        <v>6.4268653020353436E-2</v>
      </c>
      <c r="DV15" s="22">
        <v>5.4145166365482633E-5</v>
      </c>
      <c r="DW15" s="22">
        <v>2.1680880172644611E-6</v>
      </c>
      <c r="DX15" s="22">
        <v>4.0446430327120995E-19</v>
      </c>
      <c r="EF15" s="22">
        <v>25</v>
      </c>
      <c r="EG15" s="22">
        <v>0</v>
      </c>
      <c r="EH15" s="22">
        <v>0.49796486318929534</v>
      </c>
      <c r="EI15" s="22">
        <v>0.42633371583115426</v>
      </c>
      <c r="EJ15" s="22">
        <v>7.1552424255879502E-2</v>
      </c>
      <c r="EK15" s="22">
        <v>7.5630682276770799E-5</v>
      </c>
      <c r="EL15" s="22">
        <v>3.0924199848259451E-6</v>
      </c>
      <c r="EM15" s="22">
        <v>3.9946032221332256E-19</v>
      </c>
    </row>
    <row r="16" spans="1:149" x14ac:dyDescent="0.25">
      <c r="A16" s="22">
        <f>IFERROR(VALUE(A14)+VALUE(A15),0)</f>
        <v>1</v>
      </c>
      <c r="B16" s="24">
        <f>$B$11+($B$10-$B$11)*5/99</f>
        <v>32.133333333333333</v>
      </c>
      <c r="C16" s="22">
        <v>4506.4246646394558</v>
      </c>
      <c r="D16" s="22">
        <v>158.4</v>
      </c>
      <c r="E16" s="22">
        <v>21570.281999999999</v>
      </c>
      <c r="P16" s="22">
        <f>IF('Data-Plot'!C16="","",$Q$11+('Data-Plot'!C16-'Data-Plot'!D16)*$P$9)</f>
        <v>7796.172358628688</v>
      </c>
      <c r="Q16" s="22">
        <f>IF('Data-Plot'!C16="","",MAX('Data-Plot'!$C$11:$C$1010)*(1+$Q$9/100))</f>
        <v>7796.25</v>
      </c>
      <c r="R16" s="22">
        <f>IF('Data-Plot'!C16="","",('Data-Plot'!C16-'Data-Plot'!D16)*$P$9)</f>
        <v>-7.7641371311637231E-2</v>
      </c>
      <c r="S16" s="20">
        <v>7.7641371311636995E-2</v>
      </c>
      <c r="T16" s="20">
        <v>7.0134489549746132E-2</v>
      </c>
      <c r="U16" s="20">
        <v>7.4997314073205435E-3</v>
      </c>
      <c r="V16" s="20">
        <v>7.0177864863694557E-6</v>
      </c>
      <c r="W16" s="20">
        <v>1.3256808393972086E-7</v>
      </c>
      <c r="X16" s="20">
        <v>1.1039374603178842E-19</v>
      </c>
      <c r="AE16" s="22">
        <v>30</v>
      </c>
      <c r="AF16" s="22">
        <v>0</v>
      </c>
      <c r="AG16" s="22">
        <v>7.7641371311636995E-2</v>
      </c>
      <c r="AH16" s="22">
        <v>7.0134489549746132E-2</v>
      </c>
      <c r="AI16" s="22">
        <v>7.4997314073205435E-3</v>
      </c>
      <c r="AJ16" s="22">
        <v>7.0177864863694557E-6</v>
      </c>
      <c r="AK16" s="22">
        <v>1.3256808393972086E-7</v>
      </c>
      <c r="AL16" s="22">
        <v>1.1039374603178842E-19</v>
      </c>
      <c r="AT16" s="22">
        <v>30</v>
      </c>
      <c r="AU16" s="22">
        <v>59</v>
      </c>
      <c r="AV16" s="22">
        <v>0.14313765262995751</v>
      </c>
      <c r="AW16" s="22">
        <v>0.12729048994408301</v>
      </c>
      <c r="AX16" s="22">
        <v>1.5831681905419528E-2</v>
      </c>
      <c r="AY16" s="22">
        <v>1.5180756346494604E-5</v>
      </c>
      <c r="AZ16" s="22">
        <v>3.000241084845392E-7</v>
      </c>
      <c r="BA16" s="22">
        <v>1.9946567572907955E-19</v>
      </c>
      <c r="BI16" s="22">
        <v>30</v>
      </c>
      <c r="BJ16" s="22">
        <v>6</v>
      </c>
      <c r="BK16" s="22">
        <v>0.21528343497736094</v>
      </c>
      <c r="BL16" s="22">
        <v>0.18710323186973585</v>
      </c>
      <c r="BM16" s="22">
        <v>2.8167060686596079E-2</v>
      </c>
      <c r="BN16" s="22">
        <v>1.2625524801477923E-5</v>
      </c>
      <c r="BO16" s="22">
        <v>5.1689622754987606E-7</v>
      </c>
      <c r="BP16" s="22">
        <v>3.9218092645135946E-19</v>
      </c>
      <c r="BX16" s="22">
        <v>30</v>
      </c>
      <c r="BY16" s="22">
        <v>0</v>
      </c>
      <c r="BZ16" s="22">
        <v>0.30166261721378673</v>
      </c>
      <c r="CA16" s="22">
        <v>0.26248378590325722</v>
      </c>
      <c r="CB16" s="22">
        <v>3.9161392328769119E-2</v>
      </c>
      <c r="CC16" s="22">
        <v>1.6716948358345383E-5</v>
      </c>
      <c r="CD16" s="22">
        <v>7.2203340201527652E-7</v>
      </c>
      <c r="CE16" s="22">
        <v>5.2471187194436699E-19</v>
      </c>
      <c r="CM16" s="22">
        <v>30</v>
      </c>
      <c r="CN16" s="22">
        <v>4</v>
      </c>
      <c r="CO16" s="22">
        <v>0.50347890722713018</v>
      </c>
      <c r="CP16" s="22">
        <v>0.43376858135380364</v>
      </c>
      <c r="CQ16" s="22">
        <v>6.966623263798892E-2</v>
      </c>
      <c r="CR16" s="22">
        <v>4.2348629441317727E-5</v>
      </c>
      <c r="CS16" s="22">
        <v>1.744605896289108E-6</v>
      </c>
      <c r="CT16" s="22">
        <v>1.022736642521008E-18</v>
      </c>
      <c r="DB16" s="22">
        <v>30</v>
      </c>
      <c r="DC16" s="22">
        <v>45</v>
      </c>
      <c r="DD16" s="22">
        <v>0.68666336132887995</v>
      </c>
      <c r="DE16" s="22">
        <v>0.58922249756590872</v>
      </c>
      <c r="DF16" s="22">
        <v>9.7341582540532809E-2</v>
      </c>
      <c r="DG16" s="22">
        <v>9.6250670060418834E-5</v>
      </c>
      <c r="DH16" s="22">
        <v>3.0305523779872074E-6</v>
      </c>
      <c r="DI16" s="22">
        <v>1.5770841192656862E-18</v>
      </c>
      <c r="DQ16" s="22">
        <v>30</v>
      </c>
      <c r="DR16" s="22">
        <v>4</v>
      </c>
      <c r="DS16" s="22">
        <v>4.849099677383192</v>
      </c>
      <c r="DT16" s="22">
        <v>0.72605650153208201</v>
      </c>
      <c r="DU16" s="22">
        <v>0.12292510660413072</v>
      </c>
      <c r="DV16" s="22">
        <v>1.131045445483749E-4</v>
      </c>
      <c r="DW16" s="22">
        <v>4.9647024309665601E-6</v>
      </c>
      <c r="DX16" s="22">
        <v>1.9500515273600712E-18</v>
      </c>
      <c r="EF16" s="22">
        <v>30</v>
      </c>
      <c r="EG16" s="22">
        <v>28</v>
      </c>
      <c r="EH16" s="22">
        <v>0.95188208811761621</v>
      </c>
      <c r="EI16" s="22">
        <v>0.81486042040398499</v>
      </c>
      <c r="EJ16" s="22">
        <v>0.13685660046533138</v>
      </c>
      <c r="EK16" s="22">
        <v>1.5798591908528336E-4</v>
      </c>
      <c r="EL16" s="22">
        <v>7.0813292144815761E-6</v>
      </c>
      <c r="EM16" s="22">
        <v>1.9259257372077796E-18</v>
      </c>
    </row>
    <row r="17" spans="1:143" x14ac:dyDescent="0.25">
      <c r="A17" s="22">
        <f>VALUE(A14)</f>
        <v>0.5</v>
      </c>
      <c r="B17" s="24">
        <f>$B$11+($B$10-$B$11)*6/99</f>
        <v>34.6</v>
      </c>
      <c r="C17" s="22">
        <v>4868.6674748147616</v>
      </c>
      <c r="D17" s="22">
        <v>211.2</v>
      </c>
      <c r="E17" s="22">
        <v>27936.245999999999</v>
      </c>
      <c r="P17" s="22">
        <f>IF('Data-Plot'!C17="","",$Q$11+('Data-Plot'!C17-'Data-Plot'!D17)*$P$9)</f>
        <v>7855.1046790286609</v>
      </c>
      <c r="Q17" s="22">
        <f>IF('Data-Plot'!C17="","",MAX('Data-Plot'!$C$11:$C$1010)*(1+$Q$9/100))</f>
        <v>7796.25</v>
      </c>
      <c r="R17" s="22">
        <f>IF('Data-Plot'!C17="","",('Data-Plot'!C17-'Data-Plot'!D17)*$P$9)</f>
        <v>58.854679028661096</v>
      </c>
      <c r="S17" s="20">
        <v>0.14532097133890678</v>
      </c>
      <c r="T17" s="20">
        <v>0.13126053494010831</v>
      </c>
      <c r="U17" s="20">
        <v>1.4045827624933768E-2</v>
      </c>
      <c r="V17" s="20">
        <v>1.4313259475573714E-5</v>
      </c>
      <c r="W17" s="20">
        <v>2.9551438911299135E-7</v>
      </c>
      <c r="X17" s="20">
        <v>5.057553039141678E-19</v>
      </c>
      <c r="AE17" s="22">
        <v>35</v>
      </c>
      <c r="AF17" s="22">
        <v>59</v>
      </c>
      <c r="AG17" s="22">
        <v>0.14532097133890678</v>
      </c>
      <c r="AH17" s="22">
        <v>0.13126053494010831</v>
      </c>
      <c r="AI17" s="22">
        <v>1.4045827624933768E-2</v>
      </c>
      <c r="AJ17" s="22">
        <v>1.4313259475573714E-5</v>
      </c>
      <c r="AK17" s="22">
        <v>2.9551438911299135E-7</v>
      </c>
      <c r="AL17" s="22">
        <v>5.057553039141678E-19</v>
      </c>
      <c r="AT17" s="22">
        <v>35</v>
      </c>
      <c r="AU17" s="22">
        <v>69</v>
      </c>
      <c r="AV17" s="22">
        <v>0.26791295089507206</v>
      </c>
      <c r="AW17" s="22">
        <v>0.23823104799832487</v>
      </c>
      <c r="AX17" s="22">
        <v>2.9650271898050442E-2</v>
      </c>
      <c r="AY17" s="22">
        <v>3.096219940130129E-5</v>
      </c>
      <c r="AZ17" s="22">
        <v>6.6879929544868981E-7</v>
      </c>
      <c r="BA17" s="22">
        <v>9.1382734144882032E-19</v>
      </c>
      <c r="BI17" s="22">
        <v>35</v>
      </c>
      <c r="BJ17" s="22">
        <v>5</v>
      </c>
      <c r="BK17" s="22">
        <v>0.40295345609011574</v>
      </c>
      <c r="BL17" s="22">
        <v>0.35017404094014359</v>
      </c>
      <c r="BM17" s="22">
        <v>5.2752512281301386E-2</v>
      </c>
      <c r="BN17" s="22">
        <v>2.5750628490597075E-5</v>
      </c>
      <c r="BO17" s="22">
        <v>1.152240180136536E-6</v>
      </c>
      <c r="BP17" s="22">
        <v>1.7967284450120086E-18</v>
      </c>
      <c r="BX17" s="22">
        <v>35</v>
      </c>
      <c r="BY17" s="22">
        <v>31</v>
      </c>
      <c r="BZ17" s="22">
        <v>0.56463156801197245</v>
      </c>
      <c r="CA17" s="22">
        <v>0.49125268231685532</v>
      </c>
      <c r="CB17" s="22">
        <v>7.3343180804042618E-2</v>
      </c>
      <c r="CC17" s="22">
        <v>3.4095368983178895E-5</v>
      </c>
      <c r="CD17" s="22">
        <v>1.6095220913997674E-6</v>
      </c>
      <c r="CE17" s="22">
        <v>2.4039025923278207E-18</v>
      </c>
      <c r="CM17" s="22">
        <v>35</v>
      </c>
      <c r="CN17" s="22">
        <v>35</v>
      </c>
      <c r="CO17" s="22">
        <v>0.94238551070519005</v>
      </c>
      <c r="CP17" s="22">
        <v>0.81182125996466548</v>
      </c>
      <c r="CQ17" s="22">
        <v>0.13047398879894939</v>
      </c>
      <c r="CR17" s="22">
        <v>8.6372950119837277E-5</v>
      </c>
      <c r="CS17" s="22">
        <v>3.8889914552741104E-6</v>
      </c>
      <c r="CT17" s="22">
        <v>4.6855415279903819E-18</v>
      </c>
      <c r="DB17" s="22">
        <v>35</v>
      </c>
      <c r="DC17" s="22">
        <v>30</v>
      </c>
      <c r="DD17" s="22">
        <v>1.2852704488901678</v>
      </c>
      <c r="DE17" s="22">
        <v>1.1027617814493798</v>
      </c>
      <c r="DF17" s="22">
        <v>0.18230560200034573</v>
      </c>
      <c r="DG17" s="22">
        <v>1.9630987901269966E-4</v>
      </c>
      <c r="DH17" s="22">
        <v>6.7555614295533343E-6</v>
      </c>
      <c r="DI17" s="22">
        <v>7.2252159810551315E-18</v>
      </c>
      <c r="DQ17" s="22">
        <v>35</v>
      </c>
      <c r="DR17" s="22">
        <v>44</v>
      </c>
      <c r="DS17" s="22">
        <v>5.5893156783128637</v>
      </c>
      <c r="DT17" s="22">
        <v>1.358854377111826</v>
      </c>
      <c r="DU17" s="22">
        <v>0.23021954960710708</v>
      </c>
      <c r="DV17" s="22">
        <v>2.3068451833956294E-4</v>
      </c>
      <c r="DW17" s="22">
        <v>1.1067075591701182E-5</v>
      </c>
      <c r="DX17" s="22">
        <v>8.9339200663077844E-18</v>
      </c>
      <c r="EF17" s="22">
        <v>35</v>
      </c>
      <c r="EG17" s="22">
        <v>28</v>
      </c>
      <c r="EH17" s="22">
        <v>1.7817054094123594</v>
      </c>
      <c r="EI17" s="22">
        <v>1.5250563370224284</v>
      </c>
      <c r="EJ17" s="22">
        <v>0.25631106385513225</v>
      </c>
      <c r="EK17" s="22">
        <v>3.2222317670412644E-4</v>
      </c>
      <c r="EL17" s="22">
        <v>1.5785358094661561E-5</v>
      </c>
      <c r="EM17" s="22">
        <v>8.8233907404243424E-18</v>
      </c>
    </row>
    <row r="18" spans="1:143" x14ac:dyDescent="0.25">
      <c r="B18" s="24">
        <f>$B$11+($B$10-$B$11)*7/99</f>
        <v>37.066666666666663</v>
      </c>
      <c r="C18" s="22">
        <v>5229.8219506142896</v>
      </c>
      <c r="D18" s="22">
        <v>264</v>
      </c>
      <c r="E18" s="22">
        <v>34387.415000000001</v>
      </c>
      <c r="P18" s="22">
        <f>IF('Data-Plot'!C18="","",$Q$11+('Data-Plot'!C18-'Data-Plot'!D18)*$P$9)</f>
        <v>7842.9833949661888</v>
      </c>
      <c r="Q18" s="22">
        <f>IF('Data-Plot'!C18="","",MAX('Data-Plot'!$C$11:$C$1010)*(1+$Q$9/100))</f>
        <v>7796.25</v>
      </c>
      <c r="R18" s="22">
        <f>IF('Data-Plot'!C18="","",('Data-Plot'!C18-'Data-Plot'!D18)*$P$9)</f>
        <v>46.733394966188506</v>
      </c>
      <c r="S18" s="20">
        <v>0.26660503381149564</v>
      </c>
      <c r="T18" s="20">
        <v>0.24079205414468163</v>
      </c>
      <c r="U18" s="20">
        <v>2.5783801623759695E-2</v>
      </c>
      <c r="V18" s="20">
        <v>2.8535945611256009E-5</v>
      </c>
      <c r="W18" s="20">
        <v>6.4209744302866656E-7</v>
      </c>
      <c r="X18" s="20">
        <v>2.2071327481516452E-18</v>
      </c>
      <c r="AE18" s="22">
        <v>40</v>
      </c>
      <c r="AF18" s="22">
        <v>47</v>
      </c>
      <c r="AG18" s="22">
        <v>0.26660503381149564</v>
      </c>
      <c r="AH18" s="22">
        <v>0.24079205414468163</v>
      </c>
      <c r="AI18" s="22">
        <v>2.5783801623759695E-2</v>
      </c>
      <c r="AJ18" s="22">
        <v>2.8535945611256009E-5</v>
      </c>
      <c r="AK18" s="22">
        <v>6.4209744302866656E-7</v>
      </c>
      <c r="AL18" s="22">
        <v>2.2071327481516452E-18</v>
      </c>
      <c r="AT18" s="22">
        <v>40</v>
      </c>
      <c r="AU18" s="22">
        <v>57</v>
      </c>
      <c r="AV18" s="22">
        <v>0.49151675067491257</v>
      </c>
      <c r="AW18" s="22">
        <v>0.43702482682382388</v>
      </c>
      <c r="AX18" s="22">
        <v>5.4428742203377414E-2</v>
      </c>
      <c r="AY18" s="22">
        <v>6.1728472051042206E-5</v>
      </c>
      <c r="AZ18" s="22">
        <v>1.4531756602268434E-6</v>
      </c>
      <c r="BA18" s="22">
        <v>3.9879725152825224E-18</v>
      </c>
      <c r="BI18" s="22">
        <v>40</v>
      </c>
      <c r="BJ18" s="22">
        <v>0</v>
      </c>
      <c r="BK18" s="22">
        <v>0.73927139318471435</v>
      </c>
      <c r="BL18" s="22">
        <v>0.64238023343401351</v>
      </c>
      <c r="BM18" s="22">
        <v>9.6837317839684051E-2</v>
      </c>
      <c r="BN18" s="22">
        <v>5.1338308821066276E-5</v>
      </c>
      <c r="BO18" s="22">
        <v>2.5036021956144335E-6</v>
      </c>
      <c r="BP18" s="22">
        <v>7.8409819132507254E-18</v>
      </c>
      <c r="BX18" s="22">
        <v>40</v>
      </c>
      <c r="BY18" s="22">
        <v>0</v>
      </c>
      <c r="BZ18" s="22">
        <v>1.0358894506127132</v>
      </c>
      <c r="CA18" s="22">
        <v>0.90118255405408465</v>
      </c>
      <c r="CB18" s="22">
        <v>0.13463542438355958</v>
      </c>
      <c r="CC18" s="22">
        <v>6.7974984890046902E-5</v>
      </c>
      <c r="CD18" s="22">
        <v>3.4971901790835088E-6</v>
      </c>
      <c r="CE18" s="22">
        <v>1.0490709823171339E-17</v>
      </c>
      <c r="CM18" s="22">
        <v>40</v>
      </c>
      <c r="CN18" s="22">
        <v>0</v>
      </c>
      <c r="CO18" s="22">
        <v>1.7289420318449371</v>
      </c>
      <c r="CP18" s="22">
        <v>1.4892514449942487</v>
      </c>
      <c r="CQ18" s="22">
        <v>0.23950993746199806</v>
      </c>
      <c r="CR18" s="22">
        <v>1.7219933833295862E-4</v>
      </c>
      <c r="CS18" s="22">
        <v>8.4500503575299157E-6</v>
      </c>
      <c r="CT18" s="22">
        <v>2.0447857035241595E-17</v>
      </c>
      <c r="DB18" s="22">
        <v>40</v>
      </c>
      <c r="DC18" s="22">
        <v>29</v>
      </c>
      <c r="DD18" s="22">
        <v>2.3580327258301228</v>
      </c>
      <c r="DE18" s="22">
        <v>2.0229699056496067</v>
      </c>
      <c r="DF18" s="22">
        <v>0.33465676408744699</v>
      </c>
      <c r="DG18" s="22">
        <v>3.9137752282051425E-4</v>
      </c>
      <c r="DH18" s="22">
        <v>1.4678570248741596E-5</v>
      </c>
      <c r="DI18" s="22">
        <v>3.1531079715501882E-17</v>
      </c>
      <c r="DQ18" s="22">
        <v>40</v>
      </c>
      <c r="DR18" s="22">
        <v>34</v>
      </c>
      <c r="DS18" s="22">
        <v>6.9158580739209059</v>
      </c>
      <c r="DT18" s="22">
        <v>2.4927621579425168</v>
      </c>
      <c r="DU18" s="22">
        <v>0.42261196001360862</v>
      </c>
      <c r="DV18" s="22">
        <v>4.5990928143533895E-4</v>
      </c>
      <c r="DW18" s="22">
        <v>2.4046683345916382E-5</v>
      </c>
      <c r="DX18" s="22">
        <v>3.8987920433284162E-17</v>
      </c>
      <c r="EF18" s="22">
        <v>40</v>
      </c>
      <c r="EG18" s="22">
        <v>55</v>
      </c>
      <c r="EH18" s="22">
        <v>3.268839364797457</v>
      </c>
      <c r="EI18" s="22">
        <v>2.7976547423676013</v>
      </c>
      <c r="EJ18" s="22">
        <v>0.47050791645408585</v>
      </c>
      <c r="EK18" s="22">
        <v>6.4240734787518819E-4</v>
      </c>
      <c r="EL18" s="22">
        <v>3.4298627894735699E-5</v>
      </c>
      <c r="EM18" s="22">
        <v>3.8505566826904832E-17</v>
      </c>
    </row>
    <row r="19" spans="1:143" x14ac:dyDescent="0.25">
      <c r="B19" s="24">
        <f>$B$11+($B$10-$B$11)*8/99</f>
        <v>39.533333333333331</v>
      </c>
      <c r="C19" s="22">
        <v>5589.8913618661381</v>
      </c>
      <c r="P19" s="22">
        <f>IF('Data-Plot'!C19="","",$Q$11+('Data-Plot'!C19-'Data-Plot'!D19)*$P$9)</f>
        <v>7829.7701320075848</v>
      </c>
      <c r="Q19" s="22">
        <f>IF('Data-Plot'!C19="","",MAX('Data-Plot'!$C$11:$C$1010)*(1+$Q$9/100))</f>
        <v>7796.25</v>
      </c>
      <c r="R19" s="22">
        <f>IF('Data-Plot'!C19="","",('Data-Plot'!C19-'Data-Plot'!D19)*$P$9)</f>
        <v>33.520132007584635</v>
      </c>
      <c r="S19" s="20">
        <v>0.47986799241536643</v>
      </c>
      <c r="T19" s="20">
        <v>0.43337496089343069</v>
      </c>
      <c r="U19" s="20">
        <v>4.6435999196031363E-2</v>
      </c>
      <c r="V19" s="20">
        <v>5.5670786986508676E-5</v>
      </c>
      <c r="W19" s="20">
        <v>1.3615389179088763E-6</v>
      </c>
      <c r="X19" s="20">
        <v>9.1961000168022241E-18</v>
      </c>
      <c r="AE19" s="22">
        <v>45</v>
      </c>
      <c r="AF19" s="22">
        <v>34</v>
      </c>
      <c r="AG19" s="22">
        <v>0.47986799241536643</v>
      </c>
      <c r="AH19" s="22">
        <v>0.43337496089343069</v>
      </c>
      <c r="AI19" s="22">
        <v>4.6435999196031363E-2</v>
      </c>
      <c r="AJ19" s="22">
        <v>5.5670786986508676E-5</v>
      </c>
      <c r="AK19" s="22">
        <v>1.3615389179088763E-6</v>
      </c>
      <c r="AL19" s="22">
        <v>9.1961000168022241E-18</v>
      </c>
      <c r="AT19" s="22">
        <v>45</v>
      </c>
      <c r="AU19" s="22">
        <v>56</v>
      </c>
      <c r="AV19" s="22">
        <v>0.88470018418504515</v>
      </c>
      <c r="AW19" s="22">
        <v>0.78655183618117308</v>
      </c>
      <c r="AX19" s="22">
        <v>9.8024840510771122E-2</v>
      </c>
      <c r="AY19" s="22">
        <v>1.2042609908913032E-4</v>
      </c>
      <c r="AZ19" s="22">
        <v>3.0813940118071007E-6</v>
      </c>
      <c r="BA19" s="22">
        <v>1.6616034602136411E-17</v>
      </c>
      <c r="BI19" s="22">
        <v>45</v>
      </c>
      <c r="BJ19" s="22">
        <v>0</v>
      </c>
      <c r="BK19" s="22">
        <v>1.3306573305813185</v>
      </c>
      <c r="BL19" s="22">
        <v>1.1561502220817306</v>
      </c>
      <c r="BM19" s="22">
        <v>0.17440164379685508</v>
      </c>
      <c r="BN19" s="22">
        <v>1.0015592622069372E-4</v>
      </c>
      <c r="BO19" s="22">
        <v>5.3087765124817943E-6</v>
      </c>
      <c r="BP19" s="22">
        <v>3.266974039716266E-17</v>
      </c>
      <c r="BX19" s="22">
        <v>45</v>
      </c>
      <c r="BY19" s="22">
        <v>20</v>
      </c>
      <c r="BZ19" s="22">
        <v>1.8645528936539206</v>
      </c>
      <c r="CA19" s="22">
        <v>1.6219377573011009</v>
      </c>
      <c r="CB19" s="22">
        <v>0.24247510829346872</v>
      </c>
      <c r="CC19" s="22">
        <v>1.3261242394570902E-4</v>
      </c>
      <c r="CD19" s="22">
        <v>7.4156354052282383E-6</v>
      </c>
      <c r="CE19" s="22">
        <v>4.370992948291126E-17</v>
      </c>
      <c r="CM19" s="22">
        <v>45</v>
      </c>
      <c r="CN19" s="22">
        <v>0</v>
      </c>
      <c r="CO19" s="22">
        <v>3.1120400334446279</v>
      </c>
      <c r="CP19" s="22">
        <v>2.6803346380918898</v>
      </c>
      <c r="CQ19" s="22">
        <v>0.43135153364397649</v>
      </c>
      <c r="CR19" s="22">
        <v>3.3594375480502751E-4</v>
      </c>
      <c r="CS19" s="22">
        <v>1.7917953956765722E-5</v>
      </c>
      <c r="CT19" s="22">
        <v>8.5196750663424566E-17</v>
      </c>
      <c r="DB19" s="22">
        <v>45</v>
      </c>
      <c r="DC19" s="22">
        <v>51</v>
      </c>
      <c r="DD19" s="22">
        <v>4.244418821523487</v>
      </c>
      <c r="DE19" s="22">
        <v>3.6409155298756564</v>
      </c>
      <c r="DF19" s="22">
        <v>0.60270862783823964</v>
      </c>
      <c r="DG19" s="22">
        <v>7.6353855770055308E-4</v>
      </c>
      <c r="DH19" s="22">
        <v>3.1125251890669677E-5</v>
      </c>
      <c r="DI19" s="22">
        <v>1.3137540682333017E-16</v>
      </c>
      <c r="DQ19" s="22">
        <v>45</v>
      </c>
      <c r="DR19" s="22">
        <v>4</v>
      </c>
      <c r="DS19" s="22">
        <v>9.2485075621675694</v>
      </c>
      <c r="DT19" s="22">
        <v>4.4864455864537431</v>
      </c>
      <c r="DU19" s="22">
        <v>0.76111374860434688</v>
      </c>
      <c r="DV19" s="22">
        <v>8.9723719264165269E-4</v>
      </c>
      <c r="DW19" s="22">
        <v>5.0989916837125672E-5</v>
      </c>
      <c r="DX19" s="22">
        <v>1.6244460875851873E-16</v>
      </c>
      <c r="EF19" s="22">
        <v>45</v>
      </c>
      <c r="EG19" s="22">
        <v>63</v>
      </c>
      <c r="EH19" s="22">
        <v>5.8838934601298849</v>
      </c>
      <c r="EI19" s="22">
        <v>5.0351942767016524</v>
      </c>
      <c r="EJ19" s="22">
        <v>0.84737318198190281</v>
      </c>
      <c r="EK19" s="22">
        <v>1.2532727394723945E-3</v>
      </c>
      <c r="EL19" s="22">
        <v>7.2728706857686857E-5</v>
      </c>
      <c r="EM19" s="22">
        <v>1.6043486466340517E-16</v>
      </c>
    </row>
    <row r="20" spans="1:143" x14ac:dyDescent="0.25">
      <c r="A20" s="22">
        <v>0</v>
      </c>
      <c r="B20" s="24">
        <f>$B$11+($B$10-$B$11)*9/99</f>
        <v>42</v>
      </c>
      <c r="C20" s="22">
        <v>5948.8789685744123</v>
      </c>
      <c r="P20" s="22">
        <f>IF('Data-Plot'!C20="","",$Q$11+('Data-Plot'!C20-'Data-Plot'!D20)*$P$9)</f>
        <v>7824.4018539312365</v>
      </c>
      <c r="Q20" s="22">
        <f>IF('Data-Plot'!C20="","",MAX('Data-Plot'!$C$11:$C$1010)*(1+$Q$9/100))</f>
        <v>7796.25</v>
      </c>
      <c r="R20" s="22">
        <f>IF('Data-Plot'!C20="","",('Data-Plot'!C20-'Data-Plot'!D20)*$P$9)</f>
        <v>28.151853931236786</v>
      </c>
      <c r="S20" s="20">
        <v>0.84814606876321141</v>
      </c>
      <c r="T20" s="20">
        <v>0.76591558873375365</v>
      </c>
      <c r="U20" s="20">
        <v>8.2121274173294193E-2</v>
      </c>
      <c r="V20" s="20">
        <v>1.063851509245822E-4</v>
      </c>
      <c r="W20" s="20">
        <v>2.8207052390178135E-6</v>
      </c>
      <c r="X20" s="20">
        <v>3.666061418041178E-17</v>
      </c>
      <c r="AE20" s="22">
        <v>50</v>
      </c>
      <c r="AF20" s="22">
        <v>29</v>
      </c>
      <c r="AG20" s="22">
        <v>0.84814606876321141</v>
      </c>
      <c r="AH20" s="22">
        <v>0.76591558873375365</v>
      </c>
      <c r="AI20" s="22">
        <v>8.2121274173294193E-2</v>
      </c>
      <c r="AJ20" s="22">
        <v>1.063851509245822E-4</v>
      </c>
      <c r="AK20" s="22">
        <v>2.8207052390178135E-6</v>
      </c>
      <c r="AL20" s="22">
        <v>3.666061418041178E-17</v>
      </c>
      <c r="AT20" s="22">
        <v>50</v>
      </c>
      <c r="AU20" s="22">
        <v>44</v>
      </c>
      <c r="AV20" s="22">
        <v>1.5636842362148076</v>
      </c>
      <c r="AW20" s="22">
        <v>1.3900924584498087</v>
      </c>
      <c r="AX20" s="22">
        <v>0.17335526348200256</v>
      </c>
      <c r="AY20" s="22">
        <v>2.3013054756433144E-4</v>
      </c>
      <c r="AZ20" s="22">
        <v>6.3837354321278124E-6</v>
      </c>
      <c r="BA20" s="22">
        <v>6.6240475054023715E-17</v>
      </c>
      <c r="BI20" s="22">
        <v>50</v>
      </c>
      <c r="BJ20" s="22">
        <v>9</v>
      </c>
      <c r="BK20" s="22">
        <v>2.3519286983243757</v>
      </c>
      <c r="BL20" s="22">
        <v>2.0432999944743973</v>
      </c>
      <c r="BM20" s="22">
        <v>0.30842631076163074</v>
      </c>
      <c r="BN20" s="22">
        <v>1.9139487630686974E-4</v>
      </c>
      <c r="BO20" s="22">
        <v>1.0998212041110068E-5</v>
      </c>
      <c r="BP20" s="22">
        <v>1.3023920421551359E-16</v>
      </c>
      <c r="BX20" s="22">
        <v>50</v>
      </c>
      <c r="BY20" s="22">
        <v>75</v>
      </c>
      <c r="BZ20" s="22">
        <v>3.295574417887134</v>
      </c>
      <c r="CA20" s="22">
        <v>2.8664925798279954</v>
      </c>
      <c r="CB20" s="22">
        <v>0.42881305682021809</v>
      </c>
      <c r="CC20" s="22">
        <v>2.5341823947728354E-4</v>
      </c>
      <c r="CD20" s="22">
        <v>1.536299944338441E-5</v>
      </c>
      <c r="CE20" s="22">
        <v>1.7425135195335031E-16</v>
      </c>
      <c r="CM20" s="22">
        <v>50</v>
      </c>
      <c r="CN20" s="22">
        <v>0</v>
      </c>
      <c r="CO20" s="22">
        <v>5.5005334635338849</v>
      </c>
      <c r="CP20" s="22">
        <v>4.7370166284757413</v>
      </c>
      <c r="CQ20" s="22">
        <v>0.76283773624417472</v>
      </c>
      <c r="CR20" s="22">
        <v>6.4197812213162044E-4</v>
      </c>
      <c r="CS20" s="22">
        <v>3.7120691838049011E-5</v>
      </c>
      <c r="CT20" s="22">
        <v>3.3964019527732829E-16</v>
      </c>
      <c r="DB20" s="22">
        <v>50</v>
      </c>
      <c r="DC20" s="22">
        <v>67</v>
      </c>
      <c r="DD20" s="22">
        <v>7.5020816057393045</v>
      </c>
      <c r="DE20" s="22">
        <v>6.434678262685547</v>
      </c>
      <c r="DF20" s="22">
        <v>1.0658797621948672</v>
      </c>
      <c r="DG20" s="22">
        <v>1.4590985588124764E-3</v>
      </c>
      <c r="DH20" s="22">
        <v>6.4482300076926059E-5</v>
      </c>
      <c r="DI20" s="22">
        <v>5.2373322316469602E-16</v>
      </c>
      <c r="DQ20" s="22">
        <v>50</v>
      </c>
      <c r="DR20" s="22">
        <v>42</v>
      </c>
      <c r="DS20" s="22">
        <v>13.276853005487338</v>
      </c>
      <c r="DT20" s="22">
        <v>7.9290164013730209</v>
      </c>
      <c r="DU20" s="22">
        <v>1.3460163755967065</v>
      </c>
      <c r="DV20" s="22">
        <v>1.714592517300003E-3</v>
      </c>
      <c r="DW20" s="22">
        <v>1.0563600030891362E-4</v>
      </c>
      <c r="DX20" s="22">
        <v>6.4759181789052007E-16</v>
      </c>
      <c r="EF20" s="22">
        <v>50</v>
      </c>
      <c r="EG20" s="22">
        <v>22</v>
      </c>
      <c r="EH20" s="22">
        <v>10.399965254573447</v>
      </c>
      <c r="EI20" s="22">
        <v>8.8988549597897091</v>
      </c>
      <c r="EJ20" s="22">
        <v>1.4985646570209921</v>
      </c>
      <c r="EK20" s="22">
        <v>2.3949654303206231E-3</v>
      </c>
      <c r="EL20" s="22">
        <v>1.5067233242378609E-4</v>
      </c>
      <c r="EM20" s="22">
        <v>6.3957989406001578E-16</v>
      </c>
    </row>
    <row r="21" spans="1:143" x14ac:dyDescent="0.25">
      <c r="A21" s="22">
        <f>COUNTA(A22:A271)</f>
        <v>0</v>
      </c>
      <c r="B21" s="24">
        <f>$B$11+($B$10-$B$11)*10/99</f>
        <v>44.466666666666669</v>
      </c>
      <c r="C21" s="22">
        <v>6306.7880209487466</v>
      </c>
      <c r="P21" s="22">
        <f>IF('Data-Plot'!C21="","",$Q$11+('Data-Plot'!C21-'Data-Plot'!D21)*$P$9)</f>
        <v>7800.7767653572255</v>
      </c>
      <c r="Q21" s="22">
        <f>IF('Data-Plot'!C21="","",MAX('Data-Plot'!$C$11:$C$1010)*(1+$Q$9/100))</f>
        <v>7796.25</v>
      </c>
      <c r="R21" s="22">
        <f>IF('Data-Plot'!C21="","",('Data-Plot'!C21-'Data-Plot'!D21)*$P$9)</f>
        <v>4.5267653572251678</v>
      </c>
      <c r="S21" s="20">
        <v>1.4732346427748273</v>
      </c>
      <c r="T21" s="20">
        <v>1.3303010324060041</v>
      </c>
      <c r="U21" s="20">
        <v>0.14272856906335135</v>
      </c>
      <c r="V21" s="20">
        <v>1.9932591872323004E-4</v>
      </c>
      <c r="W21" s="20">
        <v>5.7153867486369596E-6</v>
      </c>
      <c r="X21" s="20">
        <v>1.4011779741533082E-16</v>
      </c>
      <c r="AE21" s="22">
        <v>55</v>
      </c>
      <c r="AF21" s="22">
        <v>6</v>
      </c>
      <c r="AG21" s="22">
        <v>1.4732346427748273</v>
      </c>
      <c r="AH21" s="22">
        <v>1.3303010324060041</v>
      </c>
      <c r="AI21" s="22">
        <v>0.14272856906335135</v>
      </c>
      <c r="AJ21" s="22">
        <v>1.9932591872323004E-4</v>
      </c>
      <c r="AK21" s="22">
        <v>5.7153867486369596E-6</v>
      </c>
      <c r="AL21" s="22">
        <v>1.4011779741533082E-16</v>
      </c>
      <c r="AT21" s="22">
        <v>55</v>
      </c>
      <c r="AU21" s="22">
        <v>0</v>
      </c>
      <c r="AV21" s="22">
        <v>2.7161513728351547</v>
      </c>
      <c r="AW21" s="22">
        <v>2.4144120186046862</v>
      </c>
      <c r="AX21" s="22">
        <v>0.30129524090650722</v>
      </c>
      <c r="AY21" s="22">
        <v>4.3117843222193668E-4</v>
      </c>
      <c r="AZ21" s="22">
        <v>1.2934891739123009E-5</v>
      </c>
      <c r="BA21" s="22">
        <v>2.5317277606533316E-16</v>
      </c>
      <c r="BI21" s="22">
        <v>55</v>
      </c>
      <c r="BJ21" s="22">
        <v>0</v>
      </c>
      <c r="BK21" s="22">
        <v>4.0854039307942154</v>
      </c>
      <c r="BL21" s="22">
        <v>3.5489714600847377</v>
      </c>
      <c r="BM21" s="22">
        <v>0.53605158354289228</v>
      </c>
      <c r="BN21" s="22">
        <v>3.5860230161986208E-4</v>
      </c>
      <c r="BO21" s="22">
        <v>2.2284864964865109E-5</v>
      </c>
      <c r="BP21" s="22">
        <v>4.9777754246009914E-16</v>
      </c>
      <c r="BX21" s="22">
        <v>55</v>
      </c>
      <c r="BY21" s="22">
        <v>0</v>
      </c>
      <c r="BZ21" s="22">
        <v>5.7245276454681449</v>
      </c>
      <c r="CA21" s="22">
        <v>4.9787353791231839</v>
      </c>
      <c r="CB21" s="22">
        <v>0.74528632658269722</v>
      </c>
      <c r="CC21" s="22">
        <v>4.7481085087461338E-4</v>
      </c>
      <c r="CD21" s="22">
        <v>3.1128911387761047E-5</v>
      </c>
      <c r="CE21" s="22">
        <v>6.6599308762788464E-16</v>
      </c>
      <c r="CM21" s="22">
        <v>55</v>
      </c>
      <c r="CN21" s="22">
        <v>14</v>
      </c>
      <c r="CO21" s="22">
        <v>9.5546808587578642</v>
      </c>
      <c r="CP21" s="22">
        <v>8.2275744930691701</v>
      </c>
      <c r="CQ21" s="22">
        <v>1.3258283242547326</v>
      </c>
      <c r="CR21" s="22">
        <v>1.2028265170362846E-3</v>
      </c>
      <c r="CS21" s="22">
        <v>7.521491692469557E-5</v>
      </c>
      <c r="CT21" s="22">
        <v>1.2981134424474485E-15</v>
      </c>
      <c r="DB21" s="22">
        <v>55</v>
      </c>
      <c r="DC21" s="22">
        <v>79</v>
      </c>
      <c r="DD21" s="22">
        <v>13.031591003893604</v>
      </c>
      <c r="DE21" s="22">
        <v>11.176204795132147</v>
      </c>
      <c r="DF21" s="22">
        <v>1.8525217489247829</v>
      </c>
      <c r="DG21" s="22">
        <v>2.733804113324914E-3</v>
      </c>
      <c r="DH21" s="22">
        <v>1.306557233488271E-4</v>
      </c>
      <c r="DI21" s="22">
        <v>2.0017216651618263E-15</v>
      </c>
      <c r="DQ21" s="22">
        <v>55</v>
      </c>
      <c r="DR21" s="22">
        <v>14</v>
      </c>
      <c r="DS21" s="22">
        <v>20.114546106191639</v>
      </c>
      <c r="DT21" s="22">
        <v>13.771714700617833</v>
      </c>
      <c r="DU21" s="22">
        <v>2.3394048590503109</v>
      </c>
      <c r="DV21" s="22">
        <v>3.2125040961133822E-3</v>
      </c>
      <c r="DW21" s="22">
        <v>2.1404242738135116E-4</v>
      </c>
      <c r="DX21" s="22">
        <v>2.4751123562870578E-15</v>
      </c>
      <c r="EF21" s="22">
        <v>55</v>
      </c>
      <c r="EG21" s="22">
        <v>88</v>
      </c>
      <c r="EH21" s="22">
        <v>18.065594431682701</v>
      </c>
      <c r="EI21" s="22">
        <v>15.456264938991069</v>
      </c>
      <c r="EJ21" s="22">
        <v>2.604536928408633</v>
      </c>
      <c r="EK21" s="22">
        <v>4.4872680612920322E-3</v>
      </c>
      <c r="EL21" s="22">
        <v>3.0529622170166407E-4</v>
      </c>
      <c r="EM21" s="22">
        <v>2.444490580157909E-15</v>
      </c>
    </row>
    <row r="22" spans="1:143" x14ac:dyDescent="0.25">
      <c r="B22" s="24">
        <f>$B$11+($B$10-$B$11)*11/99</f>
        <v>46.933333333333337</v>
      </c>
      <c r="C22" s="22">
        <v>6663.6217594337304</v>
      </c>
      <c r="P22" s="22">
        <f>IF('Data-Plot'!C22="","",$Q$11+('Data-Plot'!C22-'Data-Plot'!D22)*$P$9)</f>
        <v>7823.7331447064462</v>
      </c>
      <c r="Q22" s="22">
        <f>IF('Data-Plot'!C22="","",MAX('Data-Plot'!$C$11:$C$1010)*(1+$Q$9/100))</f>
        <v>7796.25</v>
      </c>
      <c r="R22" s="22">
        <f>IF('Data-Plot'!C22="","",('Data-Plot'!C22-'Data-Plot'!D22)*$P$9)</f>
        <v>27.483144706445888</v>
      </c>
      <c r="S22" s="20">
        <v>2.5168552935541038</v>
      </c>
      <c r="T22" s="20">
        <v>2.272494207429173</v>
      </c>
      <c r="U22" s="20">
        <v>0.24398325884715291</v>
      </c>
      <c r="V22" s="20">
        <v>3.6648950259271572E-4</v>
      </c>
      <c r="W22" s="20">
        <v>1.1337775184613521E-5</v>
      </c>
      <c r="X22" s="20">
        <v>5.1440886817735701E-16</v>
      </c>
      <c r="AE22" s="22">
        <v>60</v>
      </c>
      <c r="AF22" s="22">
        <v>30</v>
      </c>
      <c r="AG22" s="22">
        <v>2.5168552935541038</v>
      </c>
      <c r="AH22" s="22">
        <v>2.272494207429173</v>
      </c>
      <c r="AI22" s="22">
        <v>0.24398325884715291</v>
      </c>
      <c r="AJ22" s="22">
        <v>3.6648950259271572E-4</v>
      </c>
      <c r="AK22" s="22">
        <v>1.1337775184613521E-5</v>
      </c>
      <c r="AL22" s="22">
        <v>5.1440886817735701E-16</v>
      </c>
      <c r="AT22" s="22">
        <v>60</v>
      </c>
      <c r="AU22" s="22">
        <v>19</v>
      </c>
      <c r="AV22" s="22">
        <v>4.6402702421104562</v>
      </c>
      <c r="AW22" s="22">
        <v>4.1244112767594547</v>
      </c>
      <c r="AX22" s="22">
        <v>0.51504052219643726</v>
      </c>
      <c r="AY22" s="22">
        <v>7.9278384207655814E-4</v>
      </c>
      <c r="AZ22" s="22">
        <v>2.5659312487138802E-5</v>
      </c>
      <c r="BA22" s="22">
        <v>9.294630917088553E-16</v>
      </c>
      <c r="BI22" s="22">
        <v>60</v>
      </c>
      <c r="BJ22" s="22">
        <v>0</v>
      </c>
      <c r="BK22" s="22">
        <v>6.9796242447386003</v>
      </c>
      <c r="BL22" s="22">
        <v>6.0625829387681396</v>
      </c>
      <c r="BM22" s="22">
        <v>0.91633775669004491</v>
      </c>
      <c r="BN22" s="22">
        <v>6.5934216021440928E-4</v>
      </c>
      <c r="BO22" s="22">
        <v>4.4207120199035911E-5</v>
      </c>
      <c r="BP22" s="22">
        <v>1.8274707920365225E-15</v>
      </c>
      <c r="BX22" s="22">
        <v>60</v>
      </c>
      <c r="BY22" s="22">
        <v>0</v>
      </c>
      <c r="BZ22" s="22">
        <v>9.7798684864429699</v>
      </c>
      <c r="CA22" s="22">
        <v>8.504925793667276</v>
      </c>
      <c r="CB22" s="22">
        <v>1.2740079330933598</v>
      </c>
      <c r="CC22" s="22">
        <v>8.7300837580300535E-4</v>
      </c>
      <c r="CD22" s="22">
        <v>6.1751306528297928E-5</v>
      </c>
      <c r="CE22" s="22">
        <v>2.4450337982769451E-15</v>
      </c>
      <c r="CM22" s="22">
        <v>60</v>
      </c>
      <c r="CN22" s="22">
        <v>0</v>
      </c>
      <c r="CO22" s="22">
        <v>16.323442074546836</v>
      </c>
      <c r="CP22" s="22">
        <v>14.054683069752304</v>
      </c>
      <c r="CQ22" s="22">
        <v>2.2663982284250559</v>
      </c>
      <c r="CR22" s="22">
        <v>2.2115704003822312E-3</v>
      </c>
      <c r="CS22" s="22">
        <v>1.4920596908815561E-4</v>
      </c>
      <c r="CT22" s="22">
        <v>4.7657119867211276E-15</v>
      </c>
      <c r="DB22" s="22">
        <v>60</v>
      </c>
      <c r="DC22" s="22">
        <v>116</v>
      </c>
      <c r="DD22" s="22">
        <v>22.263724939297738</v>
      </c>
      <c r="DE22" s="22">
        <v>19.0917007649889</v>
      </c>
      <c r="DF22" s="22">
        <v>3.1667384948818689</v>
      </c>
      <c r="DG22" s="22">
        <v>5.0264939539798386E-3</v>
      </c>
      <c r="DH22" s="22">
        <v>2.5918547298228836E-4</v>
      </c>
      <c r="DI22" s="22">
        <v>7.3488407267050925E-15</v>
      </c>
      <c r="DQ22" s="22">
        <v>60</v>
      </c>
      <c r="DR22" s="22">
        <v>25</v>
      </c>
      <c r="DS22" s="22">
        <v>31.53093611193782</v>
      </c>
      <c r="DT22" s="22">
        <v>23.525579305185456</v>
      </c>
      <c r="DU22" s="22">
        <v>3.999025551601918</v>
      </c>
      <c r="DV22" s="22">
        <v>5.9066531019889151E-3</v>
      </c>
      <c r="DW22" s="22">
        <v>4.2460204844956039E-4</v>
      </c>
      <c r="DX22" s="22">
        <v>9.0867810463462861E-15</v>
      </c>
      <c r="EF22" s="22">
        <v>60</v>
      </c>
      <c r="EG22" s="22">
        <v>106</v>
      </c>
      <c r="EH22" s="22">
        <v>30.864502032542394</v>
      </c>
      <c r="EI22" s="22">
        <v>26.403398475385927</v>
      </c>
      <c r="EJ22" s="22">
        <v>4.4522474414888471</v>
      </c>
      <c r="EK22" s="22">
        <v>8.2504908730530145E-3</v>
      </c>
      <c r="EL22" s="22">
        <v>6.0562479455414462E-4</v>
      </c>
      <c r="EM22" s="22">
        <v>8.9743605438066665E-15</v>
      </c>
    </row>
    <row r="23" spans="1:143" x14ac:dyDescent="0.25">
      <c r="B23" s="24">
        <f>$B$11+($B$10-$B$11)*12/99</f>
        <v>49.4</v>
      </c>
      <c r="C23" s="22">
        <v>7019.383414738274</v>
      </c>
      <c r="P23" s="22">
        <f>IF('Data-Plot'!C23="","",$Q$11+('Data-Plot'!C23-'Data-Plot'!D23)*$P$9)</f>
        <v>7792.0180740749174</v>
      </c>
      <c r="Q23" s="22">
        <f>IF('Data-Plot'!C23="","",MAX('Data-Plot'!$C$11:$C$1010)*(1+$Q$9/100))</f>
        <v>7796.25</v>
      </c>
      <c r="R23" s="22">
        <f>IF('Data-Plot'!C23="","",('Data-Plot'!C23-'Data-Plot'!D23)*$P$9)</f>
        <v>-4.2319259250822032</v>
      </c>
      <c r="S23" s="20">
        <v>4.2319259250821899</v>
      </c>
      <c r="T23" s="20">
        <v>3.8207333839944857</v>
      </c>
      <c r="U23" s="20">
        <v>0.41050868485295949</v>
      </c>
      <c r="V23" s="20">
        <v>6.618161777237903E-4</v>
      </c>
      <c r="W23" s="20">
        <v>2.2040057019143624E-5</v>
      </c>
      <c r="X23" s="20">
        <v>1.817274353538014E-15</v>
      </c>
      <c r="AE23" s="22">
        <v>65</v>
      </c>
      <c r="AF23" s="22">
        <v>0</v>
      </c>
      <c r="AG23" s="22">
        <v>4.2319259250821899</v>
      </c>
      <c r="AH23" s="22">
        <v>3.8207333839944857</v>
      </c>
      <c r="AI23" s="22">
        <v>0.41050868485295949</v>
      </c>
      <c r="AJ23" s="22">
        <v>6.618161777237903E-4</v>
      </c>
      <c r="AK23" s="22">
        <v>2.2040057019143624E-5</v>
      </c>
      <c r="AL23" s="22">
        <v>1.817274353538014E-15</v>
      </c>
      <c r="AT23" s="22">
        <v>65</v>
      </c>
      <c r="AU23" s="22">
        <v>0</v>
      </c>
      <c r="AV23" s="22">
        <v>7.8023426548824961</v>
      </c>
      <c r="AW23" s="22">
        <v>6.9342909626622236</v>
      </c>
      <c r="AX23" s="22">
        <v>0.86657018237986483</v>
      </c>
      <c r="AY23" s="22">
        <v>1.4316294449106422E-3</v>
      </c>
      <c r="AZ23" s="22">
        <v>4.9880395494202285E-5</v>
      </c>
      <c r="BA23" s="22">
        <v>3.283554276790345E-15</v>
      </c>
      <c r="BI23" s="22">
        <v>65</v>
      </c>
      <c r="BJ23" s="22">
        <v>16</v>
      </c>
      <c r="BK23" s="22">
        <v>11.736123453378095</v>
      </c>
      <c r="BL23" s="22">
        <v>10.193083559045432</v>
      </c>
      <c r="BM23" s="22">
        <v>1.5417633008548222</v>
      </c>
      <c r="BN23" s="22">
        <v>1.1906570896190181E-3</v>
      </c>
      <c r="BO23" s="22">
        <v>8.5936388215251516E-5</v>
      </c>
      <c r="BP23" s="22">
        <v>6.4559847383166335E-15</v>
      </c>
      <c r="BX23" s="22">
        <v>65</v>
      </c>
      <c r="BY23" s="22">
        <v>0</v>
      </c>
      <c r="BZ23" s="22">
        <v>16.444463090595367</v>
      </c>
      <c r="CA23" s="22">
        <v>14.299213570299804</v>
      </c>
      <c r="CB23" s="22">
        <v>2.1435529778400522</v>
      </c>
      <c r="CC23" s="22">
        <v>1.5765010633746292E-3</v>
      </c>
      <c r="CD23" s="22">
        <v>1.2004139212748247E-4</v>
      </c>
      <c r="CE23" s="22">
        <v>8.6376761561006892E-15</v>
      </c>
      <c r="CM23" s="22">
        <v>65</v>
      </c>
      <c r="CN23" s="22">
        <v>0</v>
      </c>
      <c r="CO23" s="22">
        <v>27.447295702100675</v>
      </c>
      <c r="CP23" s="22">
        <v>23.629736054675448</v>
      </c>
      <c r="CQ23" s="22">
        <v>3.8132758877052533</v>
      </c>
      <c r="CR23" s="22">
        <v>3.9937109218319356E-3</v>
      </c>
      <c r="CS23" s="22">
        <v>2.9004879812535622E-4</v>
      </c>
      <c r="CT23" s="22">
        <v>1.683603589592668E-14</v>
      </c>
      <c r="DB23" s="22">
        <v>65</v>
      </c>
      <c r="DC23" s="22">
        <v>86</v>
      </c>
      <c r="DD23" s="22">
        <v>37.436161552554587</v>
      </c>
      <c r="DE23" s="22">
        <v>32.09845906893662</v>
      </c>
      <c r="DF23" s="22">
        <v>5.3281216678413941</v>
      </c>
      <c r="DG23" s="22">
        <v>9.0769724291019285E-3</v>
      </c>
      <c r="DH23" s="22">
        <v>5.0384334744788483E-4</v>
      </c>
      <c r="DI23" s="22">
        <v>2.5961565997482501E-14</v>
      </c>
      <c r="DQ23" s="22">
        <v>65</v>
      </c>
      <c r="DR23" s="22">
        <v>76</v>
      </c>
      <c r="DS23" s="22">
        <v>50.293313067046292</v>
      </c>
      <c r="DT23" s="22">
        <v>39.553357001283139</v>
      </c>
      <c r="DU23" s="22">
        <v>6.728464274348676</v>
      </c>
      <c r="DV23" s="22">
        <v>1.0666386676530611E-2</v>
      </c>
      <c r="DW23" s="22">
        <v>8.2540473791094791E-4</v>
      </c>
      <c r="DX23" s="22">
        <v>3.210126258174662E-14</v>
      </c>
      <c r="EF23" s="22">
        <v>65</v>
      </c>
      <c r="EG23" s="22">
        <v>106</v>
      </c>
      <c r="EH23" s="22">
        <v>51.899421165771521</v>
      </c>
      <c r="EI23" s="22">
        <v>44.392323568638162</v>
      </c>
      <c r="EJ23" s="22">
        <v>7.491021344056505</v>
      </c>
      <c r="EK23" s="22">
        <v>1.4898949348373269E-2</v>
      </c>
      <c r="EL23" s="22">
        <v>1.1773037284512362E-3</v>
      </c>
      <c r="EM23" s="22">
        <v>3.170410983280399E-14</v>
      </c>
    </row>
    <row r="24" spans="1:143" x14ac:dyDescent="0.25">
      <c r="B24" s="24">
        <f>$B$11+($B$10-$B$11)*13/99</f>
        <v>51.86666666666666</v>
      </c>
      <c r="C24" s="22">
        <v>7374.0762078648149</v>
      </c>
      <c r="P24" s="22">
        <f>IF('Data-Plot'!C24="","",$Q$11+('Data-Plot'!C24-'Data-Plot'!D24)*$P$9)</f>
        <v>7789.2419896071606</v>
      </c>
      <c r="Q24" s="22">
        <f>IF('Data-Plot'!C24="","",MAX('Data-Plot'!$C$11:$C$1010)*(1+$Q$9/100))</f>
        <v>7796.25</v>
      </c>
      <c r="R24" s="22">
        <f>IF('Data-Plot'!C24="","",('Data-Plot'!C24-'Data-Plot'!D24)*$P$9)</f>
        <v>-7.0080103928392035</v>
      </c>
      <c r="S24" s="20">
        <v>7.0080103928391804</v>
      </c>
      <c r="T24" s="20">
        <v>6.3264969212601736</v>
      </c>
      <c r="U24" s="20">
        <v>0.68029673195552953</v>
      </c>
      <c r="V24" s="20">
        <v>1.1747168418383453E-3</v>
      </c>
      <c r="W24" s="20">
        <v>4.2022781633356935E-5</v>
      </c>
      <c r="X24" s="20">
        <v>6.1881323014426951E-15</v>
      </c>
      <c r="AE24" s="22">
        <v>70</v>
      </c>
      <c r="AF24" s="22">
        <v>0</v>
      </c>
      <c r="AG24" s="22">
        <v>7.0080103928391804</v>
      </c>
      <c r="AH24" s="22">
        <v>6.3264969212601736</v>
      </c>
      <c r="AI24" s="22">
        <v>0.68029673195552953</v>
      </c>
      <c r="AJ24" s="22">
        <v>1.1747168418383453E-3</v>
      </c>
      <c r="AK24" s="22">
        <v>4.2022781633356935E-5</v>
      </c>
      <c r="AL24" s="22">
        <v>6.1881323014426951E-15</v>
      </c>
      <c r="AT24" s="22">
        <v>70</v>
      </c>
      <c r="AU24" s="22">
        <v>27</v>
      </c>
      <c r="AV24" s="22">
        <v>12.920578981844958</v>
      </c>
      <c r="AW24" s="22">
        <v>11.481858861768407</v>
      </c>
      <c r="AX24" s="22">
        <v>1.436083888060331</v>
      </c>
      <c r="AY24" s="22">
        <v>2.5411273181856191E-3</v>
      </c>
      <c r="AZ24" s="22">
        <v>9.5104698024183487E-5</v>
      </c>
      <c r="BA24" s="22">
        <v>1.1181068089244683E-14</v>
      </c>
      <c r="BI24" s="22">
        <v>70</v>
      </c>
      <c r="BJ24" s="22">
        <v>0</v>
      </c>
      <c r="BK24" s="22">
        <v>19.435592820488967</v>
      </c>
      <c r="BL24" s="22">
        <v>16.878300849343674</v>
      </c>
      <c r="BM24" s="22">
        <v>2.5550147160051693</v>
      </c>
      <c r="BN24" s="22">
        <v>2.1134041086540122E-3</v>
      </c>
      <c r="BO24" s="22">
        <v>1.6385103144903764E-4</v>
      </c>
      <c r="BP24" s="22">
        <v>2.1983740440192454E-14</v>
      </c>
      <c r="BX24" s="22">
        <v>70</v>
      </c>
      <c r="BY24" s="22">
        <v>0</v>
      </c>
      <c r="BZ24" s="22">
        <v>27.232229251739831</v>
      </c>
      <c r="CA24" s="22">
        <v>23.676900197153948</v>
      </c>
      <c r="CB24" s="22">
        <v>3.5523019038600379</v>
      </c>
      <c r="CC24" s="22">
        <v>2.7982732232188163E-3</v>
      </c>
      <c r="CD24" s="22">
        <v>2.2887750259615545E-4</v>
      </c>
      <c r="CE24" s="22">
        <v>2.9412775636713987E-14</v>
      </c>
      <c r="CM24" s="22">
        <v>70</v>
      </c>
      <c r="CN24" s="22">
        <v>15</v>
      </c>
      <c r="CO24" s="22">
        <v>45.452989618458311</v>
      </c>
      <c r="CP24" s="22">
        <v>39.125978525616816</v>
      </c>
      <c r="CQ24" s="22">
        <v>6.3193692739655072</v>
      </c>
      <c r="CR24" s="22">
        <v>7.0887959281229485E-3</v>
      </c>
      <c r="CS24" s="22">
        <v>5.5302294780225662E-4</v>
      </c>
      <c r="CT24" s="22">
        <v>5.7329603179068115E-14</v>
      </c>
      <c r="DB24" s="22">
        <v>70</v>
      </c>
      <c r="DC24" s="22">
        <v>102</v>
      </c>
      <c r="DD24" s="22">
        <v>61.995642890067657</v>
      </c>
      <c r="DE24" s="22">
        <v>53.148798119663091</v>
      </c>
      <c r="DF24" s="22">
        <v>8.8297725824345399</v>
      </c>
      <c r="DG24" s="22">
        <v>1.6111532607818412E-2</v>
      </c>
      <c r="DH24" s="22">
        <v>9.6065536212526146E-4</v>
      </c>
      <c r="DI24" s="22">
        <v>8.8403605560318758E-14</v>
      </c>
      <c r="DQ24" s="22">
        <v>70</v>
      </c>
      <c r="DR24" s="22">
        <v>146</v>
      </c>
      <c r="DS24" s="22">
        <v>80.664449242357563</v>
      </c>
      <c r="DT24" s="22">
        <v>65.493526809823109</v>
      </c>
      <c r="DU24" s="22">
        <v>11.150415943558974</v>
      </c>
      <c r="DV24" s="22">
        <v>1.893272702888656E-2</v>
      </c>
      <c r="DW24" s="22">
        <v>1.5737619464924468E-3</v>
      </c>
      <c r="DX24" s="22">
        <v>1.0931033033755115E-13</v>
      </c>
      <c r="EF24" s="22">
        <v>70</v>
      </c>
      <c r="EG24" s="22">
        <v>163</v>
      </c>
      <c r="EH24" s="22">
        <v>85.950252422917927</v>
      </c>
      <c r="EI24" s="22">
        <v>73.507437592404585</v>
      </c>
      <c r="EJ24" s="22">
        <v>12.414124636548726</v>
      </c>
      <c r="EK24" s="22">
        <v>2.6445482101737493E-2</v>
      </c>
      <c r="EL24" s="22">
        <v>2.244711862770182E-3</v>
      </c>
      <c r="EM24" s="22">
        <v>1.079579567955181E-13</v>
      </c>
    </row>
    <row r="25" spans="1:143" x14ac:dyDescent="0.25">
      <c r="B25" s="24">
        <f>$B$11+($B$10-$B$11)*14/99</f>
        <v>54.333333333333329</v>
      </c>
      <c r="C25" s="22">
        <v>7727.7033501385331</v>
      </c>
      <c r="P25" s="22">
        <f>IF('Data-Plot'!C25="","",$Q$11+('Data-Plot'!C25-'Data-Plot'!D25)*$P$9)</f>
        <v>7784.8137260635458</v>
      </c>
      <c r="Q25" s="22">
        <f>IF('Data-Plot'!C25="","",MAX('Data-Plot'!$C$11:$C$1010)*(1+$Q$9/100))</f>
        <v>7796.25</v>
      </c>
      <c r="R25" s="22">
        <f>IF('Data-Plot'!C25="","",('Data-Plot'!C25-'Data-Plot'!D25)*$P$9)</f>
        <v>-11.436273936453969</v>
      </c>
      <c r="S25" s="20">
        <v>11.436273936453929</v>
      </c>
      <c r="T25" s="20">
        <v>10.322998417884756</v>
      </c>
      <c r="U25" s="20">
        <v>1.1111458408047721</v>
      </c>
      <c r="V25" s="20">
        <v>2.0510263470555406E-3</v>
      </c>
      <c r="W25" s="20">
        <v>7.8651417325691314E-5</v>
      </c>
      <c r="X25" s="20">
        <v>2.0342949359193952E-14</v>
      </c>
      <c r="AE25" s="22">
        <v>75</v>
      </c>
      <c r="AF25" s="22">
        <v>0</v>
      </c>
      <c r="AG25" s="22">
        <v>11.436273936453929</v>
      </c>
      <c r="AH25" s="22">
        <v>10.322998417884756</v>
      </c>
      <c r="AI25" s="22">
        <v>1.1111458408047721</v>
      </c>
      <c r="AJ25" s="22">
        <v>2.0510263470555406E-3</v>
      </c>
      <c r="AK25" s="22">
        <v>7.8651417325691314E-5</v>
      </c>
      <c r="AL25" s="22">
        <v>2.0342949359193952E-14</v>
      </c>
      <c r="AT25" s="22">
        <v>75</v>
      </c>
      <c r="AU25" s="22">
        <v>0</v>
      </c>
      <c r="AV25" s="22">
        <v>21.084797842881805</v>
      </c>
      <c r="AW25" s="22">
        <v>18.734590702589312</v>
      </c>
      <c r="AX25" s="22">
        <v>2.3455923939986083</v>
      </c>
      <c r="AY25" s="22">
        <v>4.4367447670474397E-3</v>
      </c>
      <c r="AZ25" s="22">
        <v>1.7800152680335203E-4</v>
      </c>
      <c r="BA25" s="22">
        <v>3.6756793623849173E-14</v>
      </c>
      <c r="BI25" s="22">
        <v>75</v>
      </c>
      <c r="BJ25" s="22">
        <v>72</v>
      </c>
      <c r="BK25" s="22">
        <v>31.718311419039772</v>
      </c>
      <c r="BL25" s="22">
        <v>27.541149966684564</v>
      </c>
      <c r="BM25" s="22">
        <v>4.1731648312401095</v>
      </c>
      <c r="BN25" s="22">
        <v>3.6899513671173776E-3</v>
      </c>
      <c r="BO25" s="22">
        <v>3.0666974791200156E-4</v>
      </c>
      <c r="BP25" s="22">
        <v>7.2269644008134108E-14</v>
      </c>
      <c r="BX25" s="22">
        <v>75</v>
      </c>
      <c r="BY25" s="22">
        <v>33</v>
      </c>
      <c r="BZ25" s="22">
        <v>44.440600799938487</v>
      </c>
      <c r="CA25" s="22">
        <v>38.633230777078886</v>
      </c>
      <c r="CB25" s="22">
        <v>5.8020559311310578</v>
      </c>
      <c r="CC25" s="22">
        <v>4.8857159934586518E-3</v>
      </c>
      <c r="CD25" s="22">
        <v>4.2837573498518935E-4</v>
      </c>
      <c r="CE25" s="22">
        <v>9.6691954234965065E-14</v>
      </c>
      <c r="CM25" s="22">
        <v>75</v>
      </c>
      <c r="CN25" s="22">
        <v>46</v>
      </c>
      <c r="CO25" s="22">
        <v>74.174697357359193</v>
      </c>
      <c r="CP25" s="22">
        <v>63.839720568615562</v>
      </c>
      <c r="CQ25" s="22">
        <v>10.321564867484762</v>
      </c>
      <c r="CR25" s="22">
        <v>1.2376862727583562E-2</v>
      </c>
      <c r="CS25" s="22">
        <v>1.0350585310989447E-3</v>
      </c>
      <c r="CT25" s="22">
        <v>1.8846610858377542E-13</v>
      </c>
      <c r="DB25" s="22">
        <v>75</v>
      </c>
      <c r="DC25" s="22">
        <v>133</v>
      </c>
      <c r="DD25" s="22">
        <v>101.17273214393261</v>
      </c>
      <c r="DE25" s="22">
        <v>86.720948655886332</v>
      </c>
      <c r="DF25" s="22">
        <v>14.421855152212004</v>
      </c>
      <c r="DG25" s="22">
        <v>2.813033715834997E-2</v>
      </c>
      <c r="DH25" s="22">
        <v>1.7979986756464833E-3</v>
      </c>
      <c r="DI25" s="22">
        <v>2.9061920196251233E-13</v>
      </c>
      <c r="DQ25" s="22">
        <v>75</v>
      </c>
      <c r="DR25" s="22">
        <v>169</v>
      </c>
      <c r="DS25" s="22">
        <v>129.11391509012159</v>
      </c>
      <c r="DT25" s="22">
        <v>106.86572067901133</v>
      </c>
      <c r="DU25" s="22">
        <v>18.212192824799128</v>
      </c>
      <c r="DV25" s="22">
        <v>3.3056074313599595E-2</v>
      </c>
      <c r="DW25" s="22">
        <v>2.9455119971753996E-3</v>
      </c>
      <c r="DX25" s="22">
        <v>3.5934825019418785E-13</v>
      </c>
      <c r="EF25" s="22">
        <v>75</v>
      </c>
      <c r="EG25" s="22">
        <v>279</v>
      </c>
      <c r="EH25" s="22">
        <v>140.27241563242825</v>
      </c>
      <c r="EI25" s="22">
        <v>119.94581207108035</v>
      </c>
      <c r="EJ25" s="22">
        <v>20.276229115837189</v>
      </c>
      <c r="EK25" s="22">
        <v>4.6173158439472985E-2</v>
      </c>
      <c r="EL25" s="22">
        <v>4.2012870708901901E-3</v>
      </c>
      <c r="EM25" s="22">
        <v>3.5490243922245431E-13</v>
      </c>
    </row>
    <row r="26" spans="1:143" x14ac:dyDescent="0.25">
      <c r="B26" s="24">
        <f>$B$11+($B$10-$B$11)*15/99</f>
        <v>56.8</v>
      </c>
      <c r="C26" s="22">
        <v>8080.2680432363595</v>
      </c>
      <c r="P26" s="22">
        <f>IF('Data-Plot'!C26="","",$Q$11+('Data-Plot'!C26-'Data-Plot'!D26)*$P$9)</f>
        <v>7777.8493626472537</v>
      </c>
      <c r="Q26" s="22">
        <f>IF('Data-Plot'!C26="","",MAX('Data-Plot'!$C$11:$C$1010)*(1+$Q$9/100))</f>
        <v>7796.25</v>
      </c>
      <c r="R26" s="22">
        <f>IF('Data-Plot'!C26="","",('Data-Plot'!C26-'Data-Plot'!D26)*$P$9)</f>
        <v>-18.40063735274606</v>
      </c>
      <c r="S26" s="20">
        <v>18.400637352745999</v>
      </c>
      <c r="T26" s="20">
        <v>16.607158193169088</v>
      </c>
      <c r="U26" s="20">
        <v>1.78980957181744</v>
      </c>
      <c r="V26" s="20">
        <v>3.5249705690009818E-3</v>
      </c>
      <c r="W26" s="20">
        <v>1.4461719040688561E-4</v>
      </c>
      <c r="X26" s="20">
        <v>6.4659553170972649E-14</v>
      </c>
      <c r="AE26" s="22">
        <v>80</v>
      </c>
      <c r="AF26" s="22">
        <v>0</v>
      </c>
      <c r="AG26" s="22">
        <v>18.400637352745999</v>
      </c>
      <c r="AH26" s="22">
        <v>16.607158193169088</v>
      </c>
      <c r="AI26" s="22">
        <v>1.78980957181744</v>
      </c>
      <c r="AJ26" s="22">
        <v>3.5249705690009818E-3</v>
      </c>
      <c r="AK26" s="22">
        <v>1.4461719040688561E-4</v>
      </c>
      <c r="AL26" s="22">
        <v>6.4659553170972649E-14</v>
      </c>
      <c r="AT26" s="22">
        <v>80</v>
      </c>
      <c r="AU26" s="22">
        <v>27</v>
      </c>
      <c r="AV26" s="22">
        <v>33.924331564653443</v>
      </c>
      <c r="AW26" s="22">
        <v>30.138149094293318</v>
      </c>
      <c r="AX26" s="22">
        <v>3.778230022336083</v>
      </c>
      <c r="AY26" s="22">
        <v>7.6251547398029666E-3</v>
      </c>
      <c r="AZ26" s="22">
        <v>3.2729328412222215E-4</v>
      </c>
      <c r="BA26" s="22">
        <v>1.1683054456612639E-13</v>
      </c>
      <c r="BI26" s="22">
        <v>80</v>
      </c>
      <c r="BJ26" s="22">
        <v>4</v>
      </c>
      <c r="BK26" s="22">
        <v>51.037631969614601</v>
      </c>
      <c r="BL26" s="22">
        <v>44.308696920406796</v>
      </c>
      <c r="BM26" s="22">
        <v>6.7220294826343334</v>
      </c>
      <c r="BN26" s="22">
        <v>6.3416896742545768E-3</v>
      </c>
      <c r="BO26" s="22">
        <v>5.6387689898452868E-4</v>
      </c>
      <c r="BP26" s="22">
        <v>2.2970724681469691E-13</v>
      </c>
      <c r="BX26" s="22">
        <v>80</v>
      </c>
      <c r="BY26" s="22">
        <v>55</v>
      </c>
      <c r="BZ26" s="22">
        <v>71.504847263254149</v>
      </c>
      <c r="CA26" s="22">
        <v>62.149859477876298</v>
      </c>
      <c r="CB26" s="22">
        <v>9.345803350299617</v>
      </c>
      <c r="CC26" s="22">
        <v>8.3967760972283884E-3</v>
      </c>
      <c r="CD26" s="22">
        <v>7.8765898069753978E-4</v>
      </c>
      <c r="CE26" s="22">
        <v>3.0733294595925532E-13</v>
      </c>
      <c r="CM26" s="22">
        <v>80</v>
      </c>
      <c r="CN26" s="22">
        <v>46</v>
      </c>
      <c r="CO26" s="22">
        <v>119.34480784810754</v>
      </c>
      <c r="CP26" s="22">
        <v>102.69593483113829</v>
      </c>
      <c r="CQ26" s="22">
        <v>16.625698500119672</v>
      </c>
      <c r="CR26" s="22">
        <v>2.1271343815555524E-2</v>
      </c>
      <c r="CS26" s="22">
        <v>1.9031730334208735E-3</v>
      </c>
      <c r="CT26" s="22">
        <v>5.9903478860067665E-13</v>
      </c>
      <c r="DB26" s="22">
        <v>80</v>
      </c>
      <c r="DC26" s="22">
        <v>192</v>
      </c>
      <c r="DD26" s="22">
        <v>162.7883584810628</v>
      </c>
      <c r="DE26" s="22">
        <v>139.5063884605029</v>
      </c>
      <c r="DF26" s="22">
        <v>23.230318164705679</v>
      </c>
      <c r="DG26" s="22">
        <v>4.8345856734258646E-2</v>
      </c>
      <c r="DH26" s="22">
        <v>3.3059991190118464E-3</v>
      </c>
      <c r="DI26" s="22">
        <v>9.2372582805000935E-13</v>
      </c>
      <c r="DQ26" s="22">
        <v>80</v>
      </c>
      <c r="DR26" s="22">
        <v>289</v>
      </c>
      <c r="DS26" s="22">
        <v>205.31684784784429</v>
      </c>
      <c r="DT26" s="22">
        <v>171.91898125384634</v>
      </c>
      <c r="DU26" s="22">
        <v>29.335639231414671</v>
      </c>
      <c r="DV26" s="22">
        <v>5.6811418626544957E-2</v>
      </c>
      <c r="DW26" s="22">
        <v>5.4159439555770735E-3</v>
      </c>
      <c r="DX26" s="22">
        <v>1.1421793801903129E-12</v>
      </c>
      <c r="EF26" s="22">
        <v>80</v>
      </c>
      <c r="EG26" s="22">
        <v>339</v>
      </c>
      <c r="EH26" s="22">
        <v>225.71872636810383</v>
      </c>
      <c r="EI26" s="22">
        <v>192.97133129219205</v>
      </c>
      <c r="EJ26" s="22">
        <v>32.660315192592371</v>
      </c>
      <c r="EK26" s="22">
        <v>7.9354932506139619E-2</v>
      </c>
      <c r="EL26" s="22">
        <v>7.7249508121220289E-3</v>
      </c>
      <c r="EM26" s="22">
        <v>1.1280484817724386E-12</v>
      </c>
    </row>
    <row r="27" spans="1:143" x14ac:dyDescent="0.25">
      <c r="B27" s="24">
        <f>$B$11+($B$10-$B$11)*16/99</f>
        <v>59.266666666666666</v>
      </c>
      <c r="C27" s="22">
        <v>8431.7734792160409</v>
      </c>
      <c r="P27" s="22">
        <f>IF('Data-Plot'!C27="","",$Q$11+('Data-Plot'!C27-'Data-Plot'!D27)*$P$9)</f>
        <v>7767.0469598522641</v>
      </c>
      <c r="Q27" s="22">
        <f>IF('Data-Plot'!C27="","",MAX('Data-Plot'!$C$11:$C$1010)*(1+$Q$9/100))</f>
        <v>7796.25</v>
      </c>
      <c r="R27" s="22">
        <f>IF('Data-Plot'!C27="","",('Data-Plot'!C27-'Data-Plot'!D27)*$P$9)</f>
        <v>-29.203040147736093</v>
      </c>
      <c r="S27" s="20">
        <v>29.203040147736001</v>
      </c>
      <c r="T27" s="20">
        <v>26.351980175420412</v>
      </c>
      <c r="U27" s="20">
        <v>2.844831314631874</v>
      </c>
      <c r="V27" s="20">
        <v>5.9672323096113923E-3</v>
      </c>
      <c r="W27" s="20">
        <v>2.6142537390384519E-4</v>
      </c>
      <c r="X27" s="20">
        <v>1.9898892142311493E-13</v>
      </c>
      <c r="AE27" s="22">
        <v>85</v>
      </c>
      <c r="AF27" s="22">
        <v>0</v>
      </c>
      <c r="AG27" s="22">
        <v>29.203040147736001</v>
      </c>
      <c r="AH27" s="22">
        <v>26.351980175420412</v>
      </c>
      <c r="AI27" s="22">
        <v>2.844831314631874</v>
      </c>
      <c r="AJ27" s="22">
        <v>5.9672323096113923E-3</v>
      </c>
      <c r="AK27" s="22">
        <v>2.6142537390384519E-4</v>
      </c>
      <c r="AL27" s="22">
        <v>1.9898892142311493E-13</v>
      </c>
      <c r="AT27" s="22">
        <v>85</v>
      </c>
      <c r="AU27" s="22">
        <v>6</v>
      </c>
      <c r="AV27" s="22">
        <v>53.838587302908088</v>
      </c>
      <c r="AW27" s="22">
        <v>47.81973874075652</v>
      </c>
      <c r="AX27" s="22">
        <v>6.0053487014777938</v>
      </c>
      <c r="AY27" s="22">
        <v>1.2908210615532838E-2</v>
      </c>
      <c r="AZ27" s="22">
        <v>5.9165005788009198E-4</v>
      </c>
      <c r="BA27" s="22">
        <v>3.5954445882136267E-13</v>
      </c>
      <c r="BI27" s="22">
        <v>85</v>
      </c>
      <c r="BJ27" s="22">
        <v>53</v>
      </c>
      <c r="BK27" s="22">
        <v>81.008972344886715</v>
      </c>
      <c r="BL27" s="22">
        <v>70.312853205547512</v>
      </c>
      <c r="BM27" s="22">
        <v>10.684364307968393</v>
      </c>
      <c r="BN27" s="22">
        <v>1.0735507674239232E-2</v>
      </c>
      <c r="BO27" s="22">
        <v>1.0193236958616365E-3</v>
      </c>
      <c r="BP27" s="22">
        <v>7.069210200983805E-13</v>
      </c>
      <c r="BX27" s="22">
        <v>85</v>
      </c>
      <c r="BY27" s="22">
        <v>123</v>
      </c>
      <c r="BZ27" s="22">
        <v>113.48503618040296</v>
      </c>
      <c r="CA27" s="22">
        <v>98.614670722974182</v>
      </c>
      <c r="CB27" s="22">
        <v>14.854727147203208</v>
      </c>
      <c r="CC27" s="22">
        <v>1.4214454300074219E-2</v>
      </c>
      <c r="CD27" s="22">
        <v>1.4238559245366199E-3</v>
      </c>
      <c r="CE27" s="22">
        <v>9.4581308461121101E-13</v>
      </c>
      <c r="CM27" s="22">
        <v>85</v>
      </c>
      <c r="CN27" s="22">
        <v>110</v>
      </c>
      <c r="CO27" s="22">
        <v>189.40522917240256</v>
      </c>
      <c r="CP27" s="22">
        <v>162.94002833588851</v>
      </c>
      <c r="CQ27" s="22">
        <v>26.425751336162271</v>
      </c>
      <c r="CR27" s="22">
        <v>3.6009122899778929E-2</v>
      </c>
      <c r="CS27" s="22">
        <v>3.4403774501395256E-3</v>
      </c>
      <c r="CT27" s="22">
        <v>1.8435216550813539E-12</v>
      </c>
      <c r="DB27" s="22">
        <v>85</v>
      </c>
      <c r="DC27" s="22">
        <v>350</v>
      </c>
      <c r="DD27" s="22">
        <v>258.36207077174606</v>
      </c>
      <c r="DE27" s="22">
        <v>221.35081873490176</v>
      </c>
      <c r="DF27" s="22">
        <v>36.923433650626635</v>
      </c>
      <c r="DG27" s="22">
        <v>8.1842111536016476E-2</v>
      </c>
      <c r="DH27" s="22">
        <v>5.9762746788330611E-3</v>
      </c>
      <c r="DI27" s="22">
        <v>2.8427540432936583E-12</v>
      </c>
      <c r="DQ27" s="22">
        <v>85</v>
      </c>
      <c r="DR27" s="22">
        <v>418</v>
      </c>
      <c r="DS27" s="22">
        <v>323.527720642524</v>
      </c>
      <c r="DT27" s="22">
        <v>272.79434209589084</v>
      </c>
      <c r="DU27" s="22">
        <v>46.627415090942854</v>
      </c>
      <c r="DV27" s="22">
        <v>9.6173020931961936E-2</v>
      </c>
      <c r="DW27" s="22">
        <v>9.7904347547867771E-3</v>
      </c>
      <c r="DX27" s="22">
        <v>3.5150419665724612E-12</v>
      </c>
      <c r="EF27" s="22">
        <v>85</v>
      </c>
      <c r="EG27" s="22">
        <v>391</v>
      </c>
      <c r="EH27" s="22">
        <v>358.28458881379805</v>
      </c>
      <c r="EI27" s="22">
        <v>306.22450629378568</v>
      </c>
      <c r="EJ27" s="22">
        <v>51.911782353825892</v>
      </c>
      <c r="EK27" s="22">
        <v>0.13433572574675992</v>
      </c>
      <c r="EL27" s="22">
        <v>1.3964440436224513E-2</v>
      </c>
      <c r="EM27" s="22">
        <v>3.4715543132093572E-12</v>
      </c>
    </row>
    <row r="28" spans="1:143" x14ac:dyDescent="0.25">
      <c r="B28" s="24">
        <f>$B$11+($B$10-$B$11)*17/99</f>
        <v>61.733333333333334</v>
      </c>
      <c r="C28" s="22">
        <v>8782.2228405449623</v>
      </c>
      <c r="P28" s="22">
        <f>IF('Data-Plot'!C28="","",$Q$11+('Data-Plot'!C28-'Data-Plot'!D28)*$P$9)</f>
        <v>7797.518834326399</v>
      </c>
      <c r="Q28" s="22">
        <f>IF('Data-Plot'!C28="","",MAX('Data-Plot'!$C$11:$C$1010)*(1+$Q$9/100))</f>
        <v>7796.25</v>
      </c>
      <c r="R28" s="22">
        <f>IF('Data-Plot'!C28="","",('Data-Plot'!C28-'Data-Plot'!D28)*$P$9)</f>
        <v>1.2688343263991655</v>
      </c>
      <c r="S28" s="20">
        <v>45.731165673600685</v>
      </c>
      <c r="T28" s="20">
        <v>41.256416058210441</v>
      </c>
      <c r="U28" s="20">
        <v>4.464328451840295</v>
      </c>
      <c r="V28" s="20">
        <v>9.9562255231696786E-3</v>
      </c>
      <c r="W28" s="20">
        <v>4.6493802618500829E-4</v>
      </c>
      <c r="X28" s="20">
        <v>5.9372005767013467E-13</v>
      </c>
      <c r="AE28" s="22">
        <v>90</v>
      </c>
      <c r="AF28" s="22">
        <v>47</v>
      </c>
      <c r="AG28" s="22">
        <v>45.731165673600685</v>
      </c>
      <c r="AH28" s="22">
        <v>41.256416058210441</v>
      </c>
      <c r="AI28" s="22">
        <v>4.464328451840295</v>
      </c>
      <c r="AJ28" s="22">
        <v>9.9562255231696786E-3</v>
      </c>
      <c r="AK28" s="22">
        <v>4.6493802618500829E-4</v>
      </c>
      <c r="AL28" s="22">
        <v>5.9372005767013467E-13</v>
      </c>
      <c r="AT28" s="22">
        <v>90</v>
      </c>
      <c r="AU28" s="22">
        <v>96</v>
      </c>
      <c r="AV28" s="22">
        <v>84.305367246715775</v>
      </c>
      <c r="AW28" s="22">
        <v>74.858717229223799</v>
      </c>
      <c r="AX28" s="22">
        <v>9.4240606597777887</v>
      </c>
      <c r="AY28" s="22">
        <v>2.1537123932588144E-2</v>
      </c>
      <c r="AZ28" s="22">
        <v>1.0522337805280314E-3</v>
      </c>
      <c r="BA28" s="22">
        <v>1.0727670430078522E-12</v>
      </c>
      <c r="BI28" s="22">
        <v>90</v>
      </c>
      <c r="BJ28" s="22">
        <v>158</v>
      </c>
      <c r="BK28" s="22">
        <v>126.87859385327384</v>
      </c>
      <c r="BL28" s="22">
        <v>110.09222787954876</v>
      </c>
      <c r="BM28" s="22">
        <v>16.766641111645896</v>
      </c>
      <c r="BN28" s="22">
        <v>1.7912022185914981E-2</v>
      </c>
      <c r="BO28" s="22">
        <v>1.8128398911785523E-3</v>
      </c>
      <c r="BP28" s="22">
        <v>2.1092289250042959E-12</v>
      </c>
      <c r="BX28" s="22">
        <v>90</v>
      </c>
      <c r="BY28" s="22">
        <v>136</v>
      </c>
      <c r="BZ28" s="22">
        <v>177.71819479549245</v>
      </c>
      <c r="CA28" s="22">
        <v>154.38090376992773</v>
      </c>
      <c r="CB28" s="22">
        <v>23.311042145471671</v>
      </c>
      <c r="CC28" s="22">
        <v>2.3716590465236383E-2</v>
      </c>
      <c r="CD28" s="22">
        <v>2.5322896250042424E-3</v>
      </c>
      <c r="CE28" s="22">
        <v>2.8220073515876937E-12</v>
      </c>
      <c r="CM28" s="22">
        <v>90</v>
      </c>
      <c r="CN28" s="22">
        <v>238</v>
      </c>
      <c r="CO28" s="22">
        <v>296.59244864643546</v>
      </c>
      <c r="CP28" s="22">
        <v>255.05726374363806</v>
      </c>
      <c r="CQ28" s="22">
        <v>41.468985636681694</v>
      </c>
      <c r="CR28" s="22">
        <v>6.0080646976707126E-2</v>
      </c>
      <c r="CS28" s="22">
        <v>6.1186191334482868E-3</v>
      </c>
      <c r="CT28" s="22">
        <v>5.5004860348165108E-12</v>
      </c>
      <c r="DB28" s="22">
        <v>90</v>
      </c>
      <c r="DC28" s="22">
        <v>421</v>
      </c>
      <c r="DD28" s="22">
        <v>404.5957680190412</v>
      </c>
      <c r="DE28" s="22">
        <v>346.50607404081245</v>
      </c>
      <c r="DF28" s="22">
        <v>57.942513103475108</v>
      </c>
      <c r="DG28" s="22">
        <v>0.13655223033969896</v>
      </c>
      <c r="DH28" s="22">
        <v>1.0628644405474837E-2</v>
      </c>
      <c r="DI28" s="22">
        <v>8.4818797069486569E-12</v>
      </c>
      <c r="DQ28" s="22">
        <v>90</v>
      </c>
      <c r="DR28" s="22">
        <v>555</v>
      </c>
      <c r="DS28" s="22">
        <v>504.42270703373924</v>
      </c>
      <c r="DT28" s="22">
        <v>427.07453973649041</v>
      </c>
      <c r="DU28" s="22">
        <v>73.170292115453165</v>
      </c>
      <c r="DV28" s="22">
        <v>0.16046315591792923</v>
      </c>
      <c r="DW28" s="22">
        <v>1.7412025867282899E-2</v>
      </c>
      <c r="DX28" s="22">
        <v>1.0487774415686245E-11</v>
      </c>
      <c r="EF28" s="22">
        <v>90</v>
      </c>
      <c r="EG28" s="22">
        <v>626</v>
      </c>
      <c r="EH28" s="22">
        <v>561.1850296435565</v>
      </c>
      <c r="EI28" s="22">
        <v>479.47331047132178</v>
      </c>
      <c r="EJ28" s="22">
        <v>81.46274678856453</v>
      </c>
      <c r="EK28" s="22">
        <v>0.22413700061486483</v>
      </c>
      <c r="EL28" s="22">
        <v>2.4835383044973448E-2</v>
      </c>
      <c r="EM28" s="22">
        <v>1.0358021000882915E-11</v>
      </c>
    </row>
    <row r="29" spans="1:143" x14ac:dyDescent="0.25">
      <c r="B29" s="24">
        <f>$B$11+($B$10-$B$11)*18/99</f>
        <v>64.199999999999989</v>
      </c>
      <c r="C29" s="22">
        <v>9131.6193001290103</v>
      </c>
      <c r="P29" s="22">
        <f>IF('Data-Plot'!C29="","",$Q$11+('Data-Plot'!C29-'Data-Plot'!D29)*$P$9)</f>
        <v>7781.5746669746241</v>
      </c>
      <c r="Q29" s="22">
        <f>IF('Data-Plot'!C29="","",MAX('Data-Plot'!$C$11:$C$1010)*(1+$Q$9/100))</f>
        <v>7796.25</v>
      </c>
      <c r="R29" s="22">
        <f>IF('Data-Plot'!C29="","",('Data-Plot'!C29-'Data-Plot'!D29)*$P$9)</f>
        <v>-14.675333025376403</v>
      </c>
      <c r="S29" s="20">
        <v>70.675333025376176</v>
      </c>
      <c r="T29" s="20">
        <v>63.737798073599748</v>
      </c>
      <c r="U29" s="20">
        <v>6.920338516279446</v>
      </c>
      <c r="V29" s="20">
        <v>1.6382386778513766E-2</v>
      </c>
      <c r="W29" s="20">
        <v>8.1404871674322981E-4</v>
      </c>
      <c r="X29" s="20">
        <v>1.7196454238880518E-12</v>
      </c>
      <c r="AE29" s="22">
        <v>95</v>
      </c>
      <c r="AF29" s="22">
        <v>56</v>
      </c>
      <c r="AG29" s="22">
        <v>70.675333025376176</v>
      </c>
      <c r="AH29" s="22">
        <v>63.737798073599748</v>
      </c>
      <c r="AI29" s="22">
        <v>6.920338516279446</v>
      </c>
      <c r="AJ29" s="22">
        <v>1.6382386778513766E-2</v>
      </c>
      <c r="AK29" s="22">
        <v>8.1404871674322981E-4</v>
      </c>
      <c r="AL29" s="22">
        <v>1.7196454238880518E-12</v>
      </c>
      <c r="AT29" s="22">
        <v>95</v>
      </c>
      <c r="AU29" s="22">
        <v>131</v>
      </c>
      <c r="AV29" s="22">
        <v>130.27867760579784</v>
      </c>
      <c r="AW29" s="22">
        <v>115.63276278745708</v>
      </c>
      <c r="AX29" s="22">
        <v>14.608634425579162</v>
      </c>
      <c r="AY29" s="22">
        <v>3.5438062152602146E-2</v>
      </c>
      <c r="AZ29" s="22">
        <v>1.8423306059066902E-3</v>
      </c>
      <c r="BA29" s="22">
        <v>3.1071527946110109E-12</v>
      </c>
      <c r="BI29" s="22">
        <v>95</v>
      </c>
      <c r="BJ29" s="22">
        <v>171</v>
      </c>
      <c r="BK29" s="22">
        <v>196.13310470849666</v>
      </c>
      <c r="BL29" s="22">
        <v>170.11000866341374</v>
      </c>
      <c r="BM29" s="22">
        <v>25.990448774498976</v>
      </c>
      <c r="BN29" s="22">
        <v>2.9473213177752266E-2</v>
      </c>
      <c r="BO29" s="22">
        <v>3.1740574000605759E-3</v>
      </c>
      <c r="BP29" s="22">
        <v>6.1091516480838662E-12</v>
      </c>
      <c r="BX29" s="22">
        <v>95</v>
      </c>
      <c r="BY29" s="22">
        <v>226</v>
      </c>
      <c r="BZ29" s="22">
        <v>274.66191320158066</v>
      </c>
      <c r="CA29" s="22">
        <v>238.48339161941337</v>
      </c>
      <c r="CB29" s="22">
        <v>36.135063553100764</v>
      </c>
      <c r="CC29" s="22">
        <v>3.9024304566767254E-2</v>
      </c>
      <c r="CD29" s="22">
        <v>4.4337244915468501E-3</v>
      </c>
      <c r="CE29" s="22">
        <v>8.1736366586294696E-12</v>
      </c>
      <c r="CM29" s="22">
        <v>95</v>
      </c>
      <c r="CN29" s="22">
        <v>388</v>
      </c>
      <c r="CO29" s="22">
        <v>458.3378924337664</v>
      </c>
      <c r="CP29" s="22">
        <v>393.94636510904849</v>
      </c>
      <c r="CQ29" s="22">
        <v>64.281955087585942</v>
      </c>
      <c r="CR29" s="22">
        <v>9.8859295306779449E-2</v>
      </c>
      <c r="CS29" s="22">
        <v>1.0712941809285722E-2</v>
      </c>
      <c r="CT29" s="22">
        <v>1.59315581758357E-11</v>
      </c>
      <c r="DB29" s="22">
        <v>95</v>
      </c>
      <c r="DC29" s="22">
        <v>703</v>
      </c>
      <c r="DD29" s="22">
        <v>625.29204361477525</v>
      </c>
      <c r="DE29" s="22">
        <v>535.23109038072414</v>
      </c>
      <c r="DF29" s="22">
        <v>89.817654925221319</v>
      </c>
      <c r="DG29" s="22">
        <v>0.22468887320830241</v>
      </c>
      <c r="DH29" s="22">
        <v>1.8609435596964742E-2</v>
      </c>
      <c r="DI29" s="22">
        <v>2.4566839936755063E-11</v>
      </c>
      <c r="DQ29" s="22">
        <v>95</v>
      </c>
      <c r="DR29" s="22">
        <v>757</v>
      </c>
      <c r="DS29" s="22">
        <v>777.48879693665788</v>
      </c>
      <c r="DT29" s="22">
        <v>659.77252054526298</v>
      </c>
      <c r="DU29" s="22">
        <v>113.42175706652149</v>
      </c>
      <c r="DV29" s="22">
        <v>0.26403303138357997</v>
      </c>
      <c r="DW29" s="22">
        <v>3.048629345939342E-2</v>
      </c>
      <c r="DX29" s="22">
        <v>3.0376695292186217E-11</v>
      </c>
      <c r="EF29" s="22">
        <v>95</v>
      </c>
      <c r="EG29" s="22">
        <v>1003</v>
      </c>
      <c r="EH29" s="22">
        <v>867.55882087266275</v>
      </c>
      <c r="EI29" s="22">
        <v>740.87074015139456</v>
      </c>
      <c r="EJ29" s="22">
        <v>126.27579237517645</v>
      </c>
      <c r="EK29" s="22">
        <v>0.36880467695023472</v>
      </c>
      <c r="EL29" s="22">
        <v>4.348366911139178E-2</v>
      </c>
      <c r="EM29" s="22">
        <v>3.0000878671006201E-11</v>
      </c>
    </row>
    <row r="30" spans="1:143" x14ac:dyDescent="0.25">
      <c r="B30" s="24">
        <f>$B$11+($B$10-$B$11)*19/99</f>
        <v>66.666666666666671</v>
      </c>
      <c r="C30" s="22">
        <v>9479.966021341299</v>
      </c>
      <c r="P30" s="22">
        <f>IF('Data-Plot'!C30="","",$Q$11+('Data-Plot'!C30-'Data-Plot'!D30)*$P$9)</f>
        <v>7786.4550440834546</v>
      </c>
      <c r="Q30" s="22">
        <f>IF('Data-Plot'!C30="","",MAX('Data-Plot'!$C$11:$C$1010)*(1+$Q$9/100))</f>
        <v>7796.25</v>
      </c>
      <c r="R30" s="22">
        <f>IF('Data-Plot'!C30="","",('Data-Plot'!C30-'Data-Plot'!D30)*$P$9)</f>
        <v>-9.7949559165455469</v>
      </c>
      <c r="S30" s="20">
        <v>107.79495591654519</v>
      </c>
      <c r="T30" s="20">
        <v>97.165199443962535</v>
      </c>
      <c r="U30" s="20">
        <v>10.60175356302193</v>
      </c>
      <c r="V30" s="20">
        <v>2.6598846066228192E-2</v>
      </c>
      <c r="W30" s="20">
        <v>1.4040634896620055E-3</v>
      </c>
      <c r="X30" s="20">
        <v>4.8408189826136658E-12</v>
      </c>
      <c r="AE30" s="22">
        <v>100</v>
      </c>
      <c r="AF30" s="22">
        <v>98</v>
      </c>
      <c r="AG30" s="22">
        <v>107.79495591654519</v>
      </c>
      <c r="AH30" s="22">
        <v>97.165199443962535</v>
      </c>
      <c r="AI30" s="22">
        <v>10.60175356302193</v>
      </c>
      <c r="AJ30" s="22">
        <v>2.6598846066228192E-2</v>
      </c>
      <c r="AK30" s="22">
        <v>1.4040634896620055E-3</v>
      </c>
      <c r="AL30" s="22">
        <v>4.8408189826136658E-12</v>
      </c>
      <c r="AT30" s="22">
        <v>100</v>
      </c>
      <c r="AU30" s="22">
        <v>246</v>
      </c>
      <c r="AV30" s="22">
        <v>198.67547651926384</v>
      </c>
      <c r="AW30" s="22">
        <v>176.23473805268299</v>
      </c>
      <c r="AX30" s="22">
        <v>22.380022764442856</v>
      </c>
      <c r="AY30" s="22">
        <v>5.7538067831274735E-2</v>
      </c>
      <c r="AZ30" s="22">
        <v>3.17763429796149E-3</v>
      </c>
      <c r="BA30" s="22">
        <v>8.7466660400413206E-12</v>
      </c>
      <c r="BI30" s="22">
        <v>100</v>
      </c>
      <c r="BJ30" s="22">
        <v>294</v>
      </c>
      <c r="BK30" s="22">
        <v>299.2555214134016</v>
      </c>
      <c r="BL30" s="22">
        <v>259.38608860012943</v>
      </c>
      <c r="BM30" s="22">
        <v>39.816104720421968</v>
      </c>
      <c r="BN30" s="22">
        <v>4.7853508825519711E-2</v>
      </c>
      <c r="BO30" s="22">
        <v>5.474584007438936E-3</v>
      </c>
      <c r="BP30" s="22">
        <v>1.7197322689258732E-11</v>
      </c>
      <c r="BX30" s="22">
        <v>100</v>
      </c>
      <c r="BY30" s="22">
        <v>327</v>
      </c>
      <c r="BZ30" s="22">
        <v>418.93128053219874</v>
      </c>
      <c r="CA30" s="22">
        <v>363.50322391785522</v>
      </c>
      <c r="CB30" s="22">
        <v>55.357048436248398</v>
      </c>
      <c r="CC30" s="22">
        <v>6.3360932246667348E-2</v>
      </c>
      <c r="CD30" s="22">
        <v>7.647245825437317E-3</v>
      </c>
      <c r="CE30" s="22">
        <v>2.3008868540248721E-11</v>
      </c>
      <c r="CM30" s="22">
        <v>100</v>
      </c>
      <c r="CN30" s="22">
        <v>601</v>
      </c>
      <c r="CO30" s="22">
        <v>698.98240595880736</v>
      </c>
      <c r="CP30" s="22">
        <v>600.32730009886438</v>
      </c>
      <c r="CQ30" s="22">
        <v>98.476117619128487</v>
      </c>
      <c r="CR30" s="22">
        <v>0.16051066077777171</v>
      </c>
      <c r="CS30" s="22">
        <v>1.8477579992013656E-2</v>
      </c>
      <c r="CT30" s="22">
        <v>4.4847494820083332E-11</v>
      </c>
      <c r="DB30" s="22">
        <v>100</v>
      </c>
      <c r="DC30" s="22">
        <v>900</v>
      </c>
      <c r="DD30" s="22">
        <v>953.71076567765078</v>
      </c>
      <c r="DE30" s="22">
        <v>815.71919704676623</v>
      </c>
      <c r="DF30" s="22">
        <v>137.59466043621023</v>
      </c>
      <c r="DG30" s="22">
        <v>0.36481081749949246</v>
      </c>
      <c r="DH30" s="22">
        <v>3.2097377105789526E-2</v>
      </c>
      <c r="DI30" s="22">
        <v>6.9155898917692971E-11</v>
      </c>
      <c r="DQ30" s="22">
        <v>100</v>
      </c>
      <c r="DR30" s="22">
        <v>1128</v>
      </c>
      <c r="DS30" s="22">
        <v>1183.9743856104928</v>
      </c>
      <c r="DT30" s="22">
        <v>1005.7402668136438</v>
      </c>
      <c r="DU30" s="22">
        <v>173.75284502744083</v>
      </c>
      <c r="DV30" s="22">
        <v>0.42869130144535111</v>
      </c>
      <c r="DW30" s="22">
        <v>5.2582467877543032E-2</v>
      </c>
      <c r="DX30" s="22">
        <v>8.5510699564458557E-11</v>
      </c>
      <c r="EF30" s="22">
        <v>100</v>
      </c>
      <c r="EG30" s="22">
        <v>1383</v>
      </c>
      <c r="EH30" s="22">
        <v>1323.8318080979618</v>
      </c>
      <c r="EI30" s="22">
        <v>1129.7141950459538</v>
      </c>
      <c r="EJ30" s="22">
        <v>193.44381155898222</v>
      </c>
      <c r="EK30" s="22">
        <v>0.5988012763793048</v>
      </c>
      <c r="EL30" s="22">
        <v>7.5000216562061434E-2</v>
      </c>
      <c r="EM30" s="22">
        <v>8.4452772035609195E-11</v>
      </c>
    </row>
    <row r="31" spans="1:143" x14ac:dyDescent="0.25">
      <c r="B31" s="24">
        <f>$B$11+($B$10-$B$11)*20/99</f>
        <v>69.13333333333334</v>
      </c>
      <c r="C31" s="22">
        <v>9827.2661580507902</v>
      </c>
      <c r="P31" s="22">
        <f>IF('Data-Plot'!C31="","",$Q$11+('Data-Plot'!C31-'Data-Plot'!D31)*$P$9)</f>
        <v>7833.0306324423873</v>
      </c>
      <c r="Q31" s="22">
        <f>IF('Data-Plot'!C31="","",MAX('Data-Plot'!$C$11:$C$1010)*(1+$Q$9/100))</f>
        <v>7796.25</v>
      </c>
      <c r="R31" s="22">
        <f>IF('Data-Plot'!C31="","",('Data-Plot'!C31-'Data-Plot'!D31)*$P$9)</f>
        <v>36.780632442387486</v>
      </c>
      <c r="S31" s="20">
        <v>162.21936755761197</v>
      </c>
      <c r="T31" s="20">
        <v>146.11600123600496</v>
      </c>
      <c r="U31" s="20">
        <v>16.058342807639114</v>
      </c>
      <c r="V31" s="20">
        <v>4.2636457450237593E-2</v>
      </c>
      <c r="W31" s="20">
        <v>2.3870565043659251E-3</v>
      </c>
      <c r="X31" s="20">
        <v>1.3259052516874352E-11</v>
      </c>
      <c r="AE31" s="22">
        <v>105</v>
      </c>
      <c r="AF31" s="22">
        <v>199</v>
      </c>
      <c r="AG31" s="22">
        <v>162.21936755761197</v>
      </c>
      <c r="AH31" s="22">
        <v>146.11600123600496</v>
      </c>
      <c r="AI31" s="22">
        <v>16.058342807639114</v>
      </c>
      <c r="AJ31" s="22">
        <v>4.2636457450237593E-2</v>
      </c>
      <c r="AK31" s="22">
        <v>2.3870565043659251E-3</v>
      </c>
      <c r="AL31" s="22">
        <v>1.3259052516874352E-11</v>
      </c>
      <c r="AT31" s="22">
        <v>105</v>
      </c>
      <c r="AU31" s="22">
        <v>297</v>
      </c>
      <c r="AV31" s="22">
        <v>298.92084185412466</v>
      </c>
      <c r="AW31" s="22">
        <v>264.92440648852664</v>
      </c>
      <c r="AX31" s="22">
        <v>33.898802864541778</v>
      </c>
      <c r="AY31" s="22">
        <v>9.2230186543332662E-2</v>
      </c>
      <c r="AZ31" s="22">
        <v>5.4023144889595509E-3</v>
      </c>
      <c r="BA31" s="22">
        <v>2.3957207404159769E-11</v>
      </c>
      <c r="BI31" s="22">
        <v>105</v>
      </c>
      <c r="BJ31" s="22">
        <v>398</v>
      </c>
      <c r="BK31" s="22">
        <v>450.59475364819099</v>
      </c>
      <c r="BL31" s="22">
        <v>390.20092265722235</v>
      </c>
      <c r="BM31" s="22">
        <v>60.307816935900391</v>
      </c>
      <c r="BN31" s="22">
        <v>7.6706682995762762E-2</v>
      </c>
      <c r="BO31" s="22">
        <v>9.3073720253222213E-3</v>
      </c>
      <c r="BP31" s="22">
        <v>4.7103642070789238E-11</v>
      </c>
      <c r="BX31" s="22">
        <v>105</v>
      </c>
      <c r="BY31" s="22">
        <v>464</v>
      </c>
      <c r="BZ31" s="22">
        <v>630.47060973476084</v>
      </c>
      <c r="CA31" s="22">
        <v>546.50925993342753</v>
      </c>
      <c r="CB31" s="22">
        <v>83.846784367397817</v>
      </c>
      <c r="CC31" s="22">
        <v>0.10156430688137746</v>
      </c>
      <c r="CD31" s="22">
        <v>1.3001126991082355E-2</v>
      </c>
      <c r="CE31" s="22">
        <v>6.3021525370960804E-11</v>
      </c>
      <c r="CM31" s="22">
        <v>105</v>
      </c>
      <c r="CN31" s="22">
        <v>962</v>
      </c>
      <c r="CO31" s="22">
        <v>1051.6996049707943</v>
      </c>
      <c r="CP31" s="22">
        <v>902.25482114381987</v>
      </c>
      <c r="CQ31" s="22">
        <v>149.15607968777599</v>
      </c>
      <c r="CR31" s="22">
        <v>0.25729029851565371</v>
      </c>
      <c r="CS31" s="22">
        <v>3.1413840560018835E-2</v>
      </c>
      <c r="CT31" s="22">
        <v>1.2283774526695439E-10</v>
      </c>
      <c r="DB31" s="22">
        <v>105</v>
      </c>
      <c r="DC31" s="22">
        <v>1292</v>
      </c>
      <c r="DD31" s="22">
        <v>1435.2311728302764</v>
      </c>
      <c r="DE31" s="22">
        <v>1226.186598518608</v>
      </c>
      <c r="DF31" s="22">
        <v>208.40523297946226</v>
      </c>
      <c r="DG31" s="22">
        <v>0.58477239610745435</v>
      </c>
      <c r="DH31" s="22">
        <v>5.4568935909466931E-2</v>
      </c>
      <c r="DI31" s="22">
        <v>1.8941871177059943E-10</v>
      </c>
      <c r="DQ31" s="22">
        <v>105</v>
      </c>
      <c r="DR31" s="22">
        <v>1617</v>
      </c>
      <c r="DS31" s="22">
        <v>1780.2571318209405</v>
      </c>
      <c r="DT31" s="22">
        <v>1512.3129818446462</v>
      </c>
      <c r="DU31" s="22">
        <v>263.16758411216966</v>
      </c>
      <c r="DV31" s="22">
        <v>0.6871701083173728</v>
      </c>
      <c r="DW31" s="22">
        <v>8.9395755573259628E-2</v>
      </c>
      <c r="DX31" s="22">
        <v>2.3421467738247492E-10</v>
      </c>
      <c r="EF31" s="22">
        <v>105</v>
      </c>
      <c r="EG31" s="22">
        <v>2180</v>
      </c>
      <c r="EH31" s="22">
        <v>1993.6084030394595</v>
      </c>
      <c r="EI31" s="22">
        <v>1699.5301898719863</v>
      </c>
      <c r="EJ31" s="22">
        <v>292.99085762006615</v>
      </c>
      <c r="EK31" s="22">
        <v>0.95984725049694763</v>
      </c>
      <c r="EL31" s="22">
        <v>0.12750829667891034</v>
      </c>
      <c r="EM31" s="22">
        <v>2.3131700310164759E-10</v>
      </c>
    </row>
    <row r="32" spans="1:143" x14ac:dyDescent="0.25">
      <c r="B32" s="24">
        <f>$B$11+($B$10-$B$11)*21/99</f>
        <v>71.599999999999994</v>
      </c>
      <c r="C32" s="22">
        <v>10173.522854650844</v>
      </c>
      <c r="P32" s="22">
        <f>IF('Data-Plot'!C32="","",$Q$11+('Data-Plot'!C32-'Data-Plot'!D32)*$P$9)</f>
        <v>7747.5147368045937</v>
      </c>
      <c r="Q32" s="22">
        <f>IF('Data-Plot'!C32="","",MAX('Data-Plot'!$C$11:$C$1010)*(1+$Q$9/100))</f>
        <v>7796.25</v>
      </c>
      <c r="R32" s="22">
        <f>IF('Data-Plot'!C32="","",('Data-Plot'!C32-'Data-Plot'!D32)*$P$9)</f>
        <v>-48.735263195406191</v>
      </c>
      <c r="S32" s="20">
        <v>240.73526319540542</v>
      </c>
      <c r="T32" s="20">
        <v>216.60487459676386</v>
      </c>
      <c r="U32" s="20">
        <v>24.058879073485233</v>
      </c>
      <c r="V32" s="20">
        <v>6.7507098908910976E-2</v>
      </c>
      <c r="W32" s="20">
        <v>4.002426212012326E-3</v>
      </c>
      <c r="X32" s="20">
        <v>3.5374082955885735E-11</v>
      </c>
      <c r="AE32" s="22">
        <v>110</v>
      </c>
      <c r="AF32" s="22">
        <v>192</v>
      </c>
      <c r="AG32" s="22">
        <v>240.73526319540542</v>
      </c>
      <c r="AH32" s="22">
        <v>216.60487459676386</v>
      </c>
      <c r="AI32" s="22">
        <v>24.058879073485233</v>
      </c>
      <c r="AJ32" s="22">
        <v>6.7507098908910976E-2</v>
      </c>
      <c r="AK32" s="22">
        <v>4.002426212012326E-3</v>
      </c>
      <c r="AL32" s="22">
        <v>3.5374082955885735E-11</v>
      </c>
      <c r="AT32" s="22">
        <v>110</v>
      </c>
      <c r="AU32" s="22">
        <v>331</v>
      </c>
      <c r="AV32" s="22">
        <v>443.45901514612967</v>
      </c>
      <c r="AW32" s="22">
        <v>392.51602735258467</v>
      </c>
      <c r="AX32" s="22">
        <v>50.787900116900367</v>
      </c>
      <c r="AY32" s="22">
        <v>0.14602950612530113</v>
      </c>
      <c r="AZ32" s="22">
        <v>9.0581704554717531E-3</v>
      </c>
      <c r="BA32" s="22">
        <v>6.3915897536989783E-11</v>
      </c>
      <c r="BI32" s="22">
        <v>110</v>
      </c>
      <c r="BJ32" s="22">
        <v>618</v>
      </c>
      <c r="BK32" s="22">
        <v>669.23210437584555</v>
      </c>
      <c r="BL32" s="22">
        <v>578.74342494147504</v>
      </c>
      <c r="BM32" s="22">
        <v>90.351621962425895</v>
      </c>
      <c r="BN32" s="22">
        <v>0.1214516119984593</v>
      </c>
      <c r="BO32" s="22">
        <v>1.5605859820459785E-2</v>
      </c>
      <c r="BP32" s="22">
        <v>1.2566871878785217E-10</v>
      </c>
      <c r="BX32" s="22">
        <v>110</v>
      </c>
      <c r="BY32" s="22">
        <v>790</v>
      </c>
      <c r="BZ32" s="22">
        <v>935.6749922521517</v>
      </c>
      <c r="CA32" s="22">
        <v>809.87587440236484</v>
      </c>
      <c r="CB32" s="22">
        <v>125.61650920578275</v>
      </c>
      <c r="CC32" s="22">
        <v>0.16080938997998004</v>
      </c>
      <c r="CD32" s="22">
        <v>2.1799253855950933E-2</v>
      </c>
      <c r="CE32" s="22">
        <v>1.6813634787565939E-10</v>
      </c>
      <c r="CM32" s="22">
        <v>110</v>
      </c>
      <c r="CN32" s="22">
        <v>1237</v>
      </c>
      <c r="CO32" s="22">
        <v>1560.3084708076676</v>
      </c>
      <c r="CP32" s="22">
        <v>1336.390333426682</v>
      </c>
      <c r="CQ32" s="22">
        <v>223.45809081596062</v>
      </c>
      <c r="CR32" s="22">
        <v>0.40737434085307994</v>
      </c>
      <c r="CS32" s="22">
        <v>5.2672223844504547E-2</v>
      </c>
      <c r="CT32" s="22">
        <v>3.2772119920764571E-10</v>
      </c>
      <c r="DB32" s="22">
        <v>110</v>
      </c>
      <c r="DC32" s="22">
        <v>1975</v>
      </c>
      <c r="DD32" s="22">
        <v>2129.9054984956265</v>
      </c>
      <c r="DE32" s="22">
        <v>1816.6691941558729</v>
      </c>
      <c r="DF32" s="22">
        <v>312.21892360088282</v>
      </c>
      <c r="DG32" s="22">
        <v>0.92588389763233558</v>
      </c>
      <c r="DH32" s="22">
        <v>9.1496840733331378E-2</v>
      </c>
      <c r="DI32" s="22">
        <v>5.0535384900562582E-10</v>
      </c>
      <c r="DQ32" s="22">
        <v>110</v>
      </c>
      <c r="DR32" s="22">
        <v>2379</v>
      </c>
      <c r="DS32" s="22">
        <v>2641.1536061224183</v>
      </c>
      <c r="DT32" s="22">
        <v>2241.6644265821456</v>
      </c>
      <c r="DU32" s="22">
        <v>394.25127353928804</v>
      </c>
      <c r="DV32" s="22">
        <v>1.0880143289335864</v>
      </c>
      <c r="DW32" s="22">
        <v>0.14989167142582224</v>
      </c>
      <c r="DX32" s="22">
        <v>6.2486587308327359E-10</v>
      </c>
      <c r="EF32" s="22">
        <v>110</v>
      </c>
      <c r="EG32" s="22">
        <v>2920</v>
      </c>
      <c r="EH32" s="22">
        <v>2961.6151048196193</v>
      </c>
      <c r="EI32" s="22">
        <v>2520.953937257033</v>
      </c>
      <c r="EJ32" s="22">
        <v>438.92762168367113</v>
      </c>
      <c r="EK32" s="22">
        <v>1.519750144468019</v>
      </c>
      <c r="EL32" s="22">
        <v>0.21379573383011741</v>
      </c>
      <c r="EM32" s="22">
        <v>6.1713511175936801E-10</v>
      </c>
    </row>
    <row r="33" spans="2:143" x14ac:dyDescent="0.25">
      <c r="B33" s="24">
        <f>$B$11+($B$10-$B$11)*22/99</f>
        <v>74.066666666666663</v>
      </c>
      <c r="C33" s="22">
        <v>10518.739246087729</v>
      </c>
      <c r="P33" s="22">
        <f>IF('Data-Plot'!C33="","",$Q$11+('Data-Plot'!C33-'Data-Plot'!D33)*$P$9)</f>
        <v>7770.2973672254975</v>
      </c>
      <c r="Q33" s="22">
        <f>IF('Data-Plot'!C33="","",MAX('Data-Plot'!$C$11:$C$1010)*(1+$Q$9/100))</f>
        <v>7796.25</v>
      </c>
      <c r="R33" s="22">
        <f>IF('Data-Plot'!C33="","",('Data-Plot'!C33-'Data-Plot'!D33)*$P$9)</f>
        <v>-25.952632774502888</v>
      </c>
      <c r="S33" s="20">
        <v>351.95263277450204</v>
      </c>
      <c r="T33" s="20">
        <v>316.17348694266622</v>
      </c>
      <c r="U33" s="20">
        <v>35.66689698230855</v>
      </c>
      <c r="V33" s="20">
        <v>0.10562666769624111</v>
      </c>
      <c r="W33" s="20">
        <v>6.6221817389566532E-3</v>
      </c>
      <c r="X33" s="20">
        <v>9.2019167813463489E-11</v>
      </c>
      <c r="AE33" s="22">
        <v>115</v>
      </c>
      <c r="AF33" s="22">
        <v>326</v>
      </c>
      <c r="AG33" s="22">
        <v>351.95263277450204</v>
      </c>
      <c r="AH33" s="22">
        <v>316.17348694266622</v>
      </c>
      <c r="AI33" s="22">
        <v>35.66689698230855</v>
      </c>
      <c r="AJ33" s="22">
        <v>0.10562666769624111</v>
      </c>
      <c r="AK33" s="22">
        <v>6.6221817389566532E-3</v>
      </c>
      <c r="AL33" s="22">
        <v>9.2019167813463489E-11</v>
      </c>
      <c r="AT33" s="22">
        <v>115</v>
      </c>
      <c r="AU33" s="22">
        <v>505</v>
      </c>
      <c r="AV33" s="22">
        <v>648.02358997305112</v>
      </c>
      <c r="AW33" s="22">
        <v>572.48756080515625</v>
      </c>
      <c r="AX33" s="22">
        <v>75.29255399730468</v>
      </c>
      <c r="AY33" s="22">
        <v>0.22848804863948416</v>
      </c>
      <c r="AZ33" s="22">
        <v>1.4987121784451883E-2</v>
      </c>
      <c r="BA33" s="22">
        <v>1.6626544661918373E-10</v>
      </c>
      <c r="BI33" s="22">
        <v>115</v>
      </c>
      <c r="BJ33" s="22">
        <v>909</v>
      </c>
      <c r="BK33" s="22">
        <v>979.57024668061035</v>
      </c>
      <c r="BL33" s="22">
        <v>845.41524175679808</v>
      </c>
      <c r="BM33" s="22">
        <v>133.93915087513622</v>
      </c>
      <c r="BN33" s="22">
        <v>0.190033500555262</v>
      </c>
      <c r="BO33" s="22">
        <v>2.582054779394435E-2</v>
      </c>
      <c r="BP33" s="22">
        <v>3.2690404829613318E-10</v>
      </c>
      <c r="BX33" s="22">
        <v>115</v>
      </c>
      <c r="BY33" s="22">
        <v>1219</v>
      </c>
      <c r="BZ33" s="22">
        <v>1368.0414128099919</v>
      </c>
      <c r="CA33" s="22">
        <v>1181.538465793577</v>
      </c>
      <c r="CB33" s="22">
        <v>186.21526302213346</v>
      </c>
      <c r="CC33" s="22">
        <v>0.25161621652365812</v>
      </c>
      <c r="CD33" s="22">
        <v>3.6067777320252507E-2</v>
      </c>
      <c r="CE33" s="22">
        <v>4.3737577112621397E-10</v>
      </c>
      <c r="CM33" s="22">
        <v>115</v>
      </c>
      <c r="CN33" s="22">
        <v>1943</v>
      </c>
      <c r="CO33" s="22">
        <v>2280.2642562484775</v>
      </c>
      <c r="CP33" s="22">
        <v>1948.2889119683748</v>
      </c>
      <c r="CQ33" s="22">
        <v>331.25078299984386</v>
      </c>
      <c r="CR33" s="22">
        <v>0.63741288482478409</v>
      </c>
      <c r="CS33" s="22">
        <v>8.714839458149122E-2</v>
      </c>
      <c r="CT33" s="22">
        <v>8.5250639750931572E-10</v>
      </c>
      <c r="DB33" s="22">
        <v>115</v>
      </c>
      <c r="DC33" s="22">
        <v>2838</v>
      </c>
      <c r="DD33" s="22">
        <v>3113.9778300327289</v>
      </c>
      <c r="DE33" s="22">
        <v>2649.5564534683849</v>
      </c>
      <c r="DF33" s="22">
        <v>462.82127685619452</v>
      </c>
      <c r="DG33" s="22">
        <v>1.4487143653862629</v>
      </c>
      <c r="DH33" s="22">
        <v>0.15138534144841223</v>
      </c>
      <c r="DI33" s="22">
        <v>1.3145850507225898E-9</v>
      </c>
      <c r="DQ33" s="22">
        <v>115</v>
      </c>
      <c r="DR33" s="22">
        <v>3583</v>
      </c>
      <c r="DS33" s="22">
        <v>3862.0864714908994</v>
      </c>
      <c r="DT33" s="22">
        <v>3271.733028620733</v>
      </c>
      <c r="DU33" s="22">
        <v>584.40303959066705</v>
      </c>
      <c r="DV33" s="22">
        <v>1.7024012620601592</v>
      </c>
      <c r="DW33" s="22">
        <v>0.24800201581317902</v>
      </c>
      <c r="DX33" s="22">
        <v>1.6254735905906717E-9</v>
      </c>
      <c r="EF33" s="22">
        <v>115</v>
      </c>
      <c r="EG33" s="22">
        <v>4200</v>
      </c>
      <c r="EH33" s="22">
        <v>4336.5787093850558</v>
      </c>
      <c r="EI33" s="22">
        <v>3683.2239283657536</v>
      </c>
      <c r="EJ33" s="22">
        <v>650.62311712252915</v>
      </c>
      <c r="EK33" s="22">
        <v>2.377929962269822</v>
      </c>
      <c r="EL33" s="22">
        <v>0.35373393289751642</v>
      </c>
      <c r="EM33" s="22">
        <v>1.605363437502685E-9</v>
      </c>
    </row>
    <row r="34" spans="2:143" x14ac:dyDescent="0.25">
      <c r="B34" s="24">
        <f>$B$11+($B$10-$B$11)*23/99</f>
        <v>76.533333333333331</v>
      </c>
      <c r="C34" s="22">
        <v>10862.918457888956</v>
      </c>
      <c r="P34" s="22">
        <f>IF('Data-Plot'!C34="","",$Q$11+('Data-Plot'!C34-'Data-Plot'!D34)*$P$9)</f>
        <v>7797.1083561319119</v>
      </c>
      <c r="Q34" s="22">
        <f>IF('Data-Plot'!C34="","",MAX('Data-Plot'!$C$11:$C$1010)*(1+$Q$9/100))</f>
        <v>7796.25</v>
      </c>
      <c r="R34" s="22">
        <f>IF('Data-Plot'!C34="","",('Data-Plot'!C34-'Data-Plot'!D34)*$P$9)</f>
        <v>0.85835613191176208</v>
      </c>
      <c r="S34" s="20">
        <v>506.14164386808682</v>
      </c>
      <c r="T34" s="20">
        <v>453.62939946206905</v>
      </c>
      <c r="U34" s="20">
        <v>52.338028555943204</v>
      </c>
      <c r="V34" s="20">
        <v>0.16339860664926395</v>
      </c>
      <c r="W34" s="20">
        <v>1.0817243191678051E-2</v>
      </c>
      <c r="X34" s="20">
        <v>2.336203839412594E-10</v>
      </c>
      <c r="AE34" s="22">
        <v>120</v>
      </c>
      <c r="AF34" s="22">
        <v>507</v>
      </c>
      <c r="AG34" s="22">
        <v>506.14164386808682</v>
      </c>
      <c r="AH34" s="22">
        <v>453.62939946206905</v>
      </c>
      <c r="AI34" s="22">
        <v>52.338028555943204</v>
      </c>
      <c r="AJ34" s="22">
        <v>0.16339860664926395</v>
      </c>
      <c r="AK34" s="22">
        <v>1.0817243191678051E-2</v>
      </c>
      <c r="AL34" s="22">
        <v>2.336203839412594E-10</v>
      </c>
      <c r="AT34" s="22">
        <v>120</v>
      </c>
      <c r="AU34" s="22">
        <v>855</v>
      </c>
      <c r="AV34" s="22">
        <v>931.27411806429234</v>
      </c>
      <c r="AW34" s="22">
        <v>820.41030322060851</v>
      </c>
      <c r="AX34" s="22">
        <v>110.48587682276461</v>
      </c>
      <c r="AY34" s="22">
        <v>0.35345676356184952</v>
      </c>
      <c r="AZ34" s="22">
        <v>2.4481256935257028E-2</v>
      </c>
      <c r="BA34" s="22">
        <v>4.22118547671276E-10</v>
      </c>
      <c r="BI34" s="22">
        <v>120</v>
      </c>
      <c r="BJ34" s="22">
        <v>1328</v>
      </c>
      <c r="BK34" s="22">
        <v>1411.1012914701389</v>
      </c>
      <c r="BL34" s="22">
        <v>1214.2334801993006</v>
      </c>
      <c r="BM34" s="22">
        <v>196.5316595616041</v>
      </c>
      <c r="BN34" s="22">
        <v>0.29397419890884513</v>
      </c>
      <c r="BO34" s="22">
        <v>4.2177509495397475E-2</v>
      </c>
      <c r="BP34" s="22">
        <v>8.2995153172554684E-10</v>
      </c>
      <c r="BX34" s="22">
        <v>120</v>
      </c>
      <c r="BY34" s="22">
        <v>1686</v>
      </c>
      <c r="BZ34" s="22">
        <v>1967.5397356536103</v>
      </c>
      <c r="CA34" s="22">
        <v>1693.8569234696465</v>
      </c>
      <c r="CB34" s="22">
        <v>273.2346553043364</v>
      </c>
      <c r="CC34" s="22">
        <v>0.38924066046237438</v>
      </c>
      <c r="CD34" s="22">
        <v>5.8916218054421245E-2</v>
      </c>
      <c r="CE34" s="22">
        <v>1.1104196876051234E-9</v>
      </c>
      <c r="CM34" s="22">
        <v>120</v>
      </c>
      <c r="CN34" s="22">
        <v>2915</v>
      </c>
      <c r="CO34" s="22">
        <v>3277.4891731008811</v>
      </c>
      <c r="CP34" s="22">
        <v>2790.3274588612949</v>
      </c>
      <c r="CQ34" s="22">
        <v>486.03330539257615</v>
      </c>
      <c r="CR34" s="22">
        <v>0.98605314910557551</v>
      </c>
      <c r="CS34" s="22">
        <v>0.14235569574053536</v>
      </c>
      <c r="CT34" s="22">
        <v>2.1643628890693403E-9</v>
      </c>
      <c r="DB34" s="22">
        <v>120</v>
      </c>
      <c r="DC34" s="22">
        <v>4022</v>
      </c>
      <c r="DD34" s="22">
        <v>4478.6250367872617</v>
      </c>
      <c r="DE34" s="22">
        <v>3797.0698475636946</v>
      </c>
      <c r="DF34" s="22">
        <v>679.06680559972745</v>
      </c>
      <c r="DG34" s="22">
        <v>2.2410977711505473</v>
      </c>
      <c r="DH34" s="22">
        <v>0.24728584935094133</v>
      </c>
      <c r="DI34" s="22">
        <v>3.3374988230257984E-9</v>
      </c>
      <c r="DQ34" s="22">
        <v>120</v>
      </c>
      <c r="DR34" s="22">
        <v>5105</v>
      </c>
      <c r="DS34" s="22">
        <v>5558.042823140936</v>
      </c>
      <c r="DT34" s="22">
        <v>4693.5914221448593</v>
      </c>
      <c r="DU34" s="22">
        <v>857.41274266540768</v>
      </c>
      <c r="DV34" s="22">
        <v>2.6335505105259824</v>
      </c>
      <c r="DW34" s="22">
        <v>0.40510781601577517</v>
      </c>
      <c r="DX34" s="22">
        <v>4.1267898128568504E-9</v>
      </c>
      <c r="EF34" s="22">
        <v>120</v>
      </c>
      <c r="EG34" s="22">
        <v>6008</v>
      </c>
      <c r="EH34" s="22">
        <v>6250.8737275063086</v>
      </c>
      <c r="EI34" s="22">
        <v>5292.0581742321092</v>
      </c>
      <c r="EJ34" s="22">
        <v>954.55917192797415</v>
      </c>
      <c r="EK34" s="22">
        <v>3.6785619669831315</v>
      </c>
      <c r="EL34" s="22">
        <v>0.57781937516657988</v>
      </c>
      <c r="EM34" s="22">
        <v>4.0757336927335284E-9</v>
      </c>
    </row>
    <row r="35" spans="2:143" x14ac:dyDescent="0.25">
      <c r="B35" s="24">
        <f>$B$11+($B$10-$B$11)*24/99</f>
        <v>79</v>
      </c>
      <c r="C35" s="22">
        <v>11206.063606191592</v>
      </c>
      <c r="P35" s="22">
        <f>IF('Data-Plot'!C35="","",$Q$11+('Data-Plot'!C35-'Data-Plot'!D35)*$P$9)</f>
        <v>7788.855383590485</v>
      </c>
      <c r="Q35" s="22">
        <f>IF('Data-Plot'!C35="","",MAX('Data-Plot'!$C$11:$C$1010)*(1+$Q$9/100))</f>
        <v>7796.25</v>
      </c>
      <c r="R35" s="22">
        <f>IF('Data-Plot'!C35="","",('Data-Plot'!C35-'Data-Plot'!D35)*$P$9)</f>
        <v>-7.3946164095148106</v>
      </c>
      <c r="S35" s="20">
        <v>714.39461640951311</v>
      </c>
      <c r="T35" s="20">
        <v>638.0841399344381</v>
      </c>
      <c r="U35" s="20">
        <v>76.043012688923824</v>
      </c>
      <c r="V35" s="20">
        <v>0.25001041367752203</v>
      </c>
      <c r="W35" s="20">
        <v>1.7453371894338942E-2</v>
      </c>
      <c r="X35" s="20">
        <v>5.7940248231004814E-10</v>
      </c>
      <c r="AE35" s="22">
        <v>125</v>
      </c>
      <c r="AF35" s="22">
        <v>707</v>
      </c>
      <c r="AG35" s="22">
        <v>714.39461640951311</v>
      </c>
      <c r="AH35" s="22">
        <v>638.0841399344381</v>
      </c>
      <c r="AI35" s="22">
        <v>76.043012688923824</v>
      </c>
      <c r="AJ35" s="22">
        <v>0.25001041367752203</v>
      </c>
      <c r="AK35" s="22">
        <v>1.7453371894338942E-2</v>
      </c>
      <c r="AL35" s="22">
        <v>5.7940248231004814E-10</v>
      </c>
      <c r="AT35" s="22">
        <v>125</v>
      </c>
      <c r="AU35" s="22">
        <v>1207</v>
      </c>
      <c r="AV35" s="22">
        <v>1313.1528726893184</v>
      </c>
      <c r="AW35" s="22">
        <v>1152.043871051377</v>
      </c>
      <c r="AX35" s="22">
        <v>160.52869379504301</v>
      </c>
      <c r="AY35" s="22">
        <v>0.54080790291389502</v>
      </c>
      <c r="AZ35" s="22">
        <v>3.9499938937814658E-2</v>
      </c>
      <c r="BA35" s="22">
        <v>1.0468972365499757E-9</v>
      </c>
      <c r="BI35" s="22">
        <v>125</v>
      </c>
      <c r="BJ35" s="22">
        <v>1933</v>
      </c>
      <c r="BK35" s="22">
        <v>1996.4147756689338</v>
      </c>
      <c r="BL35" s="22">
        <v>1710.377930979304</v>
      </c>
      <c r="BM35" s="22">
        <v>285.5189859468274</v>
      </c>
      <c r="BN35" s="22">
        <v>0.44980630853734133</v>
      </c>
      <c r="BO35" s="22">
        <v>6.805243220678607E-2</v>
      </c>
      <c r="BP35" s="22">
        <v>2.0583648120350219E-9</v>
      </c>
      <c r="BX35" s="22">
        <v>125</v>
      </c>
      <c r="BY35" s="22">
        <v>2515</v>
      </c>
      <c r="BZ35" s="22">
        <v>2777.3473839735711</v>
      </c>
      <c r="CA35" s="22">
        <v>2379.7104836829471</v>
      </c>
      <c r="CB35" s="22">
        <v>396.94626687817203</v>
      </c>
      <c r="CC35" s="22">
        <v>0.59557345952882212</v>
      </c>
      <c r="CD35" s="22">
        <v>9.5059950169162924E-2</v>
      </c>
      <c r="CE35" s="22">
        <v>2.753954567449539E-9</v>
      </c>
      <c r="CM35" s="22">
        <v>125</v>
      </c>
      <c r="CN35" s="22">
        <v>4190</v>
      </c>
      <c r="CO35" s="22">
        <v>4622.8754239233804</v>
      </c>
      <c r="CP35" s="22">
        <v>3915.0709158296108</v>
      </c>
      <c r="CQ35" s="22">
        <v>706.06607034886326</v>
      </c>
      <c r="CR35" s="22">
        <v>1.5087501496732316</v>
      </c>
      <c r="CS35" s="22">
        <v>0.22968758986587121</v>
      </c>
      <c r="CT35" s="22">
        <v>5.367841664286437E-9</v>
      </c>
      <c r="DB35" s="22">
        <v>125</v>
      </c>
      <c r="DC35" s="22">
        <v>5962</v>
      </c>
      <c r="DD35" s="22">
        <v>6323.1108416065344</v>
      </c>
      <c r="DE35" s="22">
        <v>5332.8277037468788</v>
      </c>
      <c r="DF35" s="22">
        <v>986.45508404269958</v>
      </c>
      <c r="DG35" s="22">
        <v>3.4290638919966967</v>
      </c>
      <c r="DH35" s="22">
        <v>0.39898991668239614</v>
      </c>
      <c r="DI35" s="22">
        <v>8.2773389468196791E-9</v>
      </c>
      <c r="DQ35" s="22">
        <v>125</v>
      </c>
      <c r="DR35" s="22">
        <v>7390</v>
      </c>
      <c r="DS35" s="22">
        <v>7855.9471371234758</v>
      </c>
      <c r="DT35" s="22">
        <v>6601.8232356437766</v>
      </c>
      <c r="DU35" s="22">
        <v>1245.4406967179398</v>
      </c>
      <c r="DV35" s="22">
        <v>4.0295728644606692</v>
      </c>
      <c r="DW35" s="22">
        <v>0.65363188706428133</v>
      </c>
      <c r="DX35" s="22">
        <v>1.0234861450027464E-8</v>
      </c>
      <c r="EF35" s="22">
        <v>125</v>
      </c>
      <c r="EG35" s="22">
        <v>8499</v>
      </c>
      <c r="EH35" s="22">
        <v>8853.3415782827014</v>
      </c>
      <c r="EI35" s="22">
        <v>7460.2484721828005</v>
      </c>
      <c r="EJ35" s="22">
        <v>1386.5322864450313</v>
      </c>
      <c r="EK35" s="22">
        <v>5.6285218568769562</v>
      </c>
      <c r="EL35" s="22">
        <v>0.93229778788328299</v>
      </c>
      <c r="EM35" s="22">
        <v>1.0108237042355996E-8</v>
      </c>
    </row>
    <row r="36" spans="2:143" x14ac:dyDescent="0.25">
      <c r="B36" s="24">
        <f>$B$11+($B$10-$B$11)*25/99</f>
        <v>81.466666666666669</v>
      </c>
      <c r="C36" s="22">
        <v>11548.177797770502</v>
      </c>
      <c r="P36" s="22">
        <f>IF('Data-Plot'!C36="","",$Q$11+('Data-Plot'!C36-'Data-Plot'!D36)*$P$9)</f>
        <v>7762.6188258180655</v>
      </c>
      <c r="Q36" s="22">
        <f>IF('Data-Plot'!C36="","",MAX('Data-Plot'!$C$11:$C$1010)*(1+$Q$9/100))</f>
        <v>7796.25</v>
      </c>
      <c r="R36" s="22">
        <f>IF('Data-Plot'!C36="","",('Data-Plot'!C36-'Data-Plot'!D36)*$P$9)</f>
        <v>-33.631174181934284</v>
      </c>
      <c r="S36" s="20">
        <v>986.6311741819319</v>
      </c>
      <c r="T36" s="20">
        <v>876.80478460500399</v>
      </c>
      <c r="U36" s="20">
        <v>109.42005145383132</v>
      </c>
      <c r="V36" s="20">
        <v>0.37850970866083927</v>
      </c>
      <c r="W36" s="20">
        <v>2.7828413030710295E-2</v>
      </c>
      <c r="X36" s="20">
        <v>1.4049642825811581E-9</v>
      </c>
      <c r="AE36" s="22">
        <v>130</v>
      </c>
      <c r="AF36" s="22">
        <v>953</v>
      </c>
      <c r="AG36" s="22">
        <v>986.6311741819319</v>
      </c>
      <c r="AH36" s="22">
        <v>876.80478460500399</v>
      </c>
      <c r="AI36" s="22">
        <v>109.42005145383132</v>
      </c>
      <c r="AJ36" s="22">
        <v>0.37850970866083927</v>
      </c>
      <c r="AK36" s="22">
        <v>2.7828413030710295E-2</v>
      </c>
      <c r="AL36" s="22">
        <v>1.4049642825811581E-9</v>
      </c>
      <c r="AT36" s="22">
        <v>130</v>
      </c>
      <c r="AU36" s="22">
        <v>1793</v>
      </c>
      <c r="AV36" s="22">
        <v>1811.0809622419822</v>
      </c>
      <c r="AW36" s="22">
        <v>1579.2077267568559</v>
      </c>
      <c r="AX36" s="22">
        <v>230.99149366630866</v>
      </c>
      <c r="AY36" s="22">
        <v>0.81876140923293184</v>
      </c>
      <c r="AZ36" s="22">
        <v>6.2980407045997458E-2</v>
      </c>
      <c r="BA36" s="22">
        <v>2.5385690772697492E-9</v>
      </c>
      <c r="BI36" s="22">
        <v>130</v>
      </c>
      <c r="BJ36" s="22">
        <v>2764</v>
      </c>
      <c r="BK36" s="22">
        <v>2766.058426205057</v>
      </c>
      <c r="BL36" s="22">
        <v>2354.4830128675658</v>
      </c>
      <c r="BM36" s="22">
        <v>410.78589605513105</v>
      </c>
      <c r="BN36" s="22">
        <v>0.6810115400732224</v>
      </c>
      <c r="BO36" s="22">
        <v>0.10850573729566422</v>
      </c>
      <c r="BP36" s="22">
        <v>4.9912265303058256E-9</v>
      </c>
      <c r="BX36" s="22">
        <v>130</v>
      </c>
      <c r="BY36" s="22">
        <v>3493</v>
      </c>
      <c r="BZ36" s="22">
        <v>3836.0439383634744</v>
      </c>
      <c r="CA36" s="22">
        <v>3263.9029582588787</v>
      </c>
      <c r="CB36" s="22">
        <v>571.08770529346009</v>
      </c>
      <c r="CC36" s="22">
        <v>0.90170711302711004</v>
      </c>
      <c r="CD36" s="22">
        <v>0.15156769143045168</v>
      </c>
      <c r="CE36" s="22">
        <v>6.677927556836414E-9</v>
      </c>
      <c r="CM36" s="22">
        <v>130</v>
      </c>
      <c r="CN36" s="22">
        <v>6141</v>
      </c>
      <c r="CO36" s="22">
        <v>6379.5980497459441</v>
      </c>
      <c r="CP36" s="22">
        <v>5361.184561077238</v>
      </c>
      <c r="CQ36" s="22">
        <v>1015.7629956995346</v>
      </c>
      <c r="CR36" s="22">
        <v>2.2842691923516205</v>
      </c>
      <c r="CS36" s="22">
        <v>0.36622376380490484</v>
      </c>
      <c r="CT36" s="22">
        <v>1.3016212465650649E-8</v>
      </c>
      <c r="DB36" s="22">
        <v>130</v>
      </c>
      <c r="DC36" s="22">
        <v>8361</v>
      </c>
      <c r="DD36" s="22">
        <v>8738.6817054947442</v>
      </c>
      <c r="DE36" s="22">
        <v>7313.7853001299045</v>
      </c>
      <c r="DF36" s="22">
        <v>1419.0686277404823</v>
      </c>
      <c r="DG36" s="22">
        <v>5.1916109990214032</v>
      </c>
      <c r="DH36" s="22">
        <v>0.63616660526493385</v>
      </c>
      <c r="DI36" s="22">
        <v>2.0071307821694238E-8</v>
      </c>
      <c r="DQ36" s="22">
        <v>130</v>
      </c>
      <c r="DR36" s="22">
        <v>10286</v>
      </c>
      <c r="DS36" s="22">
        <v>10875.929775624931</v>
      </c>
      <c r="DT36" s="22">
        <v>9073.3423606503475</v>
      </c>
      <c r="DU36" s="22">
        <v>1791.4443981429151</v>
      </c>
      <c r="DV36" s="22">
        <v>6.1008383218035824</v>
      </c>
      <c r="DW36" s="22">
        <v>1.0421784850464966</v>
      </c>
      <c r="DX36" s="22">
        <v>2.481800684926919E-8</v>
      </c>
      <c r="EF36" s="22">
        <v>130</v>
      </c>
      <c r="EG36" s="22">
        <v>12010</v>
      </c>
      <c r="EH36" s="22">
        <v>12290.338912651803</v>
      </c>
      <c r="EI36" s="22">
        <v>10285.979688162448</v>
      </c>
      <c r="EJ36" s="22">
        <v>1994.3510888717688</v>
      </c>
      <c r="EK36" s="22">
        <v>8.521640643687272</v>
      </c>
      <c r="EL36" s="22">
        <v>1.4864949493887265</v>
      </c>
      <c r="EM36" s="22">
        <v>2.4510961616443075E-8</v>
      </c>
    </row>
    <row r="37" spans="2:143" x14ac:dyDescent="0.25">
      <c r="B37" s="24">
        <f>$B$11+($B$10-$B$11)*26/99</f>
        <v>83.933333333333323</v>
      </c>
      <c r="C37" s="22">
        <v>11889.264130066429</v>
      </c>
      <c r="P37" s="22">
        <f>IF('Data-Plot'!C37="","",$Q$11+('Data-Plot'!C37-'Data-Plot'!D37)*$P$9)</f>
        <v>7817.2822967810962</v>
      </c>
      <c r="Q37" s="22">
        <f>IF('Data-Plot'!C37="","",MAX('Data-Plot'!$C$11:$C$1010)*(1+$Q$9/100))</f>
        <v>7796.25</v>
      </c>
      <c r="R37" s="22">
        <f>IF('Data-Plot'!C37="","",('Data-Plot'!C37-'Data-Plot'!D37)*$P$9)</f>
        <v>21.03229678109642</v>
      </c>
      <c r="S37" s="20">
        <v>1327.9677032189004</v>
      </c>
      <c r="T37" s="20">
        <v>1171.3979311063611</v>
      </c>
      <c r="U37" s="20">
        <v>155.9586623056193</v>
      </c>
      <c r="V37" s="20">
        <v>0.56724328224726595</v>
      </c>
      <c r="W37" s="20">
        <v>4.38665213389971E-2</v>
      </c>
      <c r="X37" s="20">
        <v>3.3336893573463818E-9</v>
      </c>
      <c r="AE37" s="22">
        <v>135</v>
      </c>
      <c r="AF37" s="22">
        <v>1349</v>
      </c>
      <c r="AG37" s="22">
        <v>1327.9677032189004</v>
      </c>
      <c r="AH37" s="22">
        <v>1171.3979311063611</v>
      </c>
      <c r="AI37" s="22">
        <v>155.9586623056193</v>
      </c>
      <c r="AJ37" s="22">
        <v>0.56724328224726595</v>
      </c>
      <c r="AK37" s="22">
        <v>4.38665213389971E-2</v>
      </c>
      <c r="AL37" s="22">
        <v>3.3336893573463818E-9</v>
      </c>
      <c r="AT37" s="22">
        <v>135</v>
      </c>
      <c r="AU37" s="22">
        <v>2433</v>
      </c>
      <c r="AV37" s="22">
        <v>2433.1702308126764</v>
      </c>
      <c r="AW37" s="22">
        <v>2102.6007944879334</v>
      </c>
      <c r="AX37" s="22">
        <v>329.24316397946035</v>
      </c>
      <c r="AY37" s="22">
        <v>1.2269950009377972</v>
      </c>
      <c r="AZ37" s="22">
        <v>9.9277338321341974E-2</v>
      </c>
      <c r="BA37" s="22">
        <v>6.0234988324649884E-9</v>
      </c>
      <c r="BI37" s="22">
        <v>135</v>
      </c>
      <c r="BJ37" s="22">
        <v>3649</v>
      </c>
      <c r="BK37" s="22">
        <v>3738.6797907653727</v>
      </c>
      <c r="BL37" s="22">
        <v>3152.0966426476311</v>
      </c>
      <c r="BM37" s="22">
        <v>585.39149340470419</v>
      </c>
      <c r="BN37" s="22">
        <v>1.0206148213108783</v>
      </c>
      <c r="BO37" s="22">
        <v>0.17103987988326788</v>
      </c>
      <c r="BP37" s="22">
        <v>1.1843147167851653E-8</v>
      </c>
      <c r="BX37" s="22">
        <v>135</v>
      </c>
      <c r="BY37" s="22">
        <v>5043</v>
      </c>
      <c r="BZ37" s="22">
        <v>5163.3508809433033</v>
      </c>
      <c r="CA37" s="22">
        <v>4347.9559407726274</v>
      </c>
      <c r="CB37" s="22">
        <v>813.80464933216729</v>
      </c>
      <c r="CC37" s="22">
        <v>1.3513714747744039</v>
      </c>
      <c r="CD37" s="22">
        <v>0.23891934788950733</v>
      </c>
      <c r="CE37" s="22">
        <v>1.5845339487530783E-8</v>
      </c>
      <c r="CM37" s="22">
        <v>135</v>
      </c>
      <c r="CN37" s="22">
        <v>8422</v>
      </c>
      <c r="CO37" s="22">
        <v>8580.7889710702002</v>
      </c>
      <c r="CP37" s="22">
        <v>7129.432507297427</v>
      </c>
      <c r="CQ37" s="22">
        <v>1447.3557888087751</v>
      </c>
      <c r="CR37" s="22">
        <v>3.4233888237821573</v>
      </c>
      <c r="CS37" s="22">
        <v>0.5772861093316014</v>
      </c>
      <c r="CT37" s="22">
        <v>3.0884777291259015E-8</v>
      </c>
      <c r="DB37" s="22">
        <v>135</v>
      </c>
      <c r="DC37" s="22">
        <v>11336</v>
      </c>
      <c r="DD37" s="22">
        <v>11780.141708787511</v>
      </c>
      <c r="DE37" s="22">
        <v>9749.4741797548122</v>
      </c>
      <c r="DF37" s="22">
        <v>2021.884253778532</v>
      </c>
      <c r="DG37" s="22">
        <v>7.7804727610633879</v>
      </c>
      <c r="DH37" s="22">
        <v>1.0028024454792863</v>
      </c>
      <c r="DI37" s="22">
        <v>4.7625057877105303E-8</v>
      </c>
      <c r="DQ37" s="22">
        <v>135</v>
      </c>
      <c r="DR37" s="22">
        <v>14249</v>
      </c>
      <c r="DS37" s="22">
        <v>14697.445412140609</v>
      </c>
      <c r="DT37" s="22">
        <v>12130.600652920564</v>
      </c>
      <c r="DU37" s="22">
        <v>2552.0587299112494</v>
      </c>
      <c r="DV37" s="22">
        <v>9.1432224144403484</v>
      </c>
      <c r="DW37" s="22">
        <v>1.6428068354683933</v>
      </c>
      <c r="DX37" s="22">
        <v>5.8887991908196956E-8</v>
      </c>
      <c r="EF37" s="22">
        <v>135</v>
      </c>
      <c r="EG37" s="22">
        <v>16270</v>
      </c>
      <c r="EH37" s="22">
        <v>16670.255890124419</v>
      </c>
      <c r="EI37" s="22">
        <v>13814.106690005989</v>
      </c>
      <c r="EJ37" s="22">
        <v>2841.0348441951573</v>
      </c>
      <c r="EK37" s="22">
        <v>12.77116483492326</v>
      </c>
      <c r="EL37" s="22">
        <v>2.3431910301894003</v>
      </c>
      <c r="EM37" s="22">
        <v>5.8159437141658646E-8</v>
      </c>
    </row>
    <row r="38" spans="2:143" x14ac:dyDescent="0.25">
      <c r="B38" s="24">
        <f>$B$11+($B$10-$B$11)*27/99</f>
        <v>86.399999999999991</v>
      </c>
      <c r="C38" s="22">
        <v>12229.325691214062</v>
      </c>
      <c r="P38" s="22">
        <f>IF('Data-Plot'!C38="","",$Q$11+('Data-Plot'!C38-'Data-Plot'!D38)*$P$9)</f>
        <v>7836.8467270312258</v>
      </c>
      <c r="Q38" s="22">
        <f>IF('Data-Plot'!C38="","",MAX('Data-Plot'!$C$11:$C$1010)*(1+$Q$9/100))</f>
        <v>7796.25</v>
      </c>
      <c r="R38" s="22">
        <f>IF('Data-Plot'!C38="","",('Data-Plot'!C38-'Data-Plot'!D38)*$P$9)</f>
        <v>40.596727031225782</v>
      </c>
      <c r="S38" s="20">
        <v>1733.4032729687706</v>
      </c>
      <c r="T38" s="20">
        <v>1512.2794367717452</v>
      </c>
      <c r="U38" s="20">
        <v>220.21368383957835</v>
      </c>
      <c r="V38" s="20">
        <v>0.84176217647742291</v>
      </c>
      <c r="W38" s="20">
        <v>6.8390173223199902E-2</v>
      </c>
      <c r="X38" s="20">
        <v>7.746438505718845E-9</v>
      </c>
      <c r="AE38" s="22">
        <v>140</v>
      </c>
      <c r="AF38" s="22">
        <v>1774</v>
      </c>
      <c r="AG38" s="22">
        <v>1733.4032729687706</v>
      </c>
      <c r="AH38" s="22">
        <v>1512.2794367717452</v>
      </c>
      <c r="AI38" s="22">
        <v>220.21368383957835</v>
      </c>
      <c r="AJ38" s="22">
        <v>0.84176217647742291</v>
      </c>
      <c r="AK38" s="22">
        <v>6.8390173223199902E-2</v>
      </c>
      <c r="AL38" s="22">
        <v>7.746438505718845E-9</v>
      </c>
      <c r="AT38" s="22">
        <v>140</v>
      </c>
      <c r="AU38" s="22">
        <v>3233</v>
      </c>
      <c r="AV38" s="22">
        <v>3168.5329018364332</v>
      </c>
      <c r="AW38" s="22">
        <v>2701.6534441042063</v>
      </c>
      <c r="AX38" s="22">
        <v>464.90391995446589</v>
      </c>
      <c r="AY38" s="22">
        <v>1.8207593161094797</v>
      </c>
      <c r="AZ38" s="22">
        <v>0.1547784476548407</v>
      </c>
      <c r="BA38" s="22">
        <v>1.3996704039664622E-8</v>
      </c>
      <c r="BI38" s="22">
        <v>140</v>
      </c>
      <c r="BJ38" s="22">
        <v>5083</v>
      </c>
      <c r="BK38" s="22">
        <v>4905.7237195607986</v>
      </c>
      <c r="BL38" s="22">
        <v>4077.589977840054</v>
      </c>
      <c r="BM38" s="22">
        <v>826.35245938435719</v>
      </c>
      <c r="BN38" s="22">
        <v>1.5146223708307638</v>
      </c>
      <c r="BO38" s="22">
        <v>0.26665993803711119</v>
      </c>
      <c r="BP38" s="22">
        <v>2.7519724070195552E-8</v>
      </c>
      <c r="BX38" s="22">
        <v>140</v>
      </c>
      <c r="BY38" s="22">
        <v>6794</v>
      </c>
      <c r="BZ38" s="22">
        <v>6739.2015379059058</v>
      </c>
      <c r="CA38" s="22">
        <v>5588.0884869768943</v>
      </c>
      <c r="CB38" s="22">
        <v>1148.7350756692863</v>
      </c>
      <c r="CC38" s="22">
        <v>2.0054877097551445</v>
      </c>
      <c r="CD38" s="22">
        <v>0.3724875131497058</v>
      </c>
      <c r="CE38" s="22">
        <v>3.6819551789334698E-8</v>
      </c>
      <c r="CM38" s="22">
        <v>140</v>
      </c>
      <c r="CN38" s="22">
        <v>11149</v>
      </c>
      <c r="CO38" s="22">
        <v>11198.498749494545</v>
      </c>
      <c r="CP38" s="22">
        <v>9149.7169716388889</v>
      </c>
      <c r="CQ38" s="22">
        <v>2042.8013229352071</v>
      </c>
      <c r="CR38" s="22">
        <v>5.0804365272391099</v>
      </c>
      <c r="CS38" s="22">
        <v>0.90001832144310412</v>
      </c>
      <c r="CT38" s="22">
        <v>7.1766443241705366E-8</v>
      </c>
      <c r="DB38" s="22">
        <v>140</v>
      </c>
      <c r="DC38" s="22">
        <v>15138</v>
      </c>
      <c r="DD38" s="22">
        <v>15426.429581324905</v>
      </c>
      <c r="DE38" s="22">
        <v>12559.907701558448</v>
      </c>
      <c r="DF38" s="22">
        <v>2853.4121510331324</v>
      </c>
      <c r="DG38" s="22">
        <v>11.546309143373586</v>
      </c>
      <c r="DH38" s="22">
        <v>1.5634194792860747</v>
      </c>
      <c r="DI38" s="22">
        <v>1.106655547743684E-7</v>
      </c>
      <c r="DQ38" s="22">
        <v>140</v>
      </c>
      <c r="DR38" s="22">
        <v>18955</v>
      </c>
      <c r="DS38" s="22">
        <v>19311.01239263712</v>
      </c>
      <c r="DT38" s="22">
        <v>15690.024837449295</v>
      </c>
      <c r="DU38" s="22">
        <v>3600.8574166872781</v>
      </c>
      <c r="DV38" s="22">
        <v>13.568920929145225</v>
      </c>
      <c r="DW38" s="22">
        <v>2.5612174345664256</v>
      </c>
      <c r="DX38" s="22">
        <v>1.3683704723017557E-7</v>
      </c>
      <c r="EF38" s="22">
        <v>140</v>
      </c>
      <c r="EG38" s="22">
        <v>21845</v>
      </c>
      <c r="EH38" s="22">
        <v>22011.262065455794</v>
      </c>
      <c r="EI38" s="22">
        <v>17980.226558615326</v>
      </c>
      <c r="EJ38" s="22">
        <v>4008.4295805199195</v>
      </c>
      <c r="EK38" s="22">
        <v>18.952776853397957</v>
      </c>
      <c r="EL38" s="22">
        <v>3.6531493320065556</v>
      </c>
      <c r="EM38" s="22">
        <v>1.3514411663827133E-7</v>
      </c>
    </row>
    <row r="39" spans="2:143" x14ac:dyDescent="0.25">
      <c r="B39" s="24">
        <f>$B$11+($B$10-$B$11)*28/99</f>
        <v>88.86666666666666</v>
      </c>
      <c r="C39" s="22">
        <v>12568.365560070019</v>
      </c>
      <c r="P39" s="22">
        <f>IF('Data-Plot'!C39="","",$Q$11+('Data-Plot'!C39-'Data-Plot'!D39)*$P$9)</f>
        <v>7793.2320497162791</v>
      </c>
      <c r="Q39" s="22">
        <f>IF('Data-Plot'!C39="","",MAX('Data-Plot'!$C$11:$C$1010)*(1+$Q$9/100))</f>
        <v>7796.25</v>
      </c>
      <c r="R39" s="22">
        <f>IF('Data-Plot'!C39="","",('Data-Plot'!C39-'Data-Plot'!D39)*$P$9)</f>
        <v>-3.0179502837208929</v>
      </c>
      <c r="S39" s="20">
        <v>2182.0179502837182</v>
      </c>
      <c r="T39" s="20">
        <v>1872.6338742071046</v>
      </c>
      <c r="U39" s="20">
        <v>308.04126081228753</v>
      </c>
      <c r="V39" s="20">
        <v>1.2373179394950846</v>
      </c>
      <c r="W39" s="20">
        <v>0.10549730718997635</v>
      </c>
      <c r="X39" s="20">
        <v>1.7640949432356876E-8</v>
      </c>
      <c r="AE39" s="22">
        <v>145</v>
      </c>
      <c r="AF39" s="22">
        <v>2179</v>
      </c>
      <c r="AG39" s="22">
        <v>2182.0179502837182</v>
      </c>
      <c r="AH39" s="22">
        <v>1872.6338742071046</v>
      </c>
      <c r="AI39" s="22">
        <v>308.04126081228753</v>
      </c>
      <c r="AJ39" s="22">
        <v>1.2373179394950846</v>
      </c>
      <c r="AK39" s="22">
        <v>0.10549730718997635</v>
      </c>
      <c r="AL39" s="22">
        <v>1.7640949432356876E-8</v>
      </c>
      <c r="AT39" s="22">
        <v>145</v>
      </c>
      <c r="AU39" s="22">
        <v>4108</v>
      </c>
      <c r="AV39" s="22">
        <v>3977.2218985485424</v>
      </c>
      <c r="AW39" s="22">
        <v>3323.9612859636413</v>
      </c>
      <c r="AX39" s="22">
        <v>650.34558878044891</v>
      </c>
      <c r="AY39" s="22">
        <v>2.6762657735844413</v>
      </c>
      <c r="AZ39" s="22">
        <v>0.23875799899336977</v>
      </c>
      <c r="BA39" s="22">
        <v>3.1874667048744452E-8</v>
      </c>
      <c r="BI39" s="22">
        <v>145</v>
      </c>
      <c r="BJ39" s="22">
        <v>6350</v>
      </c>
      <c r="BK39" s="22">
        <v>6213.1119224011236</v>
      </c>
      <c r="BL39" s="22">
        <v>5054.9817116178556</v>
      </c>
      <c r="BM39" s="22">
        <v>1155.4923322218142</v>
      </c>
      <c r="BN39" s="22">
        <v>2.2265344075748281</v>
      </c>
      <c r="BO39" s="22">
        <v>0.4113440912089979</v>
      </c>
      <c r="BP39" s="22">
        <v>6.2670614419267262E-8</v>
      </c>
      <c r="BX39" s="22">
        <v>145</v>
      </c>
      <c r="BY39" s="22">
        <v>8746</v>
      </c>
      <c r="BZ39" s="22">
        <v>8480.9967569840428</v>
      </c>
      <c r="CA39" s="22">
        <v>6871.292544918666</v>
      </c>
      <c r="CB39" s="22">
        <v>1606.1814735150717</v>
      </c>
      <c r="CC39" s="22">
        <v>2.9481469381975138</v>
      </c>
      <c r="CD39" s="22">
        <v>0.57459152825934201</v>
      </c>
      <c r="CE39" s="22">
        <v>8.3849094104064253E-8</v>
      </c>
      <c r="CM39" s="22">
        <v>145</v>
      </c>
      <c r="CN39" s="22">
        <v>14330</v>
      </c>
      <c r="CO39" s="22">
        <v>14113.208858570946</v>
      </c>
      <c r="CP39" s="22">
        <v>11248.523827965264</v>
      </c>
      <c r="CQ39" s="22">
        <v>2855.8282487891483</v>
      </c>
      <c r="CR39" s="22">
        <v>7.468432786982615</v>
      </c>
      <c r="CS39" s="22">
        <v>1.3883488661168861</v>
      </c>
      <c r="CT39" s="22">
        <v>1.6343358244325623E-7</v>
      </c>
      <c r="DB39" s="22">
        <v>145</v>
      </c>
      <c r="DC39" s="22">
        <v>19629</v>
      </c>
      <c r="DD39" s="22">
        <v>19541.936985150769</v>
      </c>
      <c r="DE39" s="22">
        <v>15534.043682542273</v>
      </c>
      <c r="DF39" s="22">
        <v>3988.5085362408727</v>
      </c>
      <c r="DG39" s="22">
        <v>16.973069853543667</v>
      </c>
      <c r="DH39" s="22">
        <v>2.4116962620658913</v>
      </c>
      <c r="DI39" s="22">
        <v>2.5201845393018046E-7</v>
      </c>
      <c r="DQ39" s="22">
        <v>145</v>
      </c>
      <c r="DR39" s="22">
        <v>24591</v>
      </c>
      <c r="DS39" s="22">
        <v>24568.393140665161</v>
      </c>
      <c r="DT39" s="22">
        <v>19508.718441423647</v>
      </c>
      <c r="DU39" s="22">
        <v>5031.7769170001875</v>
      </c>
      <c r="DV39" s="22">
        <v>19.946907264957471</v>
      </c>
      <c r="DW39" s="22">
        <v>3.9508746647503696</v>
      </c>
      <c r="DX39" s="22">
        <v>3.1161874310062839E-7</v>
      </c>
      <c r="EF39" s="22">
        <v>145</v>
      </c>
      <c r="EG39" s="22">
        <v>28184</v>
      </c>
      <c r="EH39" s="22">
        <v>28184.069877047859</v>
      </c>
      <c r="EI39" s="22">
        <v>22549.58040344642</v>
      </c>
      <c r="EJ39" s="22">
        <v>5600.9931525569227</v>
      </c>
      <c r="EK39" s="22">
        <v>27.861061633029149</v>
      </c>
      <c r="EL39" s="22">
        <v>5.635259103724608</v>
      </c>
      <c r="EM39" s="22">
        <v>3.0776343553686453E-7</v>
      </c>
    </row>
    <row r="40" spans="2:143" x14ac:dyDescent="0.25">
      <c r="B40" s="24">
        <f>$B$11+($B$10-$B$11)*29/99</f>
        <v>91.333333333333329</v>
      </c>
      <c r="C40" s="22">
        <v>12906.386806240673</v>
      </c>
      <c r="P40" s="22">
        <f>IF('Data-Plot'!C40="","",$Q$11+('Data-Plot'!C40-'Data-Plot'!D40)*$P$9)</f>
        <v>7796.2456756784795</v>
      </c>
      <c r="Q40" s="22">
        <f>IF('Data-Plot'!C40="","",MAX('Data-Plot'!$C$11:$C$1010)*(1+$Q$9/100))</f>
        <v>7796.25</v>
      </c>
      <c r="R40" s="22">
        <f>IF('Data-Plot'!C40="","",('Data-Plot'!C40-'Data-Plot'!D40)*$P$9)</f>
        <v>-4.3243215200163831E-3</v>
      </c>
      <c r="S40" s="20">
        <v>2634.0043243215164</v>
      </c>
      <c r="T40" s="20">
        <v>2205.2047565308944</v>
      </c>
      <c r="U40" s="20">
        <v>426.83638978464433</v>
      </c>
      <c r="V40" s="20">
        <v>1.8020987856252735</v>
      </c>
      <c r="W40" s="20">
        <v>0.16107918095242069</v>
      </c>
      <c r="X40" s="20">
        <v>3.9399905962610429E-8</v>
      </c>
      <c r="AE40" s="22">
        <v>150</v>
      </c>
      <c r="AF40" s="22">
        <v>2634</v>
      </c>
      <c r="AG40" s="22">
        <v>2634.0043243215164</v>
      </c>
      <c r="AH40" s="22">
        <v>2205.2047565308944</v>
      </c>
      <c r="AI40" s="22">
        <v>426.83638978464433</v>
      </c>
      <c r="AJ40" s="22">
        <v>1.8020987856252735</v>
      </c>
      <c r="AK40" s="22">
        <v>0.16107918095242069</v>
      </c>
      <c r="AL40" s="22">
        <v>3.9399905962610429E-8</v>
      </c>
      <c r="AT40" s="22">
        <v>150</v>
      </c>
      <c r="AU40" s="22">
        <v>4793</v>
      </c>
      <c r="AV40" s="22">
        <v>4786.3168154241084</v>
      </c>
      <c r="AW40" s="22">
        <v>3880.8577617811393</v>
      </c>
      <c r="AX40" s="22">
        <v>901.19684178617831</v>
      </c>
      <c r="AY40" s="22">
        <v>3.8976630294856349</v>
      </c>
      <c r="AZ40" s="22">
        <v>0.36454875611565252</v>
      </c>
      <c r="BA40" s="22">
        <v>7.118998266648015E-8</v>
      </c>
      <c r="BI40" s="22">
        <v>150</v>
      </c>
      <c r="BJ40" s="22">
        <v>7685</v>
      </c>
      <c r="BK40" s="22">
        <v>7548.7743309941125</v>
      </c>
      <c r="BL40" s="22">
        <v>5944.6344477971461</v>
      </c>
      <c r="BM40" s="22">
        <v>1600.2686096173109</v>
      </c>
      <c r="BN40" s="22">
        <v>3.2432107087101252</v>
      </c>
      <c r="BO40" s="22">
        <v>0.62806273097556875</v>
      </c>
      <c r="BP40" s="22">
        <v>1.399707155333793E-7</v>
      </c>
      <c r="BX40" s="22">
        <v>150</v>
      </c>
      <c r="BY40" s="22">
        <v>10666</v>
      </c>
      <c r="BZ40" s="22">
        <v>10232.887274556966</v>
      </c>
      <c r="CA40" s="22">
        <v>8003.4698746039985</v>
      </c>
      <c r="CB40" s="22">
        <v>2224.245698182589</v>
      </c>
      <c r="CC40" s="22">
        <v>4.2943836741958847</v>
      </c>
      <c r="CD40" s="22">
        <v>0.87731790891105732</v>
      </c>
      <c r="CE40" s="22">
        <v>1.8727146378453528E-7</v>
      </c>
      <c r="CM40" s="22">
        <v>150</v>
      </c>
      <c r="CN40" s="22">
        <v>17670</v>
      </c>
      <c r="CO40" s="22">
        <v>17105.47283555126</v>
      </c>
      <c r="CP40" s="22">
        <v>13138.586566376083</v>
      </c>
      <c r="CQ40" s="22">
        <v>3953.8876829218666</v>
      </c>
      <c r="CR40" s="22">
        <v>10.878780374352692</v>
      </c>
      <c r="CS40" s="22">
        <v>2.1198055139410763</v>
      </c>
      <c r="CT40" s="22">
        <v>3.6501820971009592E-7</v>
      </c>
      <c r="DB40" s="22">
        <v>150</v>
      </c>
      <c r="DC40" s="22">
        <v>24414</v>
      </c>
      <c r="DD40" s="22">
        <v>23864.946640391754</v>
      </c>
      <c r="DE40" s="22">
        <v>18315.523045585101</v>
      </c>
      <c r="DF40" s="22">
        <v>5521.0186571013928</v>
      </c>
      <c r="DG40" s="22">
        <v>24.722632121445624</v>
      </c>
      <c r="DH40" s="22">
        <v>3.6823050209466053</v>
      </c>
      <c r="DI40" s="22">
        <v>5.628667223237771E-7</v>
      </c>
      <c r="DQ40" s="22">
        <v>150</v>
      </c>
      <c r="DR40" s="22">
        <v>30845</v>
      </c>
      <c r="DS40" s="22">
        <v>30161.857956750569</v>
      </c>
      <c r="DT40" s="22">
        <v>23160.539456613657</v>
      </c>
      <c r="DU40" s="22">
        <v>6962.2305620356074</v>
      </c>
      <c r="DV40" s="22">
        <v>29.055539783990543</v>
      </c>
      <c r="DW40" s="22">
        <v>6.0323976213323087</v>
      </c>
      <c r="DX40" s="22">
        <v>6.9598006736572553E-7</v>
      </c>
      <c r="EF40" s="22">
        <v>150</v>
      </c>
      <c r="EG40" s="22">
        <v>35430</v>
      </c>
      <c r="EH40" s="22">
        <v>34880.238988655445</v>
      </c>
      <c r="EI40" s="22">
        <v>27081.836462742027</v>
      </c>
      <c r="EJ40" s="22">
        <v>7749.2154337817001</v>
      </c>
      <c r="EK40" s="22">
        <v>40.582899777031649</v>
      </c>
      <c r="EL40" s="22">
        <v>8.6041916673212455</v>
      </c>
      <c r="EM40" s="22">
        <v>6.8736949025134014E-7</v>
      </c>
    </row>
    <row r="41" spans="2:143" x14ac:dyDescent="0.25">
      <c r="B41" s="24">
        <f>$B$11+($B$10-$B$11)*30/99</f>
        <v>93.8</v>
      </c>
      <c r="C41" s="22">
        <v>13243.392490109987</v>
      </c>
      <c r="P41" s="22">
        <f>IF('Data-Plot'!C41="","",$Q$11+('Data-Plot'!C41-'Data-Plot'!D41)*$P$9)</f>
        <v>7871.540449854384</v>
      </c>
      <c r="Q41" s="22">
        <f>IF('Data-Plot'!C41="","",MAX('Data-Plot'!$C$11:$C$1010)*(1+$Q$9/100))</f>
        <v>7796.25</v>
      </c>
      <c r="R41" s="22">
        <f>IF('Data-Plot'!C41="","",('Data-Plot'!C41-'Data-Plot'!D41)*$P$9)</f>
        <v>75.290449854383951</v>
      </c>
      <c r="S41" s="20">
        <v>3035.7095501456138</v>
      </c>
      <c r="T41" s="20">
        <v>2447.1336269650619</v>
      </c>
      <c r="U41" s="20">
        <v>585.73102093078717</v>
      </c>
      <c r="V41" s="20">
        <v>2.6013773321152383</v>
      </c>
      <c r="W41" s="20">
        <v>0.24352483128836891</v>
      </c>
      <c r="X41" s="20">
        <v>8.6361005843468189E-8</v>
      </c>
      <c r="AE41" s="22">
        <v>155</v>
      </c>
      <c r="AF41" s="22">
        <v>3111</v>
      </c>
      <c r="AG41" s="22">
        <v>3035.7095501456138</v>
      </c>
      <c r="AH41" s="22">
        <v>2447.1336269650619</v>
      </c>
      <c r="AI41" s="22">
        <v>585.73102093078717</v>
      </c>
      <c r="AJ41" s="22">
        <v>2.6013773321152383</v>
      </c>
      <c r="AK41" s="22">
        <v>0.24352483128836891</v>
      </c>
      <c r="AL41" s="22">
        <v>8.6361005843468189E-8</v>
      </c>
      <c r="AT41" s="22">
        <v>155</v>
      </c>
      <c r="AU41" s="22">
        <v>5711</v>
      </c>
      <c r="AV41" s="22">
        <v>5501.7238612276378</v>
      </c>
      <c r="AW41" s="22">
        <v>4258.7788319906349</v>
      </c>
      <c r="AX41" s="22">
        <v>1236.767930539809</v>
      </c>
      <c r="AY41" s="22">
        <v>5.6259623496949613</v>
      </c>
      <c r="AZ41" s="22">
        <v>0.55113619145648196</v>
      </c>
      <c r="BA41" s="22">
        <v>1.5604195895511212E-7</v>
      </c>
      <c r="BI41" s="22">
        <v>155</v>
      </c>
      <c r="BJ41" s="22">
        <v>8768</v>
      </c>
      <c r="BK41" s="22">
        <v>8752.7425956441475</v>
      </c>
      <c r="BL41" s="22">
        <v>6552.7047504802986</v>
      </c>
      <c r="BM41" s="22">
        <v>2194.4059018517974</v>
      </c>
      <c r="BN41" s="22">
        <v>4.6824179273716817</v>
      </c>
      <c r="BO41" s="22">
        <v>0.94952507787723073</v>
      </c>
      <c r="BP41" s="22">
        <v>3.0680306175175715E-7</v>
      </c>
      <c r="BX41" s="22">
        <v>155</v>
      </c>
      <c r="BY41" s="22">
        <v>12021</v>
      </c>
      <c r="BZ41" s="22">
        <v>11789.323412057041</v>
      </c>
      <c r="CA41" s="22">
        <v>8732.1134415658016</v>
      </c>
      <c r="CB41" s="22">
        <v>3049.6834302338898</v>
      </c>
      <c r="CC41" s="22">
        <v>6.2001828413478002</v>
      </c>
      <c r="CD41" s="22">
        <v>1.3263570055182687</v>
      </c>
      <c r="CE41" s="22">
        <v>4.1048199438643251E-7</v>
      </c>
      <c r="CM41" s="22">
        <v>155</v>
      </c>
      <c r="CN41" s="22">
        <v>20383</v>
      </c>
      <c r="CO41" s="22">
        <v>19898.351809105563</v>
      </c>
      <c r="CP41" s="22">
        <v>14459.883702864021</v>
      </c>
      <c r="CQ41" s="22">
        <v>5419.5567114193309</v>
      </c>
      <c r="CR41" s="22">
        <v>15.70660902924562</v>
      </c>
      <c r="CS41" s="22">
        <v>3.2047849928801577</v>
      </c>
      <c r="CT41" s="22">
        <v>8.0008667461123149E-7</v>
      </c>
      <c r="DB41" s="22">
        <v>155</v>
      </c>
      <c r="DC41" s="22">
        <v>28889</v>
      </c>
      <c r="DD41" s="22">
        <v>28056.738514024382</v>
      </c>
      <c r="DE41" s="22">
        <v>20449.882356087921</v>
      </c>
      <c r="DF41" s="22">
        <v>7565.5969594305961</v>
      </c>
      <c r="DG41" s="22">
        <v>35.692184091819257</v>
      </c>
      <c r="DH41" s="22">
        <v>5.5670131802950493</v>
      </c>
      <c r="DI41" s="22">
        <v>1.2337525968106587E-6</v>
      </c>
      <c r="DQ41" s="22">
        <v>155</v>
      </c>
      <c r="DR41" s="22">
        <v>35877</v>
      </c>
      <c r="DS41" s="22">
        <v>35673.854886060544</v>
      </c>
      <c r="DT41" s="22">
        <v>26083.754906821941</v>
      </c>
      <c r="DU41" s="22">
        <v>9535.0297479367509</v>
      </c>
      <c r="DV41" s="22">
        <v>41.950294050226049</v>
      </c>
      <c r="DW41" s="22">
        <v>9.1199357261024065</v>
      </c>
      <c r="DX41" s="22">
        <v>1.5255249269245028E-6</v>
      </c>
      <c r="EF41" s="22">
        <v>155</v>
      </c>
      <c r="EG41" s="22">
        <v>42401</v>
      </c>
      <c r="EH41" s="22">
        <v>41649.853875500085</v>
      </c>
      <c r="EI41" s="22">
        <v>30966.575773584824</v>
      </c>
      <c r="EJ41" s="22">
        <v>10611.678181962361</v>
      </c>
      <c r="EK41" s="22">
        <v>58.591901222595801</v>
      </c>
      <c r="EL41" s="22">
        <v>13.008017223649123</v>
      </c>
      <c r="EM41" s="22">
        <v>1.5066513260311729E-6</v>
      </c>
    </row>
    <row r="42" spans="2:143" x14ac:dyDescent="0.25">
      <c r="B42" s="24">
        <f>$B$11+($B$10-$B$11)*31/99</f>
        <v>96.266666666666666</v>
      </c>
      <c r="C42" s="22">
        <v>13579.385662867197</v>
      </c>
      <c r="P42" s="22">
        <f>IF('Data-Plot'!C42="","",$Q$11+('Data-Plot'!C42-'Data-Plot'!D42)*$P$9)</f>
        <v>7795.747199962012</v>
      </c>
      <c r="Q42" s="22">
        <f>IF('Data-Plot'!C42="","",MAX('Data-Plot'!$C$11:$C$1010)*(1+$Q$9/100))</f>
        <v>7796.25</v>
      </c>
      <c r="R42" s="22">
        <f>IF('Data-Plot'!C42="","",('Data-Plot'!C42-'Data-Plot'!D42)*$P$9)</f>
        <v>-0.50280003798798134</v>
      </c>
      <c r="S42" s="20">
        <v>3336.5028000379866</v>
      </c>
      <c r="T42" s="20">
        <v>2536.7363266052989</v>
      </c>
      <c r="U42" s="20">
        <v>795.67904277742809</v>
      </c>
      <c r="V42" s="20">
        <v>3.7227597151548339</v>
      </c>
      <c r="W42" s="20">
        <v>0.36467075420782885</v>
      </c>
      <c r="X42" s="20">
        <v>1.8589672330901762E-7</v>
      </c>
      <c r="AE42" s="22">
        <v>160</v>
      </c>
      <c r="AF42" s="22">
        <v>3336</v>
      </c>
      <c r="AG42" s="22">
        <v>3336.5028000379866</v>
      </c>
      <c r="AH42" s="22">
        <v>2536.7363266052989</v>
      </c>
      <c r="AI42" s="22">
        <v>795.67904277742809</v>
      </c>
      <c r="AJ42" s="22">
        <v>3.7227597151548339</v>
      </c>
      <c r="AK42" s="22">
        <v>0.36467075420782885</v>
      </c>
      <c r="AL42" s="22">
        <v>1.8589672330901762E-7</v>
      </c>
      <c r="AT42" s="22">
        <v>160</v>
      </c>
      <c r="AU42" s="22">
        <v>5938</v>
      </c>
      <c r="AV42" s="22">
        <v>6041.6410773001826</v>
      </c>
      <c r="AW42" s="22">
        <v>4352.5243623281831</v>
      </c>
      <c r="AX42" s="22">
        <v>1680.241105008002</v>
      </c>
      <c r="AY42" s="22">
        <v>8.0503020741542883</v>
      </c>
      <c r="AZ42" s="22">
        <v>0.82530755395439648</v>
      </c>
      <c r="BA42" s="22">
        <v>3.3588873340612158E-7</v>
      </c>
      <c r="BI42" s="22">
        <v>160</v>
      </c>
      <c r="BJ42" s="22">
        <v>9666</v>
      </c>
      <c r="BK42" s="22">
        <v>9667.2653253994122</v>
      </c>
      <c r="BL42" s="22">
        <v>6681.1079486417657</v>
      </c>
      <c r="BM42" s="22">
        <v>2978.0330570417232</v>
      </c>
      <c r="BN42" s="22">
        <v>6.7024372787901916</v>
      </c>
      <c r="BO42" s="22">
        <v>1.4218817767237018</v>
      </c>
      <c r="BP42" s="22">
        <v>6.6041013908371279E-7</v>
      </c>
      <c r="BX42" s="22">
        <v>160</v>
      </c>
      <c r="BY42" s="22">
        <v>12948</v>
      </c>
      <c r="BZ42" s="22">
        <v>12969.934216879785</v>
      </c>
      <c r="CA42" s="22">
        <v>8821.0206991312079</v>
      </c>
      <c r="CB42" s="22">
        <v>4138.0521140558776</v>
      </c>
      <c r="CC42" s="22">
        <v>8.8752277614619288</v>
      </c>
      <c r="CD42" s="22">
        <v>1.9861750476522479</v>
      </c>
      <c r="CE42" s="22">
        <v>8.8358463392238812E-7</v>
      </c>
      <c r="CM42" s="22">
        <v>160</v>
      </c>
      <c r="CN42" s="22">
        <v>22305</v>
      </c>
      <c r="CO42" s="22">
        <v>22263.53073369959</v>
      </c>
      <c r="CP42" s="22">
        <v>14885.639401195058</v>
      </c>
      <c r="CQ42" s="22">
        <v>7350.6092239142399</v>
      </c>
      <c r="CR42" s="22">
        <v>22.483058334248096</v>
      </c>
      <c r="CS42" s="22">
        <v>4.7990485338126341</v>
      </c>
      <c r="CT42" s="22">
        <v>1.7222297230040763E-6</v>
      </c>
      <c r="DB42" s="22">
        <v>160</v>
      </c>
      <c r="DC42" s="22">
        <v>32249</v>
      </c>
      <c r="DD42" s="22">
        <v>31824.699882670269</v>
      </c>
      <c r="DE42" s="22">
        <v>21507.701934232588</v>
      </c>
      <c r="DF42" s="22">
        <v>10257.574384952233</v>
      </c>
      <c r="DG42" s="22">
        <v>51.087173118297756</v>
      </c>
      <c r="DH42" s="22">
        <v>8.336387711435604</v>
      </c>
      <c r="DI42" s="22">
        <v>2.6557190120554232E-6</v>
      </c>
      <c r="DQ42" s="22">
        <v>160</v>
      </c>
      <c r="DR42" s="22">
        <v>40740</v>
      </c>
      <c r="DS42" s="22">
        <v>40718.088284359379</v>
      </c>
      <c r="DT42" s="22">
        <v>27722.776347962408</v>
      </c>
      <c r="DU42" s="22">
        <v>12917.605148267969</v>
      </c>
      <c r="DV42" s="22">
        <v>60.050064307426865</v>
      </c>
      <c r="DW42" s="22">
        <v>13.656720537794516</v>
      </c>
      <c r="DX42" s="22">
        <v>3.283774690544871E-6</v>
      </c>
      <c r="EF42" s="22">
        <v>160</v>
      </c>
      <c r="EG42" s="22">
        <v>48244</v>
      </c>
      <c r="EH42" s="22">
        <v>48036.186078154817</v>
      </c>
      <c r="EI42" s="22">
        <v>33558.778411269086</v>
      </c>
      <c r="EJ42" s="22">
        <v>14374.06014410261</v>
      </c>
      <c r="EK42" s="22">
        <v>83.868613653116995</v>
      </c>
      <c r="EL42" s="22">
        <v>19.478905886858719</v>
      </c>
      <c r="EM42" s="22">
        <v>3.2431482466117905E-6</v>
      </c>
    </row>
    <row r="43" spans="2:143" x14ac:dyDescent="0.25">
      <c r="B43" s="24">
        <f>$B$11+($B$10-$B$11)*32/99</f>
        <v>98.73333333333332</v>
      </c>
      <c r="C43" s="22">
        <v>13914.369366534444</v>
      </c>
      <c r="P43" s="22">
        <f>IF('Data-Plot'!C43="","",$Q$11+('Data-Plot'!C43-'Data-Plot'!D43)*$P$9)</f>
        <v>7673.2666763044053</v>
      </c>
      <c r="Q43" s="22">
        <f>IF('Data-Plot'!C43="","",MAX('Data-Plot'!$C$11:$C$1010)*(1+$Q$9/100))</f>
        <v>7796.25</v>
      </c>
      <c r="R43" s="22">
        <f>IF('Data-Plot'!C43="","",('Data-Plot'!C43-'Data-Plot'!D43)*$P$9)</f>
        <v>-122.98332369559466</v>
      </c>
      <c r="S43" s="20">
        <v>3513.9833236955974</v>
      </c>
      <c r="T43" s="20">
        <v>2438.8537282880943</v>
      </c>
      <c r="U43" s="20">
        <v>1069.30579330655</v>
      </c>
      <c r="V43" s="20">
        <v>5.2827317057389349</v>
      </c>
      <c r="W43" s="20">
        <v>0.54107000200223432</v>
      </c>
      <c r="X43" s="20">
        <v>3.9321193345120766E-7</v>
      </c>
      <c r="AE43" s="22">
        <v>165</v>
      </c>
      <c r="AF43" s="22">
        <v>3391</v>
      </c>
      <c r="AG43" s="22">
        <v>3513.9833236955974</v>
      </c>
      <c r="AH43" s="22">
        <v>2438.8537282880943</v>
      </c>
      <c r="AI43" s="22">
        <v>1069.30579330655</v>
      </c>
      <c r="AJ43" s="22">
        <v>5.2827317057389349</v>
      </c>
      <c r="AK43" s="22">
        <v>0.54107000200223432</v>
      </c>
      <c r="AL43" s="22">
        <v>3.9321193345120766E-7</v>
      </c>
      <c r="AT43" s="22">
        <v>165</v>
      </c>
      <c r="AU43" s="22">
        <v>6339</v>
      </c>
      <c r="AV43" s="22">
        <v>6382.8768189505117</v>
      </c>
      <c r="AW43" s="22">
        <v>4111.859521577343</v>
      </c>
      <c r="AX43" s="22">
        <v>2258.3708357085625</v>
      </c>
      <c r="AY43" s="22">
        <v>11.4219373605117</v>
      </c>
      <c r="AZ43" s="22">
        <v>1.2245235936170076</v>
      </c>
      <c r="BA43" s="22">
        <v>7.1047760248691856E-7</v>
      </c>
      <c r="BI43" s="22">
        <v>165</v>
      </c>
      <c r="BJ43" s="22">
        <v>10030</v>
      </c>
      <c r="BK43" s="22">
        <v>10224.589343200705</v>
      </c>
      <c r="BL43" s="22">
        <v>6216.1327521081921</v>
      </c>
      <c r="BM43" s="22">
        <v>3996.8327651158352</v>
      </c>
      <c r="BN43" s="22">
        <v>9.5141519772361693</v>
      </c>
      <c r="BO43" s="22">
        <v>2.1096726025297272</v>
      </c>
      <c r="BP43" s="22">
        <v>1.396910838632692E-6</v>
      </c>
      <c r="BX43" s="22">
        <v>165</v>
      </c>
      <c r="BY43" s="22">
        <v>13730</v>
      </c>
      <c r="BZ43" s="22">
        <v>13730.029227978561</v>
      </c>
      <c r="CA43" s="22">
        <v>8162.0223518550492</v>
      </c>
      <c r="CB43" s="22">
        <v>5552.4609932715239</v>
      </c>
      <c r="CC43" s="22">
        <v>12.598955518360922</v>
      </c>
      <c r="CD43" s="22">
        <v>2.946925464654099</v>
      </c>
      <c r="CE43" s="22">
        <v>1.8689733529664944E-6</v>
      </c>
      <c r="CM43" s="22">
        <v>165</v>
      </c>
      <c r="CN43" s="22">
        <v>24157</v>
      </c>
      <c r="CO43" s="22">
        <v>24156.911620593866</v>
      </c>
      <c r="CP43" s="22">
        <v>14260.386742626495</v>
      </c>
      <c r="CQ43" s="22">
        <v>9857.4885269553342</v>
      </c>
      <c r="CR43" s="22">
        <v>31.915928911118932</v>
      </c>
      <c r="CS43" s="22">
        <v>7.1204184580272214</v>
      </c>
      <c r="CT43" s="22">
        <v>3.6428898108729305E-6</v>
      </c>
      <c r="DB43" s="22">
        <v>165</v>
      </c>
      <c r="DC43" s="22">
        <v>35079</v>
      </c>
      <c r="DD43" s="22">
        <v>35079.029388928378</v>
      </c>
      <c r="DE43" s="22">
        <v>21245.084588080739</v>
      </c>
      <c r="DF43" s="22">
        <v>13749.063105673386</v>
      </c>
      <c r="DG43" s="22">
        <v>72.512894230856162</v>
      </c>
      <c r="DH43" s="22">
        <v>12.368795325970739</v>
      </c>
      <c r="DI43" s="22">
        <v>5.6174223451728115E-6</v>
      </c>
      <c r="DQ43" s="22">
        <v>165</v>
      </c>
      <c r="DR43" s="22">
        <v>45131</v>
      </c>
      <c r="DS43" s="22">
        <v>45130.925379748616</v>
      </c>
      <c r="DT43" s="22">
        <v>27725.26705105132</v>
      </c>
      <c r="DU43" s="22">
        <v>17296.149869991048</v>
      </c>
      <c r="DV43" s="22">
        <v>85.245887029185837</v>
      </c>
      <c r="DW43" s="22">
        <v>20.262564731166069</v>
      </c>
      <c r="DX43" s="22">
        <v>6.9458964745416085E-6</v>
      </c>
      <c r="EF43" s="22">
        <v>165</v>
      </c>
      <c r="EG43" s="22">
        <v>54177</v>
      </c>
      <c r="EH43" s="22">
        <v>53775.236719592802</v>
      </c>
      <c r="EI43" s="22">
        <v>34384.863360050927</v>
      </c>
      <c r="EJ43" s="22">
        <v>19242.420744445481</v>
      </c>
      <c r="EK43" s="22">
        <v>119.05174725261679</v>
      </c>
      <c r="EL43" s="22">
        <v>28.900860983813466</v>
      </c>
      <c r="EM43" s="22">
        <v>6.8599627244889119E-6</v>
      </c>
    </row>
    <row r="44" spans="2:143" x14ac:dyDescent="0.25">
      <c r="B44" s="24">
        <f>$B$11+($B$10-$B$11)*33/99</f>
        <v>101.19999999999999</v>
      </c>
      <c r="C44" s="22">
        <v>14248.346633994317</v>
      </c>
      <c r="P44" s="22">
        <f>IF('Data-Plot'!C44="","",$Q$11+('Data-Plot'!C44-'Data-Plot'!D44)*$P$9)</f>
        <v>7856.4471762614221</v>
      </c>
      <c r="Q44" s="22">
        <f>IF('Data-Plot'!C44="","",MAX('Data-Plot'!$C$11:$C$1010)*(1+$Q$9/100))</f>
        <v>7796.25</v>
      </c>
      <c r="R44" s="22">
        <f>IF('Data-Plot'!C44="","",('Data-Plot'!C44-'Data-Plot'!D44)*$P$9)</f>
        <v>60.197176261422101</v>
      </c>
      <c r="S44" s="20">
        <v>3593.8028237385824</v>
      </c>
      <c r="T44" s="20">
        <v>2165.2396228022994</v>
      </c>
      <c r="U44" s="20">
        <v>1420.3328483099529</v>
      </c>
      <c r="V44" s="20">
        <v>7.4346780593123718</v>
      </c>
      <c r="W44" s="20">
        <v>0.79567374923178913</v>
      </c>
      <c r="X44" s="20">
        <v>8.1778619452136744E-7</v>
      </c>
      <c r="AE44" s="22">
        <v>170</v>
      </c>
      <c r="AF44" s="22">
        <v>3654</v>
      </c>
      <c r="AG44" s="22">
        <v>3593.8028237385824</v>
      </c>
      <c r="AH44" s="22">
        <v>2165.2396228022994</v>
      </c>
      <c r="AI44" s="22">
        <v>1420.3328483099529</v>
      </c>
      <c r="AJ44" s="22">
        <v>7.4346780593123718</v>
      </c>
      <c r="AK44" s="22">
        <v>0.79567374923178913</v>
      </c>
      <c r="AL44" s="22">
        <v>8.1778619452136744E-7</v>
      </c>
      <c r="AT44" s="22">
        <v>170</v>
      </c>
      <c r="AU44" s="22">
        <v>6505</v>
      </c>
      <c r="AV44" s="22">
        <v>6592.6957546411213</v>
      </c>
      <c r="AW44" s="22">
        <v>3574.5263650807547</v>
      </c>
      <c r="AX44" s="22">
        <v>3000.2973939914104</v>
      </c>
      <c r="AY44" s="22">
        <v>16.071270796510632</v>
      </c>
      <c r="AZ44" s="22">
        <v>1.8007232948230028</v>
      </c>
      <c r="BA44" s="22">
        <v>1.47762243563614E-6</v>
      </c>
      <c r="BI44" s="22">
        <v>170</v>
      </c>
      <c r="BJ44" s="22">
        <v>10514</v>
      </c>
      <c r="BK44" s="22">
        <v>10528.490827951957</v>
      </c>
      <c r="BL44" s="22">
        <v>5212.5302404740987</v>
      </c>
      <c r="BM44" s="22">
        <v>5299.4621512425429</v>
      </c>
      <c r="BN44" s="22">
        <v>13.396051565098567</v>
      </c>
      <c r="BO44" s="22">
        <v>3.1023817649783476</v>
      </c>
      <c r="BP44" s="22">
        <v>2.9052383755366658E-6</v>
      </c>
      <c r="BX44" s="22">
        <v>170</v>
      </c>
      <c r="BY44" s="22">
        <v>14098</v>
      </c>
      <c r="BZ44" s="22">
        <v>14241.717107038388</v>
      </c>
      <c r="CA44" s="22">
        <v>6859.7592613229044</v>
      </c>
      <c r="CB44" s="22">
        <v>7359.8837175696945</v>
      </c>
      <c r="CC44" s="22">
        <v>17.740518403243726</v>
      </c>
      <c r="CD44" s="22">
        <v>4.3336058555306849</v>
      </c>
      <c r="CE44" s="22">
        <v>3.8870148027604394E-6</v>
      </c>
      <c r="CM44" s="22">
        <v>170</v>
      </c>
      <c r="CN44" s="22">
        <v>25684</v>
      </c>
      <c r="CO44" s="22">
        <v>25800.883537361664</v>
      </c>
      <c r="CP44" s="22">
        <v>12689.177242329191</v>
      </c>
      <c r="CQ44" s="22">
        <v>13056.295179507219</v>
      </c>
      <c r="CR44" s="22">
        <v>44.940210105974089</v>
      </c>
      <c r="CS44" s="22">
        <v>10.470897842944131</v>
      </c>
      <c r="CT44" s="22">
        <v>7.5763341392817842E-6</v>
      </c>
      <c r="DB44" s="22">
        <v>170</v>
      </c>
      <c r="DC44" s="22">
        <v>37935</v>
      </c>
      <c r="DD44" s="22">
        <v>38031.715474558201</v>
      </c>
      <c r="DE44" s="22">
        <v>19712.817401245811</v>
      </c>
      <c r="DF44" s="22">
        <v>18198.621408217692</v>
      </c>
      <c r="DG44" s="22">
        <v>102.08783390146483</v>
      </c>
      <c r="DH44" s="22">
        <v>18.188819510339496</v>
      </c>
      <c r="DI44" s="22">
        <v>1.1682886636085812E-5</v>
      </c>
      <c r="DQ44" s="22">
        <v>170</v>
      </c>
      <c r="DR44" s="22">
        <v>48446</v>
      </c>
      <c r="DS44" s="22">
        <v>49106.383804893383</v>
      </c>
      <c r="DT44" s="22">
        <v>26091.31634529548</v>
      </c>
      <c r="DU44" s="22">
        <v>22861.234493349417</v>
      </c>
      <c r="DV44" s="22">
        <v>120.03617396449226</v>
      </c>
      <c r="DW44" s="22">
        <v>29.796777838202079</v>
      </c>
      <c r="DX44" s="22">
        <v>1.4445793125749018E-5</v>
      </c>
      <c r="EF44" s="22">
        <v>170</v>
      </c>
      <c r="EG44" s="22">
        <v>57998</v>
      </c>
      <c r="EH44" s="22">
        <v>58957.450925106677</v>
      </c>
      <c r="EI44" s="22">
        <v>33320.418076705646</v>
      </c>
      <c r="EJ44" s="22">
        <v>25426.907534735736</v>
      </c>
      <c r="EK44" s="22">
        <v>167.62587446786074</v>
      </c>
      <c r="EL44" s="22">
        <v>42.499424930362537</v>
      </c>
      <c r="EM44" s="22">
        <v>1.4267071606003468E-5</v>
      </c>
    </row>
    <row r="45" spans="2:143" x14ac:dyDescent="0.25">
      <c r="B45" s="24">
        <f>$B$11+($B$10-$B$11)*34/99</f>
        <v>103.66666666666666</v>
      </c>
      <c r="C45" s="22">
        <v>14581.320489017298</v>
      </c>
      <c r="P45" s="22">
        <f>IF('Data-Plot'!C45="","",$Q$11+('Data-Plot'!C45-'Data-Plot'!D45)*$P$9)</f>
        <v>7824.2662196841065</v>
      </c>
      <c r="Q45" s="22">
        <f>IF('Data-Plot'!C45="","",MAX('Data-Plot'!$C$11:$C$1010)*(1+$Q$9/100))</f>
        <v>7796.25</v>
      </c>
      <c r="R45" s="22">
        <f>IF('Data-Plot'!C45="","",('Data-Plot'!C45-'Data-Plot'!D45)*$P$9)</f>
        <v>28.01621968410609</v>
      </c>
      <c r="S45" s="20">
        <v>3647.9837803158975</v>
      </c>
      <c r="T45" s="20">
        <v>1774.1375180085836</v>
      </c>
      <c r="U45" s="20">
        <v>1862.3077342387851</v>
      </c>
      <c r="V45" s="20">
        <v>10.37848547072177</v>
      </c>
      <c r="W45" s="20">
        <v>1.1600409245730756</v>
      </c>
      <c r="X45" s="20">
        <v>1.6732341869586283E-6</v>
      </c>
      <c r="AE45" s="22">
        <v>175</v>
      </c>
      <c r="AF45" s="22">
        <v>3676</v>
      </c>
      <c r="AG45" s="22">
        <v>3647.9837803158975</v>
      </c>
      <c r="AH45" s="22">
        <v>1774.1375180085836</v>
      </c>
      <c r="AI45" s="22">
        <v>1862.3077342387851</v>
      </c>
      <c r="AJ45" s="22">
        <v>10.37848547072177</v>
      </c>
      <c r="AK45" s="22">
        <v>1.1600409245730756</v>
      </c>
      <c r="AL45" s="22">
        <v>1.6732341869586283E-6</v>
      </c>
      <c r="AT45" s="22">
        <v>175</v>
      </c>
      <c r="AU45" s="22">
        <v>6884</v>
      </c>
      <c r="AV45" s="22">
        <v>6817.8249313187698</v>
      </c>
      <c r="AW45" s="22">
        <v>2857.8654068757455</v>
      </c>
      <c r="AX45" s="22">
        <v>3934.9061499615059</v>
      </c>
      <c r="AY45" s="22">
        <v>22.428048691547904</v>
      </c>
      <c r="AZ45" s="22">
        <v>2.6253227666763665</v>
      </c>
      <c r="BA45" s="22">
        <v>3.0232943417974629E-6</v>
      </c>
      <c r="BI45" s="22">
        <v>175</v>
      </c>
      <c r="BJ45" s="22">
        <v>10877</v>
      </c>
      <c r="BK45" s="22">
        <v>10857.590957286913</v>
      </c>
      <c r="BL45" s="22">
        <v>3902.1329971435166</v>
      </c>
      <c r="BM45" s="22">
        <v>6932.2223422385186</v>
      </c>
      <c r="BN45" s="22">
        <v>18.712561068688331</v>
      </c>
      <c r="BO45" s="22">
        <v>4.5230508919170749</v>
      </c>
      <c r="BP45" s="22">
        <v>5.9442727249720031E-6</v>
      </c>
      <c r="BX45" s="22">
        <v>175</v>
      </c>
      <c r="BY45" s="22">
        <v>14911</v>
      </c>
      <c r="BZ45" s="22">
        <v>14867.602007444548</v>
      </c>
      <c r="CA45" s="22">
        <v>5212.8929075667202</v>
      </c>
      <c r="CB45" s="22">
        <v>9623.6077759885393</v>
      </c>
      <c r="CC45" s="22">
        <v>24.783226574636586</v>
      </c>
      <c r="CD45" s="22">
        <v>6.3180893616112002</v>
      </c>
      <c r="CE45" s="22">
        <v>7.9530396776526175E-6</v>
      </c>
      <c r="CM45" s="22">
        <v>175</v>
      </c>
      <c r="CN45" s="22">
        <v>27405</v>
      </c>
      <c r="CO45" s="22">
        <v>27639.747349912042</v>
      </c>
      <c r="CP45" s="22">
        <v>10506.966434797694</v>
      </c>
      <c r="CQ45" s="22">
        <v>17054.735244022922</v>
      </c>
      <c r="CR45" s="22">
        <v>62.779925983338963</v>
      </c>
      <c r="CS45" s="22">
        <v>15.265729606506127</v>
      </c>
      <c r="CT45" s="22">
        <v>1.5501583882910584E-5</v>
      </c>
      <c r="DB45" s="22">
        <v>175</v>
      </c>
      <c r="DC45" s="22">
        <v>40422</v>
      </c>
      <c r="DD45" s="22">
        <v>41159.006723829916</v>
      </c>
      <c r="DE45" s="22">
        <v>17239.012957425792</v>
      </c>
      <c r="DF45" s="22">
        <v>23750.89451867696</v>
      </c>
      <c r="DG45" s="22">
        <v>142.58149888333162</v>
      </c>
      <c r="DH45" s="22">
        <v>26.517724940018777</v>
      </c>
      <c r="DI45" s="22">
        <v>2.3903809395372233E-5</v>
      </c>
      <c r="DQ45" s="22">
        <v>175</v>
      </c>
      <c r="DR45" s="22">
        <v>52008</v>
      </c>
      <c r="DS45" s="22">
        <v>53171.937340291326</v>
      </c>
      <c r="DT45" s="22">
        <v>23176.389569493887</v>
      </c>
      <c r="DU45" s="22">
        <v>29780.414533270035</v>
      </c>
      <c r="DV45" s="22">
        <v>167.69240965160506</v>
      </c>
      <c r="DW45" s="22">
        <v>43.440798318935592</v>
      </c>
      <c r="DX45" s="22">
        <v>2.9556863487714873E-5</v>
      </c>
      <c r="EF45" s="22">
        <v>175</v>
      </c>
      <c r="EG45" s="22">
        <v>62012</v>
      </c>
      <c r="EH45" s="22">
        <v>64039.523686719367</v>
      </c>
      <c r="EI45" s="22">
        <v>30632.502285364044</v>
      </c>
      <c r="EJ45" s="22">
        <v>33110.911209567035</v>
      </c>
      <c r="EK45" s="22">
        <v>234.15068877137321</v>
      </c>
      <c r="EL45" s="22">
        <v>61.959473825711974</v>
      </c>
      <c r="EM45" s="22">
        <v>2.9191189723790733E-5</v>
      </c>
    </row>
    <row r="46" spans="2:143" x14ac:dyDescent="0.25">
      <c r="B46" s="24">
        <f>$B$11+($B$10-$B$11)*35/99</f>
        <v>106.13333333333333</v>
      </c>
      <c r="C46" s="22">
        <v>14913.293946289183</v>
      </c>
      <c r="P46" s="22">
        <f>IF('Data-Plot'!C46="","",$Q$11+('Data-Plot'!C46-'Data-Plot'!D46)*$P$9)</f>
        <v>7792.6442357087471</v>
      </c>
      <c r="Q46" s="22">
        <f>IF('Data-Plot'!C46="","",MAX('Data-Plot'!$C$11:$C$1010)*(1+$Q$9/100))</f>
        <v>7796.25</v>
      </c>
      <c r="R46" s="22">
        <f>IF('Data-Plot'!C46="","",('Data-Plot'!C46-'Data-Plot'!D46)*$P$9)</f>
        <v>-3.6057642912523988</v>
      </c>
      <c r="S46" s="20">
        <v>3768.6057642912579</v>
      </c>
      <c r="T46" s="20">
        <v>1346.265111650745</v>
      </c>
      <c r="U46" s="20">
        <v>2406.2917377875883</v>
      </c>
      <c r="V46" s="20">
        <v>14.371693401980497</v>
      </c>
      <c r="W46" s="20">
        <v>1.6772180810792987</v>
      </c>
      <c r="X46" s="20">
        <v>3.3698645647575921E-6</v>
      </c>
      <c r="AE46" s="22">
        <v>180</v>
      </c>
      <c r="AF46" s="22">
        <v>3765</v>
      </c>
      <c r="AG46" s="22">
        <v>3768.6057642912579</v>
      </c>
      <c r="AH46" s="22">
        <v>1346.265111650745</v>
      </c>
      <c r="AI46" s="22">
        <v>2406.2917377875883</v>
      </c>
      <c r="AJ46" s="22">
        <v>14.371693401980497</v>
      </c>
      <c r="AK46" s="22">
        <v>1.6772180810792987</v>
      </c>
      <c r="AL46" s="22">
        <v>3.3698645647575921E-6</v>
      </c>
      <c r="AT46" s="22">
        <v>180</v>
      </c>
      <c r="AU46" s="22">
        <v>7254</v>
      </c>
      <c r="AV46" s="22">
        <v>7229.9634917680423</v>
      </c>
      <c r="AW46" s="22">
        <v>2109.1216192884449</v>
      </c>
      <c r="AX46" s="22">
        <v>5086.0016844294796</v>
      </c>
      <c r="AY46" s="22">
        <v>31.044452801988609</v>
      </c>
      <c r="AZ46" s="22">
        <v>3.7957291592669886</v>
      </c>
      <c r="BA46" s="22">
        <v>6.0888622468016209E-6</v>
      </c>
      <c r="BI46" s="22">
        <v>180</v>
      </c>
      <c r="BJ46" s="22">
        <v>11557</v>
      </c>
      <c r="BK46" s="22">
        <v>11557.071505823638</v>
      </c>
      <c r="BL46" s="22">
        <v>2594.8534201760208</v>
      </c>
      <c r="BM46" s="22">
        <v>8929.7425833760753</v>
      </c>
      <c r="BN46" s="22">
        <v>25.935987491393149</v>
      </c>
      <c r="BO46" s="22">
        <v>6.539502808484972</v>
      </c>
      <c r="BP46" s="22">
        <v>1.1971661930584163E-5</v>
      </c>
      <c r="BX46" s="22">
        <v>180</v>
      </c>
      <c r="BY46" s="22">
        <v>16123</v>
      </c>
      <c r="BZ46" s="22">
        <v>16016.475850135623</v>
      </c>
      <c r="CA46" s="22">
        <v>3582.8734936891233</v>
      </c>
      <c r="CB46" s="22">
        <v>12390.113617627205</v>
      </c>
      <c r="CC46" s="22">
        <v>34.353919631516128</v>
      </c>
      <c r="CD46" s="22">
        <v>9.1348031704954558</v>
      </c>
      <c r="CE46" s="22">
        <v>1.6017283652209891E-5</v>
      </c>
      <c r="CM46" s="22">
        <v>180</v>
      </c>
      <c r="CN46" s="22">
        <v>30242</v>
      </c>
      <c r="CO46" s="22">
        <v>30176.704567453238</v>
      </c>
      <c r="CP46" s="22">
        <v>8139.5718827844803</v>
      </c>
      <c r="CQ46" s="22">
        <v>21928.038989615401</v>
      </c>
      <c r="CR46" s="22">
        <v>87.022407221129157</v>
      </c>
      <c r="CS46" s="22">
        <v>22.071256612310862</v>
      </c>
      <c r="CT46" s="22">
        <v>3.1219920453070758E-5</v>
      </c>
      <c r="DB46" s="22">
        <v>180</v>
      </c>
      <c r="DC46" s="22">
        <v>44249</v>
      </c>
      <c r="DD46" s="22">
        <v>45032.120311031686</v>
      </c>
      <c r="DE46" s="22">
        <v>14294.077960806346</v>
      </c>
      <c r="DF46" s="22">
        <v>30502.124795956344</v>
      </c>
      <c r="DG46" s="22">
        <v>197.57830973747053</v>
      </c>
      <c r="DH46" s="22">
        <v>38.339196389664309</v>
      </c>
      <c r="DI46" s="22">
        <v>4.8141856565276735E-5</v>
      </c>
      <c r="DQ46" s="22">
        <v>180</v>
      </c>
      <c r="DR46" s="22">
        <v>57522</v>
      </c>
      <c r="DS46" s="22">
        <v>57995.950875037219</v>
      </c>
      <c r="DT46" s="22">
        <v>19543.694153744011</v>
      </c>
      <c r="DU46" s="22">
        <v>38152.992401358963</v>
      </c>
      <c r="DV46" s="22">
        <v>232.45845048069933</v>
      </c>
      <c r="DW46" s="22">
        <v>62.805809926537407</v>
      </c>
      <c r="DX46" s="22">
        <v>5.9527009232268942E-5</v>
      </c>
      <c r="EF46" s="22">
        <v>180</v>
      </c>
      <c r="EG46" s="22">
        <v>68299</v>
      </c>
      <c r="EH46" s="22">
        <v>69676.227936766125</v>
      </c>
      <c r="EI46" s="22">
        <v>26861.757942163971</v>
      </c>
      <c r="EJ46" s="22">
        <v>42400.355906881137</v>
      </c>
      <c r="EK46" s="22">
        <v>324.53544573553694</v>
      </c>
      <c r="EL46" s="22">
        <v>89.578583194913975</v>
      </c>
      <c r="EM46" s="22">
        <v>5.8790548633390418E-5</v>
      </c>
    </row>
    <row r="47" spans="2:143" x14ac:dyDescent="0.25">
      <c r="B47" s="24">
        <f>$B$11+($B$10-$B$11)*36/99</f>
        <v>108.59999999999998</v>
      </c>
      <c r="C47" s="22">
        <v>15244.270011438317</v>
      </c>
      <c r="P47" s="22">
        <f>IF('Data-Plot'!C47="","",$Q$11+('Data-Plot'!C47-'Data-Plot'!D47)*$P$9)</f>
        <v>7796.2355015445601</v>
      </c>
      <c r="Q47" s="22">
        <f>IF('Data-Plot'!C47="","",MAX('Data-Plot'!$C$11:$C$1010)*(1+$Q$9/100))</f>
        <v>7796.25</v>
      </c>
      <c r="R47" s="22">
        <f>IF('Data-Plot'!C47="","",('Data-Plot'!C47-'Data-Plot'!D47)*$P$9)</f>
        <v>-1.4498455439934332E-2</v>
      </c>
      <c r="S47" s="20">
        <v>4032.0144984554454</v>
      </c>
      <c r="T47" s="20">
        <v>952.73218323846095</v>
      </c>
      <c r="U47" s="20">
        <v>3057.1349667181098</v>
      </c>
      <c r="V47" s="20">
        <v>19.741879356896781</v>
      </c>
      <c r="W47" s="20">
        <v>2.4054624580530657</v>
      </c>
      <c r="X47" s="20">
        <v>6.6839249777771527E-6</v>
      </c>
      <c r="AE47" s="22">
        <v>185</v>
      </c>
      <c r="AF47" s="22">
        <v>4032</v>
      </c>
      <c r="AG47" s="22">
        <v>4032.0144984554454</v>
      </c>
      <c r="AH47" s="22">
        <v>952.73218323846095</v>
      </c>
      <c r="AI47" s="22">
        <v>3057.1349667181098</v>
      </c>
      <c r="AJ47" s="22">
        <v>19.741879356896781</v>
      </c>
      <c r="AK47" s="22">
        <v>2.4054624580530657</v>
      </c>
      <c r="AL47" s="22">
        <v>6.6839249777771527E-6</v>
      </c>
      <c r="AT47" s="22">
        <v>185</v>
      </c>
      <c r="AU47" s="22">
        <v>7960</v>
      </c>
      <c r="AV47" s="22">
        <v>7959.9934650054129</v>
      </c>
      <c r="AW47" s="22">
        <v>1447.4203739756445</v>
      </c>
      <c r="AX47" s="22">
        <v>6464.5092275760308</v>
      </c>
      <c r="AY47" s="22">
        <v>42.620092023002428</v>
      </c>
      <c r="AZ47" s="22">
        <v>5.4437593538405986</v>
      </c>
      <c r="BA47" s="22">
        <v>1.2076894389603876E-5</v>
      </c>
      <c r="BI47" s="22">
        <v>185</v>
      </c>
      <c r="BJ47" s="22">
        <v>13089</v>
      </c>
      <c r="BK47" s="22">
        <v>12879.226597895731</v>
      </c>
      <c r="BL47" s="22">
        <v>1533.65401248333</v>
      </c>
      <c r="BM47" s="22">
        <v>11300.521601195996</v>
      </c>
      <c r="BN47" s="22">
        <v>35.672112304368149</v>
      </c>
      <c r="BO47" s="22">
        <v>9.3788481669603918</v>
      </c>
      <c r="BP47" s="22">
        <v>2.3745075995881948E-5</v>
      </c>
      <c r="BX47" s="22">
        <v>185</v>
      </c>
      <c r="BY47" s="22">
        <v>17968</v>
      </c>
      <c r="BZ47" s="22">
        <v>17968.118814427766</v>
      </c>
      <c r="CA47" s="22">
        <v>2238.9439931607699</v>
      </c>
      <c r="CB47" s="22">
        <v>15668.816389210118</v>
      </c>
      <c r="CC47" s="22">
        <v>47.257407178990782</v>
      </c>
      <c r="CD47" s="22">
        <v>13.100993108560258</v>
      </c>
      <c r="CE47" s="22">
        <v>3.176932490905085E-5</v>
      </c>
      <c r="CM47" s="22">
        <v>185</v>
      </c>
      <c r="CN47" s="22">
        <v>33612</v>
      </c>
      <c r="CO47" s="22">
        <v>33780.768749702365</v>
      </c>
      <c r="CP47" s="22">
        <v>5947.1490202667956</v>
      </c>
      <c r="CQ47" s="22">
        <v>27682.260528426097</v>
      </c>
      <c r="CR47" s="22">
        <v>119.70529786361722</v>
      </c>
      <c r="CS47" s="22">
        <v>31.653841223006918</v>
      </c>
      <c r="CT47" s="22">
        <v>6.1922846465569913E-5</v>
      </c>
      <c r="DB47" s="22">
        <v>185</v>
      </c>
      <c r="DC47" s="22">
        <v>49634</v>
      </c>
      <c r="DD47" s="22">
        <v>50099.72615469624</v>
      </c>
      <c r="DE47" s="22">
        <v>11324.899914966198</v>
      </c>
      <c r="DF47" s="22">
        <v>38448.175190232258</v>
      </c>
      <c r="DG47" s="22">
        <v>271.66669128307115</v>
      </c>
      <c r="DH47" s="22">
        <v>54.984262728221076</v>
      </c>
      <c r="DI47" s="22">
        <v>9.5486495455848834E-5</v>
      </c>
      <c r="DQ47" s="22">
        <v>185</v>
      </c>
      <c r="DR47" s="22">
        <v>64093</v>
      </c>
      <c r="DS47" s="22">
        <v>64119.157935822324</v>
      </c>
      <c r="DT47" s="22">
        <v>15761.657293039456</v>
      </c>
      <c r="DU47" s="22">
        <v>47943.644260092762</v>
      </c>
      <c r="DV47" s="22">
        <v>319.78455106141092</v>
      </c>
      <c r="DW47" s="22">
        <v>90.071713560437288</v>
      </c>
      <c r="DX47" s="22">
        <v>1.180682653774925E-4</v>
      </c>
      <c r="EF47" s="22">
        <v>185</v>
      </c>
      <c r="EG47" s="22">
        <v>76190</v>
      </c>
      <c r="EH47" s="22">
        <v>76447.654487736683</v>
      </c>
      <c r="EI47" s="22">
        <v>22623.170764401999</v>
      </c>
      <c r="EJ47" s="22">
        <v>53249.659734314853</v>
      </c>
      <c r="EK47" s="22">
        <v>446.35887910033455</v>
      </c>
      <c r="EL47" s="22">
        <v>128.46499331197063</v>
      </c>
      <c r="EM47" s="22">
        <v>1.166075398099687E-4</v>
      </c>
    </row>
    <row r="48" spans="2:143" x14ac:dyDescent="0.25">
      <c r="B48" s="24">
        <f>$B$11+($B$10-$B$11)*37/99</f>
        <v>111.06666666666666</v>
      </c>
      <c r="C48" s="22">
        <v>15574.25168106286</v>
      </c>
      <c r="P48" s="22">
        <f>IF('Data-Plot'!C48="","",$Q$11+('Data-Plot'!C48-'Data-Plot'!D48)*$P$9)</f>
        <v>7938.0759319503095</v>
      </c>
      <c r="Q48" s="22">
        <f>IF('Data-Plot'!C48="","",MAX('Data-Plot'!$C$11:$C$1010)*(1+$Q$9/100))</f>
        <v>7796.25</v>
      </c>
      <c r="R48" s="22">
        <f>IF('Data-Plot'!C48="","",('Data-Plot'!C48-'Data-Plot'!D48)*$P$9)</f>
        <v>141.8259319503095</v>
      </c>
      <c r="S48" s="20">
        <v>4473.1740680496932</v>
      </c>
      <c r="T48" s="20">
        <v>634.76054343600288</v>
      </c>
      <c r="U48" s="20">
        <v>3808.0910136287816</v>
      </c>
      <c r="V48" s="20">
        <v>26.899481902104476</v>
      </c>
      <c r="W48" s="20">
        <v>3.4230160202224265</v>
      </c>
      <c r="X48" s="20">
        <v>1.3062581925873253E-5</v>
      </c>
      <c r="AE48" s="22">
        <v>190</v>
      </c>
      <c r="AF48" s="22">
        <v>4615</v>
      </c>
      <c r="AG48" s="22">
        <v>4473.1740680496932</v>
      </c>
      <c r="AH48" s="22">
        <v>634.76054343600288</v>
      </c>
      <c r="AI48" s="22">
        <v>3808.0910136287816</v>
      </c>
      <c r="AJ48" s="22">
        <v>26.899481902104476</v>
      </c>
      <c r="AK48" s="22">
        <v>3.4230160202224265</v>
      </c>
      <c r="AL48" s="22">
        <v>1.3062581925873253E-5</v>
      </c>
      <c r="AT48" s="22">
        <v>190</v>
      </c>
      <c r="AU48" s="22">
        <v>9161</v>
      </c>
      <c r="AV48" s="22">
        <v>9055.8208634789771</v>
      </c>
      <c r="AW48" s="22">
        <v>932.88497602197754</v>
      </c>
      <c r="AX48" s="22">
        <v>8057.1627670567104</v>
      </c>
      <c r="AY48" s="22">
        <v>58.026666210662484</v>
      </c>
      <c r="AZ48" s="22">
        <v>7.7464305874125499</v>
      </c>
      <c r="BA48" s="22">
        <v>2.3602213203339872E-5</v>
      </c>
      <c r="BI48" s="22">
        <v>190</v>
      </c>
      <c r="BJ48" s="22">
        <v>14648</v>
      </c>
      <c r="BK48" s="22">
        <v>14879.64332953542</v>
      </c>
      <c r="BL48" s="22">
        <v>810.67588477498236</v>
      </c>
      <c r="BM48" s="22">
        <v>14006.932366390791</v>
      </c>
      <c r="BN48" s="22">
        <v>48.688951121999729</v>
      </c>
      <c r="BO48" s="22">
        <v>13.346080841979079</v>
      </c>
      <c r="BP48" s="22">
        <v>4.6405667542853494E-5</v>
      </c>
      <c r="BX48" s="22">
        <v>190</v>
      </c>
      <c r="BY48" s="22">
        <v>20719</v>
      </c>
      <c r="BZ48" s="22">
        <v>20771.511455648044</v>
      </c>
      <c r="CA48" s="22">
        <v>1284.127474202038</v>
      </c>
      <c r="CB48" s="22">
        <v>19404.225705601399</v>
      </c>
      <c r="CC48" s="22">
        <v>64.515513334777225</v>
      </c>
      <c r="CD48" s="22">
        <v>18.642700422149026</v>
      </c>
      <c r="CE48" s="22">
        <v>6.2087682098048119E-5</v>
      </c>
      <c r="CM48" s="22">
        <v>190</v>
      </c>
      <c r="CN48" s="22">
        <v>38551</v>
      </c>
      <c r="CO48" s="22">
        <v>38550.693605067499</v>
      </c>
      <c r="CP48" s="22">
        <v>4137.5941622954851</v>
      </c>
      <c r="CQ48" s="22">
        <v>34204.641735085264</v>
      </c>
      <c r="CR48" s="22">
        <v>163.415040503711</v>
      </c>
      <c r="CS48" s="22">
        <v>45.042546165484872</v>
      </c>
      <c r="CT48" s="22">
        <v>1.2101755438853396E-4</v>
      </c>
      <c r="DB48" s="22">
        <v>190</v>
      </c>
      <c r="DC48" s="22">
        <v>56594</v>
      </c>
      <c r="DD48" s="22">
        <v>56509.61905608885</v>
      </c>
      <c r="DE48" s="22">
        <v>8645.5081216683775</v>
      </c>
      <c r="DF48" s="22">
        <v>47415.222726365064</v>
      </c>
      <c r="DG48" s="22">
        <v>370.6479451726608</v>
      </c>
      <c r="DH48" s="22">
        <v>78.240076270811585</v>
      </c>
      <c r="DI48" s="22">
        <v>1.8661193429169858E-4</v>
      </c>
      <c r="DQ48" s="22">
        <v>190</v>
      </c>
      <c r="DR48" s="22">
        <v>72033</v>
      </c>
      <c r="DS48" s="22">
        <v>71721.879347683731</v>
      </c>
      <c r="DT48" s="22">
        <v>12256.117367623669</v>
      </c>
      <c r="DU48" s="22">
        <v>58897.003454118356</v>
      </c>
      <c r="DV48" s="22">
        <v>436.59325467891318</v>
      </c>
      <c r="DW48" s="22">
        <v>128.16504051866542</v>
      </c>
      <c r="DX48" s="22">
        <v>2.3074412016664791E-4</v>
      </c>
      <c r="EF48" s="22">
        <v>190</v>
      </c>
      <c r="EG48" s="22">
        <v>84651</v>
      </c>
      <c r="EH48" s="22">
        <v>84594.794326809249</v>
      </c>
      <c r="EI48" s="22">
        <v>18435.693713338682</v>
      </c>
      <c r="EJ48" s="22">
        <v>65367.081017455173</v>
      </c>
      <c r="EK48" s="22">
        <v>609.22848293752679</v>
      </c>
      <c r="EL48" s="22">
        <v>182.79088518848388</v>
      </c>
      <c r="EM48" s="22">
        <v>2.2788938331982938E-4</v>
      </c>
    </row>
    <row r="49" spans="2:143" x14ac:dyDescent="0.25">
      <c r="B49" s="24">
        <f>$B$11+($B$10-$B$11)*38/99</f>
        <v>113.53333333333333</v>
      </c>
      <c r="C49" s="22">
        <v>15903.241942757861</v>
      </c>
      <c r="P49" s="22">
        <f>IF('Data-Plot'!C49="","",$Q$11+('Data-Plot'!C49-'Data-Plot'!D49)*$P$9)</f>
        <v>8017.7230318915008</v>
      </c>
      <c r="Q49" s="22">
        <f>IF('Data-Plot'!C49="","",MAX('Data-Plot'!$C$11:$C$1010)*(1+$Q$9/100))</f>
        <v>7796.25</v>
      </c>
      <c r="R49" s="22">
        <f>IF('Data-Plot'!C49="","",('Data-Plot'!C49-'Data-Plot'!D49)*$P$9)</f>
        <v>221.4730318915008</v>
      </c>
      <c r="S49" s="20">
        <v>5077.5269681085019</v>
      </c>
      <c r="T49" s="20">
        <v>402.39668804581811</v>
      </c>
      <c r="U49" s="20">
        <v>4633.9466014052687</v>
      </c>
      <c r="V49" s="20">
        <v>36.349477091184085</v>
      </c>
      <c r="W49" s="20">
        <v>4.8341764004402688</v>
      </c>
      <c r="X49" s="20">
        <v>2.516579096698227E-5</v>
      </c>
      <c r="AE49" s="22">
        <v>195</v>
      </c>
      <c r="AF49" s="22">
        <v>5299</v>
      </c>
      <c r="AG49" s="22">
        <v>5077.5269681085019</v>
      </c>
      <c r="AH49" s="22">
        <v>402.39668804581811</v>
      </c>
      <c r="AI49" s="22">
        <v>4633.9466014052687</v>
      </c>
      <c r="AJ49" s="22">
        <v>36.349477091184085</v>
      </c>
      <c r="AK49" s="22">
        <v>4.8341764004402688</v>
      </c>
      <c r="AL49" s="22">
        <v>2.516579096698227E-5</v>
      </c>
      <c r="AT49" s="22">
        <v>195</v>
      </c>
      <c r="AU49" s="22">
        <v>10363</v>
      </c>
      <c r="AV49" s="22">
        <v>10472.267588045854</v>
      </c>
      <c r="AW49" s="22">
        <v>570.99148957599084</v>
      </c>
      <c r="AX49" s="22">
        <v>9812.0082705635577</v>
      </c>
      <c r="AY49" s="22">
        <v>78.328108477148689</v>
      </c>
      <c r="AZ49" s="22">
        <v>10.939673958179874</v>
      </c>
      <c r="BA49" s="22">
        <v>4.5470977108817858E-5</v>
      </c>
      <c r="BI49" s="22">
        <v>195</v>
      </c>
      <c r="BJ49" s="22">
        <v>17536</v>
      </c>
      <c r="BK49" s="22">
        <v>17413.574471195265</v>
      </c>
      <c r="BL49" s="22">
        <v>387.4743529305569</v>
      </c>
      <c r="BM49" s="22">
        <v>16941.305004782775</v>
      </c>
      <c r="BN49" s="22">
        <v>65.947310850320193</v>
      </c>
      <c r="BO49" s="22">
        <v>18.847713228516593</v>
      </c>
      <c r="BP49" s="22">
        <v>8.9403100759784018E-5</v>
      </c>
      <c r="BX49" s="22">
        <v>195</v>
      </c>
      <c r="BY49" s="22">
        <v>24232</v>
      </c>
      <c r="BZ49" s="22">
        <v>24240.9736669585</v>
      </c>
      <c r="CA49" s="22">
        <v>684.2764267772227</v>
      </c>
      <c r="CB49" s="22">
        <v>23442.960156520341</v>
      </c>
      <c r="CC49" s="22">
        <v>87.409184057527668</v>
      </c>
      <c r="CD49" s="22">
        <v>26.327779988035402</v>
      </c>
      <c r="CE49" s="22">
        <v>1.1961537443007634E-4</v>
      </c>
      <c r="CM49" s="22">
        <v>195</v>
      </c>
      <c r="CN49" s="22">
        <v>44602</v>
      </c>
      <c r="CO49" s="22">
        <v>44259.492377485331</v>
      </c>
      <c r="CP49" s="22">
        <v>2768.2503423616486</v>
      </c>
      <c r="CQ49" s="22">
        <v>41206.240244326909</v>
      </c>
      <c r="CR49" s="22">
        <v>221.39280384891239</v>
      </c>
      <c r="CS49" s="22">
        <v>63.608753800803314</v>
      </c>
      <c r="CT49" s="22">
        <v>2.3314705244467516E-4</v>
      </c>
      <c r="DB49" s="22">
        <v>195</v>
      </c>
      <c r="DC49" s="22">
        <v>64072</v>
      </c>
      <c r="DD49" s="22">
        <v>64005.338029750994</v>
      </c>
      <c r="DE49" s="22">
        <v>6411.6574059064933</v>
      </c>
      <c r="DF49" s="22">
        <v>56981.440548695668</v>
      </c>
      <c r="DG49" s="22">
        <v>501.75169127477858</v>
      </c>
      <c r="DH49" s="22">
        <v>110.48802435578011</v>
      </c>
      <c r="DI49" s="22">
        <v>3.5951827518448725E-4</v>
      </c>
      <c r="DQ49" s="22">
        <v>195</v>
      </c>
      <c r="DR49" s="22">
        <v>80571</v>
      </c>
      <c r="DS49" s="22">
        <v>80485.109352024578</v>
      </c>
      <c r="DT49" s="22">
        <v>9261.925457640531</v>
      </c>
      <c r="DU49" s="22">
        <v>70446.631637029073</v>
      </c>
      <c r="DV49" s="22">
        <v>591.56715151615049</v>
      </c>
      <c r="DW49" s="22">
        <v>180.98466129744114</v>
      </c>
      <c r="DX49" s="22">
        <v>4.4454138699586023E-4</v>
      </c>
      <c r="EF49" s="22">
        <v>195</v>
      </c>
      <c r="EG49" s="22">
        <v>94120</v>
      </c>
      <c r="EH49" s="22">
        <v>93839.226321818482</v>
      </c>
      <c r="EI49" s="22">
        <v>14640.96458958708</v>
      </c>
      <c r="EJ49" s="22">
        <v>78114.986083391777</v>
      </c>
      <c r="EK49" s="22">
        <v>825.16181152391516</v>
      </c>
      <c r="EL49" s="22">
        <v>258.11339827415156</v>
      </c>
      <c r="EM49" s="22">
        <v>4.3904157787349936E-4</v>
      </c>
    </row>
    <row r="50" spans="2:143" x14ac:dyDescent="0.25">
      <c r="B50" s="24">
        <f>$B$11+($B$10-$B$11)*39/99</f>
        <v>115.99999999999999</v>
      </c>
      <c r="C50" s="22">
        <v>16231.243775142362</v>
      </c>
      <c r="P50" s="22">
        <f>IF('Data-Plot'!C50="","",$Q$11+('Data-Plot'!C50-'Data-Plot'!D50)*$P$9)</f>
        <v>7693.7183652792255</v>
      </c>
      <c r="Q50" s="22">
        <f>IF('Data-Plot'!C50="","",MAX('Data-Plot'!$C$11:$C$1010)*(1+$Q$9/100))</f>
        <v>7796.25</v>
      </c>
      <c r="R50" s="22">
        <f>IF('Data-Plot'!C50="","",('Data-Plot'!C50-'Data-Plot'!D50)*$P$9)</f>
        <v>-102.53163472077449</v>
      </c>
      <c r="S50" s="20">
        <v>5784.5316347207754</v>
      </c>
      <c r="T50" s="20">
        <v>245.3065397877057</v>
      </c>
      <c r="U50" s="20">
        <v>5483.7489810951392</v>
      </c>
      <c r="V50" s="20">
        <v>48.699115659752174</v>
      </c>
      <c r="W50" s="20">
        <v>6.7769503621721814</v>
      </c>
      <c r="X50" s="20">
        <v>4.7816006076482E-5</v>
      </c>
      <c r="AE50" s="22">
        <v>200</v>
      </c>
      <c r="AF50" s="22">
        <v>5682</v>
      </c>
      <c r="AG50" s="22">
        <v>5784.5316347207754</v>
      </c>
      <c r="AH50" s="22">
        <v>245.3065397877057</v>
      </c>
      <c r="AI50" s="22">
        <v>5483.7489810951392</v>
      </c>
      <c r="AJ50" s="22">
        <v>48.699115659752174</v>
      </c>
      <c r="AK50" s="22">
        <v>6.7769503621721814</v>
      </c>
      <c r="AL50" s="22">
        <v>4.7816006076482E-5</v>
      </c>
      <c r="AT50" s="22">
        <v>200</v>
      </c>
      <c r="AU50" s="22">
        <v>12080</v>
      </c>
      <c r="AV50" s="22">
        <v>12078.654008456035</v>
      </c>
      <c r="AW50" s="22">
        <v>335.59729470284043</v>
      </c>
      <c r="AX50" s="22">
        <v>11622.931950538043</v>
      </c>
      <c r="AY50" s="22">
        <v>104.7890696827035</v>
      </c>
      <c r="AZ50" s="22">
        <v>15.335607135779957</v>
      </c>
      <c r="BA50" s="22">
        <v>8.63966691884208E-5</v>
      </c>
      <c r="BI50" s="22">
        <v>200</v>
      </c>
      <c r="BJ50" s="22">
        <v>20316</v>
      </c>
      <c r="BK50" s="22">
        <v>20188.361900045507</v>
      </c>
      <c r="BL50" s="22">
        <v>169.85283478785817</v>
      </c>
      <c r="BM50" s="22">
        <v>19903.457038517518</v>
      </c>
      <c r="BN50" s="22">
        <v>88.630305668207868</v>
      </c>
      <c r="BO50" s="22">
        <v>26.421551202472838</v>
      </c>
      <c r="BP50" s="22">
        <v>1.6986945524749767E-4</v>
      </c>
      <c r="BX50" s="22">
        <v>200</v>
      </c>
      <c r="BY50" s="22">
        <v>28002</v>
      </c>
      <c r="BZ50" s="22">
        <v>28001.139006927413</v>
      </c>
      <c r="CA50" s="22">
        <v>343.35480070585851</v>
      </c>
      <c r="CB50" s="22">
        <v>27503.356156322923</v>
      </c>
      <c r="CC50" s="22">
        <v>117.5203253272058</v>
      </c>
      <c r="CD50" s="22">
        <v>36.907497297443953</v>
      </c>
      <c r="CE50" s="22">
        <v>2.2727397956919185E-4</v>
      </c>
      <c r="CM50" s="22">
        <v>200</v>
      </c>
      <c r="CN50" s="22">
        <v>50380</v>
      </c>
      <c r="CO50" s="22">
        <v>50356.298770998306</v>
      </c>
      <c r="CP50" s="22">
        <v>1797.6964722109874</v>
      </c>
      <c r="CQ50" s="22">
        <v>48171.796287203404</v>
      </c>
      <c r="CR50" s="22">
        <v>297.63919228168248</v>
      </c>
      <c r="CS50" s="22">
        <v>89.166376313545285</v>
      </c>
      <c r="CT50" s="22">
        <v>4.4298869305730654E-4</v>
      </c>
      <c r="DB50" s="22">
        <v>200</v>
      </c>
      <c r="DC50" s="22">
        <v>72370</v>
      </c>
      <c r="DD50" s="22">
        <v>71894.047693307715</v>
      </c>
      <c r="DE50" s="22">
        <v>4653.3522820381295</v>
      </c>
      <c r="DF50" s="22">
        <v>66411.985216029963</v>
      </c>
      <c r="DG50" s="22">
        <v>673.8320694827554</v>
      </c>
      <c r="DH50" s="22">
        <v>154.87744265781927</v>
      </c>
      <c r="DI50" s="22">
        <v>6.8309905320342696E-4</v>
      </c>
      <c r="DQ50" s="22">
        <v>200</v>
      </c>
      <c r="DR50" s="22">
        <v>90278</v>
      </c>
      <c r="DS50" s="22">
        <v>89553.805891428565</v>
      </c>
      <c r="DT50" s="22">
        <v>6851.0247598049609</v>
      </c>
      <c r="DU50" s="22">
        <v>81649.658362809118</v>
      </c>
      <c r="DV50" s="22">
        <v>795.43657476692715</v>
      </c>
      <c r="DW50" s="22">
        <v>253.68534940120409</v>
      </c>
      <c r="DX50" s="22">
        <v>8.4464635482556184E-4</v>
      </c>
      <c r="EF50" s="22">
        <v>200</v>
      </c>
      <c r="EG50" s="22">
        <v>103743</v>
      </c>
      <c r="EH50" s="22">
        <v>103315.78473661243</v>
      </c>
      <c r="EI50" s="22">
        <v>11404.602965642665</v>
      </c>
      <c r="EJ50" s="22">
        <v>90440.449648021546</v>
      </c>
      <c r="EK50" s="22">
        <v>1108.9539045128843</v>
      </c>
      <c r="EL50" s="22">
        <v>361.77738423882204</v>
      </c>
      <c r="EM50" s="22">
        <v>8.341964992195826E-4</v>
      </c>
    </row>
    <row r="51" spans="2:143" x14ac:dyDescent="0.25">
      <c r="B51" s="24">
        <f>$B$11+($B$10-$B$11)*40/99</f>
        <v>118.46666666666667</v>
      </c>
      <c r="C51" s="22">
        <v>16558.260147886347</v>
      </c>
      <c r="P51" s="22">
        <f>IF('Data-Plot'!C51="","",$Q$11+('Data-Plot'!C51-'Data-Plot'!D51)*$P$9)</f>
        <v>7738.2408191402637</v>
      </c>
      <c r="Q51" s="22">
        <f>IF('Data-Plot'!C51="","",MAX('Data-Plot'!$C$11:$C$1010)*(1+$Q$9/100))</f>
        <v>7796.25</v>
      </c>
      <c r="R51" s="22">
        <f>IF('Data-Plot'!C51="","",('Data-Plot'!C51-'Data-Plot'!D51)*$P$9)</f>
        <v>-58.009180859736261</v>
      </c>
      <c r="S51" s="20">
        <v>6495.0091808597381</v>
      </c>
      <c r="T51" s="20">
        <v>145.21642369712526</v>
      </c>
      <c r="U51" s="20">
        <v>6275.7028591363305</v>
      </c>
      <c r="V51" s="20">
        <v>64.657195191795694</v>
      </c>
      <c r="W51" s="20">
        <v>9.4326131936331699</v>
      </c>
      <c r="X51" s="20">
        <v>8.9640853265587474E-5</v>
      </c>
      <c r="AE51" s="22">
        <v>205</v>
      </c>
      <c r="AF51" s="22">
        <v>6437</v>
      </c>
      <c r="AG51" s="22">
        <v>6495.0091808597381</v>
      </c>
      <c r="AH51" s="22">
        <v>145.21642369712526</v>
      </c>
      <c r="AI51" s="22">
        <v>6275.7028591363305</v>
      </c>
      <c r="AJ51" s="22">
        <v>64.657195191795694</v>
      </c>
      <c r="AK51" s="22">
        <v>9.4326131936331699</v>
      </c>
      <c r="AL51" s="22">
        <v>8.9640853265587474E-5</v>
      </c>
      <c r="AT51" s="22">
        <v>205</v>
      </c>
      <c r="AU51" s="22">
        <v>13532</v>
      </c>
      <c r="AV51" s="22">
        <v>13670.090483552154</v>
      </c>
      <c r="AW51" s="22">
        <v>191.35003529649052</v>
      </c>
      <c r="AX51" s="22">
        <v>13318.535678088945</v>
      </c>
      <c r="AY51" s="22">
        <v>138.86052774578647</v>
      </c>
      <c r="AZ51" s="22">
        <v>21.344080452758462</v>
      </c>
      <c r="BA51" s="22">
        <v>1.6196817292243483E-4</v>
      </c>
      <c r="BI51" s="22">
        <v>205</v>
      </c>
      <c r="BJ51" s="22">
        <v>22742</v>
      </c>
      <c r="BK51" s="22">
        <v>22814.660035344848</v>
      </c>
      <c r="BL51" s="22">
        <v>69.360521549194658</v>
      </c>
      <c r="BM51" s="22">
        <v>22590.358654338801</v>
      </c>
      <c r="BN51" s="22">
        <v>118.16669573357927</v>
      </c>
      <c r="BO51" s="22">
        <v>36.773845268340665</v>
      </c>
      <c r="BP51" s="22">
        <v>3.1845492997533716E-4</v>
      </c>
      <c r="BX51" s="22">
        <v>205</v>
      </c>
      <c r="BY51" s="22">
        <v>31094</v>
      </c>
      <c r="BZ51" s="22">
        <v>31535.318714855111</v>
      </c>
      <c r="CA51" s="22">
        <v>164.39889229417003</v>
      </c>
      <c r="CB51" s="22">
        <v>31162.783747824295</v>
      </c>
      <c r="CC51" s="22">
        <v>156.76721520578306</v>
      </c>
      <c r="CD51" s="22">
        <v>51.368433459447751</v>
      </c>
      <c r="CE51" s="22">
        <v>4.2607141558101565E-4</v>
      </c>
      <c r="CM51" s="22">
        <v>205</v>
      </c>
      <c r="CN51" s="22">
        <v>55780</v>
      </c>
      <c r="CO51" s="22">
        <v>56008.297149247832</v>
      </c>
      <c r="CP51" s="22">
        <v>1142.4352793943165</v>
      </c>
      <c r="CQ51" s="22">
        <v>54344.762534366346</v>
      </c>
      <c r="CR51" s="22">
        <v>397.00177935784194</v>
      </c>
      <c r="CS51" s="22">
        <v>124.09672565669372</v>
      </c>
      <c r="CT51" s="22">
        <v>8.3047262862578962E-4</v>
      </c>
      <c r="DB51" s="22">
        <v>205</v>
      </c>
      <c r="DC51" s="22">
        <v>79334</v>
      </c>
      <c r="DD51" s="22">
        <v>79086.149250814153</v>
      </c>
      <c r="DE51" s="22">
        <v>3325.7682218486912</v>
      </c>
      <c r="DF51" s="22">
        <v>74647.338241801714</v>
      </c>
      <c r="DG51" s="22">
        <v>897.49964095653365</v>
      </c>
      <c r="DH51" s="22">
        <v>215.54186559876263</v>
      </c>
      <c r="DI51" s="22">
        <v>1.28060845509696E-3</v>
      </c>
      <c r="DQ51" s="22">
        <v>205</v>
      </c>
      <c r="DR51" s="22">
        <v>97607</v>
      </c>
      <c r="DS51" s="22">
        <v>97607.181851318455</v>
      </c>
      <c r="DT51" s="22">
        <v>4990.7523066631747</v>
      </c>
      <c r="DU51" s="22">
        <v>91198.171405653004</v>
      </c>
      <c r="DV51" s="22">
        <v>1061.2263658679726</v>
      </c>
      <c r="DW51" s="22">
        <v>353.03018967248414</v>
      </c>
      <c r="DX51" s="22">
        <v>1.5834618111306735E-3</v>
      </c>
      <c r="EF51" s="22">
        <v>205</v>
      </c>
      <c r="EG51" s="22">
        <v>111636</v>
      </c>
      <c r="EH51" s="22">
        <v>111636.13920960957</v>
      </c>
      <c r="EI51" s="22">
        <v>8761.1779964717462</v>
      </c>
      <c r="EJ51" s="22">
        <v>100893.07879420558</v>
      </c>
      <c r="EK51" s="22">
        <v>1478.465905680348</v>
      </c>
      <c r="EL51" s="22">
        <v>503.41494938047799</v>
      </c>
      <c r="EM51" s="22">
        <v>1.5638714294856628E-3</v>
      </c>
    </row>
    <row r="52" spans="2:143" x14ac:dyDescent="0.25">
      <c r="B52" s="24">
        <f>$B$11+($B$10-$B$11)*41/99</f>
        <v>120.93333333333332</v>
      </c>
      <c r="C52" s="22">
        <v>16884.294021737602</v>
      </c>
      <c r="P52" s="22">
        <f>IF('Data-Plot'!C52="","",$Q$11+('Data-Plot'!C52-'Data-Plot'!D52)*$P$9)</f>
        <v>7897.3926903848978</v>
      </c>
      <c r="Q52" s="22">
        <f>IF('Data-Plot'!C52="","",MAX('Data-Plot'!$C$11:$C$1010)*(1+$Q$9/100))</f>
        <v>7796.25</v>
      </c>
      <c r="R52" s="22">
        <f>IF('Data-Plot'!C52="","",('Data-Plot'!C52-'Data-Plot'!D52)*$P$9)</f>
        <v>101.14269038489783</v>
      </c>
      <c r="S52" s="20">
        <v>7080.8573096151031</v>
      </c>
      <c r="T52" s="20">
        <v>84.188629752628216</v>
      </c>
      <c r="U52" s="20">
        <v>6898.6129223021944</v>
      </c>
      <c r="V52" s="20">
        <v>85.018064505113529</v>
      </c>
      <c r="W52" s="20">
        <v>13.037527176845582</v>
      </c>
      <c r="X52" s="20">
        <v>1.6587832238774671E-4</v>
      </c>
      <c r="AE52" s="22">
        <v>210</v>
      </c>
      <c r="AF52" s="22">
        <v>7182</v>
      </c>
      <c r="AG52" s="22">
        <v>7080.8573096151031</v>
      </c>
      <c r="AH52" s="22">
        <v>84.188629752628216</v>
      </c>
      <c r="AI52" s="22">
        <v>6898.6129223021944</v>
      </c>
      <c r="AJ52" s="22">
        <v>85.018064505113529</v>
      </c>
      <c r="AK52" s="22">
        <v>13.037527176845582</v>
      </c>
      <c r="AL52" s="22">
        <v>1.6587832238774671E-4</v>
      </c>
      <c r="AT52" s="22">
        <v>210</v>
      </c>
      <c r="AU52" s="22">
        <v>14973</v>
      </c>
      <c r="AV52" s="22">
        <v>14982.909022890231</v>
      </c>
      <c r="AW52" s="22">
        <v>106.78306189142113</v>
      </c>
      <c r="AX52" s="22">
        <v>14664.500170448546</v>
      </c>
      <c r="AY52" s="22">
        <v>182.1262260545771</v>
      </c>
      <c r="AZ52" s="22">
        <v>29.49926477733532</v>
      </c>
      <c r="BA52" s="22">
        <v>2.9971835157170749E-4</v>
      </c>
      <c r="BI52" s="22">
        <v>210</v>
      </c>
      <c r="BJ52" s="22">
        <v>24539</v>
      </c>
      <c r="BK52" s="22">
        <v>24847.408335223736</v>
      </c>
      <c r="BL52" s="22">
        <v>26.796572668881485</v>
      </c>
      <c r="BM52" s="22">
        <v>24613.546516642276</v>
      </c>
      <c r="BN52" s="22">
        <v>156.23950431466812</v>
      </c>
      <c r="BO52" s="22">
        <v>50.825152304440145</v>
      </c>
      <c r="BP52" s="22">
        <v>5.892934674666412E-4</v>
      </c>
      <c r="BX52" s="22">
        <v>210</v>
      </c>
      <c r="BY52" s="22">
        <v>34126</v>
      </c>
      <c r="BZ52" s="22">
        <v>34238.777618764856</v>
      </c>
      <c r="CA52" s="22">
        <v>76.026567280025688</v>
      </c>
      <c r="CB52" s="22">
        <v>33884.330596092477</v>
      </c>
      <c r="CC52" s="22">
        <v>207.42310129552945</v>
      </c>
      <c r="CD52" s="22">
        <v>70.996565661545233</v>
      </c>
      <c r="CE52" s="22">
        <v>7.8843528023060379E-4</v>
      </c>
      <c r="CM52" s="22">
        <v>210</v>
      </c>
      <c r="CN52" s="22">
        <v>60072</v>
      </c>
      <c r="CO52" s="22">
        <v>60197.70766614555</v>
      </c>
      <c r="CP52" s="22">
        <v>715.35753472869726</v>
      </c>
      <c r="CQ52" s="22">
        <v>58785.627665168249</v>
      </c>
      <c r="CR52" s="22">
        <v>525.21856398267869</v>
      </c>
      <c r="CS52" s="22">
        <v>171.50236549558116</v>
      </c>
      <c r="CT52" s="22">
        <v>1.5367703482390765E-3</v>
      </c>
      <c r="DB52" s="22">
        <v>210</v>
      </c>
      <c r="DC52" s="22">
        <v>84233</v>
      </c>
      <c r="DD52" s="22">
        <v>84233.003197638769</v>
      </c>
      <c r="DE52" s="22">
        <v>2352.6708335204858</v>
      </c>
      <c r="DF52" s="22">
        <v>80397.348694246204</v>
      </c>
      <c r="DG52" s="22">
        <v>1185.1162080673798</v>
      </c>
      <c r="DH52" s="22">
        <v>297.86509206842499</v>
      </c>
      <c r="DI52" s="22">
        <v>2.3697362568446609E-3</v>
      </c>
      <c r="DQ52" s="22">
        <v>210</v>
      </c>
      <c r="DR52" s="22">
        <v>102487</v>
      </c>
      <c r="DS52" s="22">
        <v>103061.00739535669</v>
      </c>
      <c r="DT52" s="22">
        <v>3598.3026073523406</v>
      </c>
      <c r="DU52" s="22">
        <v>97566.486502677973</v>
      </c>
      <c r="DV52" s="22">
        <v>1404.3922453784694</v>
      </c>
      <c r="DW52" s="22">
        <v>487.82310978853172</v>
      </c>
      <c r="DX52" s="22">
        <v>2.9301593729778516E-3</v>
      </c>
      <c r="EF52" s="22">
        <v>210</v>
      </c>
      <c r="EG52" s="22">
        <v>116509</v>
      </c>
      <c r="EH52" s="22">
        <v>117111.94039736429</v>
      </c>
      <c r="EI52" s="22">
        <v>6667.2469870970663</v>
      </c>
      <c r="EJ52" s="22">
        <v>107794.40693934403</v>
      </c>
      <c r="EK52" s="22">
        <v>1954.7267802821948</v>
      </c>
      <c r="EL52" s="22">
        <v>695.5567967331715</v>
      </c>
      <c r="EM52" s="22">
        <v>2.8939078374679104E-3</v>
      </c>
    </row>
    <row r="53" spans="2:143" x14ac:dyDescent="0.25">
      <c r="B53" s="24">
        <f>$B$11+($B$10-$B$11)*42/99</f>
        <v>123.39999999999999</v>
      </c>
      <c r="C53" s="22">
        <v>17209.348348548552</v>
      </c>
      <c r="P53" s="22">
        <f>IF('Data-Plot'!C53="","",$Q$11+('Data-Plot'!C53-'Data-Plot'!D53)*$P$9)</f>
        <v>7591.2662989872706</v>
      </c>
      <c r="Q53" s="22">
        <f>IF('Data-Plot'!C53="","",MAX('Data-Plot'!$C$11:$C$1010)*(1+$Q$9/100))</f>
        <v>7796.25</v>
      </c>
      <c r="R53" s="22">
        <f>IF('Data-Plot'!C53="","",('Data-Plot'!C53-'Data-Plot'!D53)*$P$9)</f>
        <v>-204.9837010127294</v>
      </c>
      <c r="S53" s="20">
        <v>7401.9837010127303</v>
      </c>
      <c r="T53" s="20">
        <v>48.136374382566522</v>
      </c>
      <c r="U53" s="20">
        <v>7225.3284902954074</v>
      </c>
      <c r="V53" s="20">
        <v>110.62094975880264</v>
      </c>
      <c r="W53" s="20">
        <v>17.897583467648747</v>
      </c>
      <c r="X53" s="20">
        <v>3.0310830542668721E-4</v>
      </c>
      <c r="AE53" s="22">
        <v>215</v>
      </c>
      <c r="AF53" s="22">
        <v>7197</v>
      </c>
      <c r="AG53" s="22">
        <v>7401.9837010127303</v>
      </c>
      <c r="AH53" s="22">
        <v>48.136374382566522</v>
      </c>
      <c r="AI53" s="22">
        <v>7225.3284902954074</v>
      </c>
      <c r="AJ53" s="22">
        <v>110.62094975880264</v>
      </c>
      <c r="AK53" s="22">
        <v>17.897583467648747</v>
      </c>
      <c r="AL53" s="22">
        <v>3.0310830542668721E-4</v>
      </c>
      <c r="AT53" s="22">
        <v>215</v>
      </c>
      <c r="AU53" s="22">
        <v>15760</v>
      </c>
      <c r="AV53" s="22">
        <v>15726.408432634364</v>
      </c>
      <c r="AW53" s="22">
        <v>58.752155242995144</v>
      </c>
      <c r="AX53" s="22">
        <v>15390.975252634616</v>
      </c>
      <c r="AY53" s="22">
        <v>236.18842401076421</v>
      </c>
      <c r="AZ53" s="22">
        <v>40.492053072728972</v>
      </c>
      <c r="BA53" s="22">
        <v>5.4767325925393628E-4</v>
      </c>
      <c r="BI53" s="22">
        <v>215</v>
      </c>
      <c r="BJ53" s="22">
        <v>25662</v>
      </c>
      <c r="BK53" s="22">
        <v>25844.174292188876</v>
      </c>
      <c r="BL53" s="22">
        <v>9.9347100798097028</v>
      </c>
      <c r="BM53" s="22">
        <v>25559.705633233647</v>
      </c>
      <c r="BN53" s="22">
        <v>204.76661628247541</v>
      </c>
      <c r="BO53" s="22">
        <v>69.766255781098792</v>
      </c>
      <c r="BP53" s="22">
        <v>1.0768118457671126E-3</v>
      </c>
      <c r="BX53" s="22">
        <v>215</v>
      </c>
      <c r="BY53" s="22">
        <v>35768</v>
      </c>
      <c r="BZ53" s="22">
        <v>35507.388606386477</v>
      </c>
      <c r="CA53" s="22">
        <v>34.315991423013834</v>
      </c>
      <c r="CB53" s="22">
        <v>35103.514145466514</v>
      </c>
      <c r="CC53" s="22">
        <v>272.10161703150527</v>
      </c>
      <c r="CD53" s="22">
        <v>97.455411763158736</v>
      </c>
      <c r="CE53" s="22">
        <v>1.4407022930670859E-3</v>
      </c>
      <c r="CM53" s="22">
        <v>215</v>
      </c>
      <c r="CN53" s="22">
        <v>62061</v>
      </c>
      <c r="CO53" s="22">
        <v>61904.642222086273</v>
      </c>
      <c r="CP53" s="22">
        <v>443.79995642170542</v>
      </c>
      <c r="CQ53" s="22">
        <v>60536.570315753626</v>
      </c>
      <c r="CR53" s="22">
        <v>688.87495756132466</v>
      </c>
      <c r="CS53" s="22">
        <v>235.3941842198827</v>
      </c>
      <c r="CT53" s="22">
        <v>2.808129732211311E-3</v>
      </c>
      <c r="DB53" s="22">
        <v>215</v>
      </c>
      <c r="DC53" s="22">
        <v>85300</v>
      </c>
      <c r="DD53" s="22">
        <v>85995.422688988067</v>
      </c>
      <c r="DE53" s="22">
        <v>1653.9442809045261</v>
      </c>
      <c r="DF53" s="22">
        <v>82382.127262836875</v>
      </c>
      <c r="DG53" s="22">
        <v>1550.5427772032917</v>
      </c>
      <c r="DH53" s="22">
        <v>408.80403784085991</v>
      </c>
      <c r="DI53" s="22">
        <v>4.3302025110966286E-3</v>
      </c>
      <c r="DQ53" s="22">
        <v>215</v>
      </c>
      <c r="DR53" s="22">
        <v>104153</v>
      </c>
      <c r="DS53" s="22">
        <v>104421.57828243052</v>
      </c>
      <c r="DT53" s="22">
        <v>2577.883628817865</v>
      </c>
      <c r="DU53" s="22">
        <v>99327.520975727326</v>
      </c>
      <c r="DV53" s="22">
        <v>1842.7364662850691</v>
      </c>
      <c r="DW53" s="22">
        <v>669.43185734050144</v>
      </c>
      <c r="DX53" s="22">
        <v>5.3542597639760344E-3</v>
      </c>
      <c r="EF53" s="22">
        <v>215</v>
      </c>
      <c r="EG53" s="22">
        <v>117645</v>
      </c>
      <c r="EH53" s="22">
        <v>118151.98919059862</v>
      </c>
      <c r="EI53" s="22">
        <v>5043.7656235855202</v>
      </c>
      <c r="EJ53" s="22">
        <v>109592.17035667176</v>
      </c>
      <c r="EK53" s="22">
        <v>2561.679660082385</v>
      </c>
      <c r="EL53" s="22">
        <v>954.36826224131767</v>
      </c>
      <c r="EM53" s="22">
        <v>5.2880176250987513E-3</v>
      </c>
    </row>
    <row r="54" spans="2:143" x14ac:dyDescent="0.25">
      <c r="B54" s="24">
        <f>$B$11+($B$10-$B$11)*43/99</f>
        <v>125.86666666666667</v>
      </c>
      <c r="C54" s="22">
        <v>17533.426071303002</v>
      </c>
      <c r="P54" s="22">
        <f>IF('Data-Plot'!C54="","",$Q$11+('Data-Plot'!C54-'Data-Plot'!D54)*$P$9)</f>
        <v>7885.3034379649916</v>
      </c>
      <c r="Q54" s="22">
        <f>IF('Data-Plot'!C54="","",MAX('Data-Plot'!$C$11:$C$1010)*(1+$Q$9/100))</f>
        <v>7796.25</v>
      </c>
      <c r="R54" s="22">
        <f>IF('Data-Plot'!C54="","",('Data-Plot'!C54-'Data-Plot'!D54)*$P$9)</f>
        <v>89.053437964991645</v>
      </c>
      <c r="S54" s="20">
        <v>7335.9465620350084</v>
      </c>
      <c r="T54" s="20">
        <v>27.297400771069423</v>
      </c>
      <c r="U54" s="20">
        <v>7141.9700633341026</v>
      </c>
      <c r="V54" s="20">
        <v>142.2729435302831</v>
      </c>
      <c r="W54" s="20">
        <v>24.405607261241752</v>
      </c>
      <c r="X54" s="20">
        <v>5.4713831126693472E-4</v>
      </c>
      <c r="AE54" s="22">
        <v>220</v>
      </c>
      <c r="AF54" s="22">
        <v>7425</v>
      </c>
      <c r="AG54" s="22">
        <v>7335.9465620350084</v>
      </c>
      <c r="AH54" s="22">
        <v>27.297400771069423</v>
      </c>
      <c r="AI54" s="22">
        <v>7141.9700633341026</v>
      </c>
      <c r="AJ54" s="22">
        <v>142.2729435302831</v>
      </c>
      <c r="AK54" s="22">
        <v>24.405607261241752</v>
      </c>
      <c r="AL54" s="22">
        <v>5.4713831126693472E-4</v>
      </c>
      <c r="AT54" s="22">
        <v>220</v>
      </c>
      <c r="AU54" s="22">
        <v>15643</v>
      </c>
      <c r="AV54" s="22">
        <v>15643.023031285122</v>
      </c>
      <c r="AW54" s="22">
        <v>32.058490368478758</v>
      </c>
      <c r="AX54" s="22">
        <v>15253.286323990566</v>
      </c>
      <c r="AY54" s="22">
        <v>302.46827193837362</v>
      </c>
      <c r="AZ54" s="22">
        <v>55.208956387209518</v>
      </c>
      <c r="BA54" s="22">
        <v>9.8860049593144594E-4</v>
      </c>
      <c r="BI54" s="22">
        <v>220</v>
      </c>
      <c r="BJ54" s="22">
        <v>25743</v>
      </c>
      <c r="BK54" s="22">
        <v>25462.451829796402</v>
      </c>
      <c r="BL54" s="22">
        <v>3.5786681344679439</v>
      </c>
      <c r="BM54" s="22">
        <v>25097.911906440586</v>
      </c>
      <c r="BN54" s="22">
        <v>265.83396411268677</v>
      </c>
      <c r="BO54" s="22">
        <v>95.125347364483574</v>
      </c>
      <c r="BP54" s="22">
        <v>1.9437441779173881E-3</v>
      </c>
      <c r="BX54" s="22">
        <v>220</v>
      </c>
      <c r="BY54" s="22">
        <v>35082</v>
      </c>
      <c r="BZ54" s="22">
        <v>34879.909182165269</v>
      </c>
      <c r="CA54" s="22">
        <v>15.249864362029319</v>
      </c>
      <c r="CB54" s="22">
        <v>34378.09196275763</v>
      </c>
      <c r="CC54" s="22">
        <v>353.68482527438709</v>
      </c>
      <c r="CD54" s="22">
        <v>132.87992917139857</v>
      </c>
      <c r="CE54" s="22">
        <v>2.6005998245992651E-3</v>
      </c>
      <c r="CM54" s="22">
        <v>220</v>
      </c>
      <c r="CN54" s="22">
        <v>60474</v>
      </c>
      <c r="CO54" s="22">
        <v>60380.003803466891</v>
      </c>
      <c r="CP54" s="22">
        <v>273.96920317690473</v>
      </c>
      <c r="CQ54" s="22">
        <v>58889.902734294679</v>
      </c>
      <c r="CR54" s="22">
        <v>895.2115692586508</v>
      </c>
      <c r="CS54" s="22">
        <v>320.91522780488958</v>
      </c>
      <c r="CT54" s="22">
        <v>5.0689317637903908E-3</v>
      </c>
      <c r="DB54" s="22">
        <v>220</v>
      </c>
      <c r="DC54" s="22">
        <v>83259</v>
      </c>
      <c r="DD54" s="22">
        <v>83431.409305856563</v>
      </c>
      <c r="DE54" s="22">
        <v>1159.0928113257421</v>
      </c>
      <c r="DF54" s="22">
        <v>79706.548040026813</v>
      </c>
      <c r="DG54" s="22">
        <v>2008.4867740947734</v>
      </c>
      <c r="DH54" s="22">
        <v>557.27386399652971</v>
      </c>
      <c r="DI54" s="22">
        <v>7.8164127120279071E-3</v>
      </c>
      <c r="DQ54" s="22">
        <v>220</v>
      </c>
      <c r="DR54" s="22">
        <v>100853</v>
      </c>
      <c r="DS54" s="22">
        <v>100747.88143732687</v>
      </c>
      <c r="DT54" s="22">
        <v>1840.7104235953768</v>
      </c>
      <c r="DU54" s="22">
        <v>95594.814778997403</v>
      </c>
      <c r="DV54" s="22">
        <v>2395.9379927653649</v>
      </c>
      <c r="DW54" s="22">
        <v>912.40857703871461</v>
      </c>
      <c r="DX54" s="22">
        <v>9.6649300059361565E-3</v>
      </c>
      <c r="EF54" s="22">
        <v>220</v>
      </c>
      <c r="EG54" s="22">
        <v>113922</v>
      </c>
      <c r="EH54" s="22">
        <v>113775.36486249177</v>
      </c>
      <c r="EI54" s="22">
        <v>3803.3052403113979</v>
      </c>
      <c r="EJ54" s="22">
        <v>105346.20636487429</v>
      </c>
      <c r="EK54" s="22">
        <v>3325.3265129095034</v>
      </c>
      <c r="EL54" s="22">
        <v>1300.5171990395713</v>
      </c>
      <c r="EM54" s="22">
        <v>9.5453569963359942E-3</v>
      </c>
    </row>
    <row r="55" spans="2:143" x14ac:dyDescent="0.25">
      <c r="B55" s="24">
        <f>$B$11+($B$10-$B$11)*44/99</f>
        <v>128.33333333333334</v>
      </c>
      <c r="C55" s="22">
        <v>17856.530124142719</v>
      </c>
      <c r="P55" s="22">
        <f>IF('Data-Plot'!C55="","",$Q$11+('Data-Plot'!C55-'Data-Plot'!D55)*$P$9)</f>
        <v>7780.1196868128345</v>
      </c>
      <c r="Q55" s="22">
        <f>IF('Data-Plot'!C55="","",MAX('Data-Plot'!$C$11:$C$1010)*(1+$Q$9/100))</f>
        <v>7796.25</v>
      </c>
      <c r="R55" s="22">
        <f>IF('Data-Plot'!C55="","",('Data-Plot'!C55-'Data-Plot'!D55)*$P$9)</f>
        <v>-16.130313187165484</v>
      </c>
      <c r="S55" s="20">
        <v>6819.1303131871655</v>
      </c>
      <c r="T55" s="20">
        <v>15.420811282962044</v>
      </c>
      <c r="U55" s="20">
        <v>6590.0229428239909</v>
      </c>
      <c r="V55" s="20">
        <v>180.62360418969439</v>
      </c>
      <c r="W55" s="20">
        <v>33.061978896069562</v>
      </c>
      <c r="X55" s="20">
        <v>9.7599444827607522E-4</v>
      </c>
      <c r="AE55" s="22">
        <v>225</v>
      </c>
      <c r="AF55" s="22">
        <v>6803</v>
      </c>
      <c r="AG55" s="22">
        <v>6819.1303131871655</v>
      </c>
      <c r="AH55" s="22">
        <v>15.420811282962044</v>
      </c>
      <c r="AI55" s="22">
        <v>6590.0229428239909</v>
      </c>
      <c r="AJ55" s="22">
        <v>180.62360418969439</v>
      </c>
      <c r="AK55" s="22">
        <v>33.061978896069562</v>
      </c>
      <c r="AL55" s="22">
        <v>9.7599444827607522E-4</v>
      </c>
      <c r="AT55" s="22">
        <v>225</v>
      </c>
      <c r="AU55" s="22">
        <v>14659</v>
      </c>
      <c r="AV55" s="22">
        <v>14594.632637802602</v>
      </c>
      <c r="AW55" s="22">
        <v>17.428109550343532</v>
      </c>
      <c r="AX55" s="22">
        <v>14120.525609966218</v>
      </c>
      <c r="AY55" s="22">
        <v>381.89923472560548</v>
      </c>
      <c r="AZ55" s="22">
        <v>74.777920078387666</v>
      </c>
      <c r="BA55" s="22">
        <v>1.7634820468733685E-3</v>
      </c>
      <c r="BI55" s="22">
        <v>225</v>
      </c>
      <c r="BJ55" s="22">
        <v>23755</v>
      </c>
      <c r="BK55" s="22">
        <v>23581.787789105063</v>
      </c>
      <c r="BL55" s="22">
        <v>1.2655203649711348</v>
      </c>
      <c r="BM55" s="22">
        <v>23110.116485080194</v>
      </c>
      <c r="BN55" s="22">
        <v>341.55506354378019</v>
      </c>
      <c r="BO55" s="22">
        <v>128.84725283293986</v>
      </c>
      <c r="BP55" s="22">
        <v>3.4672831796778397E-3</v>
      </c>
      <c r="BX55" s="22">
        <v>225</v>
      </c>
      <c r="BY55" s="22">
        <v>32208</v>
      </c>
      <c r="BZ55" s="22">
        <v>32208.039462015437</v>
      </c>
      <c r="CA55" s="22">
        <v>6.7189370212167212</v>
      </c>
      <c r="CB55" s="22">
        <v>31566.168027573283</v>
      </c>
      <c r="CC55" s="22">
        <v>455.1605806084433</v>
      </c>
      <c r="CD55" s="22">
        <v>179.98727781928196</v>
      </c>
      <c r="CE55" s="22">
        <v>4.6389932113903784E-3</v>
      </c>
      <c r="CM55" s="22">
        <v>225</v>
      </c>
      <c r="CN55" s="22">
        <v>55841</v>
      </c>
      <c r="CO55" s="22">
        <v>55444.14408927202</v>
      </c>
      <c r="CP55" s="22">
        <v>168.85197721092092</v>
      </c>
      <c r="CQ55" s="22">
        <v>53688.983768386453</v>
      </c>
      <c r="CR55" s="22">
        <v>1151.6962271140785</v>
      </c>
      <c r="CS55" s="22">
        <v>434.60307451595702</v>
      </c>
      <c r="CT55" s="22">
        <v>9.0420446060620122E-3</v>
      </c>
      <c r="DB55" s="22">
        <v>225</v>
      </c>
      <c r="DC55" s="22">
        <v>76398</v>
      </c>
      <c r="DD55" s="22">
        <v>76398.201538145047</v>
      </c>
      <c r="DE55" s="22">
        <v>811.65672767037177</v>
      </c>
      <c r="DF55" s="22">
        <v>72258.68151914647</v>
      </c>
      <c r="DG55" s="22">
        <v>2573.2519546706981</v>
      </c>
      <c r="DH55" s="22">
        <v>754.59739361090431</v>
      </c>
      <c r="DI55" s="22">
        <v>1.3943046587268958E-2</v>
      </c>
      <c r="DQ55" s="22">
        <v>225</v>
      </c>
      <c r="DR55" s="22">
        <v>92701</v>
      </c>
      <c r="DS55" s="22">
        <v>92073.42286742157</v>
      </c>
      <c r="DT55" s="22">
        <v>1313.0049932253382</v>
      </c>
      <c r="DU55" s="22">
        <v>86436.725311256349</v>
      </c>
      <c r="DV55" s="22">
        <v>3084.4670559158785</v>
      </c>
      <c r="DW55" s="22">
        <v>1235.2082665615592</v>
      </c>
      <c r="DX55" s="22">
        <v>1.7240462456344554E-2</v>
      </c>
      <c r="EF55" s="22">
        <v>225</v>
      </c>
      <c r="EG55" s="22">
        <v>103972</v>
      </c>
      <c r="EH55" s="22">
        <v>104069.5649643059</v>
      </c>
      <c r="EI55" s="22">
        <v>2864.5330497046775</v>
      </c>
      <c r="EJ55" s="22">
        <v>95172.909082435246</v>
      </c>
      <c r="EK55" s="22">
        <v>4271.9366828942329</v>
      </c>
      <c r="EL55" s="22">
        <v>1760.169122105202</v>
      </c>
      <c r="EM55" s="22">
        <v>1.7027166545645435E-2</v>
      </c>
    </row>
    <row r="56" spans="2:143" x14ac:dyDescent="0.25">
      <c r="B56" s="24">
        <f>$B$11+($B$10-$B$11)*45/99</f>
        <v>130.80000000000001</v>
      </c>
      <c r="C56" s="22">
        <v>18178.663432394067</v>
      </c>
      <c r="P56" s="22">
        <f>IF('Data-Plot'!C56="","",$Q$11+('Data-Plot'!C56-'Data-Plot'!D56)*$P$9)</f>
        <v>7796.2453249657547</v>
      </c>
      <c r="Q56" s="22">
        <f>IF('Data-Plot'!C56="","",MAX('Data-Plot'!$C$11:$C$1010)*(1+$Q$9/100))</f>
        <v>7796.25</v>
      </c>
      <c r="R56" s="22">
        <f>IF('Data-Plot'!C56="","",('Data-Plot'!C56-'Data-Plot'!D56)*$P$9)</f>
        <v>-4.6750342453378835E-3</v>
      </c>
      <c r="S56" s="20">
        <v>5886.0046750342453</v>
      </c>
      <c r="T56" s="20">
        <v>8.7074780442269244</v>
      </c>
      <c r="U56" s="20">
        <v>5606.8138040519489</v>
      </c>
      <c r="V56" s="20">
        <v>225.98313998894307</v>
      </c>
      <c r="W56" s="20">
        <v>44.498531865458141</v>
      </c>
      <c r="X56" s="20">
        <v>1.7210836683972631E-3</v>
      </c>
      <c r="AE56" s="22">
        <v>230</v>
      </c>
      <c r="AF56" s="22">
        <v>5886</v>
      </c>
      <c r="AG56" s="22">
        <v>5886.0046750342453</v>
      </c>
      <c r="AH56" s="22">
        <v>8.7074780442269244</v>
      </c>
      <c r="AI56" s="22">
        <v>5606.8138040519489</v>
      </c>
      <c r="AJ56" s="22">
        <v>225.98313998894307</v>
      </c>
      <c r="AK56" s="22">
        <v>44.498531865458141</v>
      </c>
      <c r="AL56" s="22">
        <v>1.7210836683972631E-3</v>
      </c>
      <c r="AT56" s="22">
        <v>230</v>
      </c>
      <c r="AU56" s="22">
        <v>12815</v>
      </c>
      <c r="AV56" s="22">
        <v>12646.994354136901</v>
      </c>
      <c r="AW56" s="22">
        <v>9.4725464275969724</v>
      </c>
      <c r="AX56" s="22">
        <v>12062.389852412463</v>
      </c>
      <c r="AY56" s="22">
        <v>474.50788365042894</v>
      </c>
      <c r="AZ56" s="22">
        <v>100.62096189499968</v>
      </c>
      <c r="BA56" s="22">
        <v>3.1097514124334463E-3</v>
      </c>
      <c r="BI56" s="22">
        <v>230</v>
      </c>
      <c r="BJ56" s="22">
        <v>20965</v>
      </c>
      <c r="BK56" s="22">
        <v>20396.556060632432</v>
      </c>
      <c r="BL56" s="22">
        <v>0.4430240601167455</v>
      </c>
      <c r="BM56" s="22">
        <v>19788.89744209381</v>
      </c>
      <c r="BN56" s="22">
        <v>433.82486831326804</v>
      </c>
      <c r="BO56" s="22">
        <v>173.3846119049407</v>
      </c>
      <c r="BP56" s="22">
        <v>6.1142602953017672E-3</v>
      </c>
      <c r="BX56" s="22">
        <v>230</v>
      </c>
      <c r="BY56" s="22">
        <v>27968</v>
      </c>
      <c r="BZ56" s="22">
        <v>27778.458399763891</v>
      </c>
      <c r="CA56" s="22">
        <v>2.9509893678647678</v>
      </c>
      <c r="CB56" s="22">
        <v>26953.967464575195</v>
      </c>
      <c r="CC56" s="22">
        <v>579.32741835105446</v>
      </c>
      <c r="CD56" s="22">
        <v>242.20434699802556</v>
      </c>
      <c r="CE56" s="22">
        <v>8.1804717492777821E-3</v>
      </c>
      <c r="CM56" s="22">
        <v>230</v>
      </c>
      <c r="CN56" s="22">
        <v>47674</v>
      </c>
      <c r="CO56" s="22">
        <v>47673.567738338774</v>
      </c>
      <c r="CP56" s="22">
        <v>104.15603997757717</v>
      </c>
      <c r="CQ56" s="22">
        <v>45519.455454202805</v>
      </c>
      <c r="CR56" s="22">
        <v>1465.2512464878366</v>
      </c>
      <c r="CS56" s="22">
        <v>584.68905279097692</v>
      </c>
      <c r="CT56" s="22">
        <v>1.5944879571311025E-2</v>
      </c>
      <c r="DB56" s="22">
        <v>230</v>
      </c>
      <c r="DC56" s="22">
        <v>65868</v>
      </c>
      <c r="DD56" s="22">
        <v>65774.296960685679</v>
      </c>
      <c r="DE56" s="22">
        <v>568.90880945570314</v>
      </c>
      <c r="DF56" s="22">
        <v>60933.676176364308</v>
      </c>
      <c r="DG56" s="22">
        <v>3256.673269171989</v>
      </c>
      <c r="DH56" s="22">
        <v>1015.0141183127682</v>
      </c>
      <c r="DI56" s="22">
        <v>2.4587380911510793E-2</v>
      </c>
      <c r="DQ56" s="22">
        <v>230</v>
      </c>
      <c r="DR56" s="22">
        <v>79569</v>
      </c>
      <c r="DS56" s="22">
        <v>79568.501185902089</v>
      </c>
      <c r="DT56" s="22">
        <v>937.24644823985773</v>
      </c>
      <c r="DU56" s="22">
        <v>73038.642924363055</v>
      </c>
      <c r="DV56" s="22">
        <v>3927.588846815976</v>
      </c>
      <c r="DW56" s="22">
        <v>1660.9925643886593</v>
      </c>
      <c r="DX56" s="22">
        <v>3.0402094551371328E-2</v>
      </c>
      <c r="EF56" s="22">
        <v>230</v>
      </c>
      <c r="EG56" s="22">
        <v>91140</v>
      </c>
      <c r="EH56" s="22">
        <v>90353.479468396865</v>
      </c>
      <c r="EI56" s="22">
        <v>2158.2194512679357</v>
      </c>
      <c r="EJ56" s="22">
        <v>80404.23763699652</v>
      </c>
      <c r="EK56" s="22">
        <v>5424.9085923512366</v>
      </c>
      <c r="EL56" s="22">
        <v>2366.0837618146079</v>
      </c>
      <c r="EM56" s="22">
        <v>3.002596656066242E-2</v>
      </c>
    </row>
    <row r="57" spans="2:143" x14ac:dyDescent="0.25">
      <c r="B57" s="24">
        <f>$B$11+($B$10-$B$11)*46/99</f>
        <v>133.26666666666665</v>
      </c>
      <c r="C57" s="22">
        <v>18499.828912594436</v>
      </c>
      <c r="P57" s="22">
        <f>IF('Data-Plot'!C57="","",$Q$11+('Data-Plot'!C57-'Data-Plot'!D57)*$P$9)</f>
        <v>7871.0575007975094</v>
      </c>
      <c r="Q57" s="22">
        <f>IF('Data-Plot'!C57="","",MAX('Data-Plot'!$C$11:$C$1010)*(1+$Q$9/100))</f>
        <v>7796.25</v>
      </c>
      <c r="R57" s="22">
        <f>IF('Data-Plot'!C57="","",('Data-Plot'!C57-'Data-Plot'!D57)*$P$9)</f>
        <v>74.807500797509419</v>
      </c>
      <c r="S57" s="20">
        <v>4682.1924992024906</v>
      </c>
      <c r="T57" s="20">
        <v>4.9269219390054415</v>
      </c>
      <c r="U57" s="20">
        <v>4339.6690866104063</v>
      </c>
      <c r="V57" s="20">
        <v>278.08805905243332</v>
      </c>
      <c r="W57" s="20">
        <v>59.505430307203142</v>
      </c>
      <c r="X57" s="20">
        <v>3.0012934427056347E-3</v>
      </c>
      <c r="AE57" s="22">
        <v>235</v>
      </c>
      <c r="AF57" s="22">
        <v>4757</v>
      </c>
      <c r="AG57" s="22">
        <v>4682.1924992024906</v>
      </c>
      <c r="AH57" s="22">
        <v>4.9269219390054415</v>
      </c>
      <c r="AI57" s="22">
        <v>4339.6690866104063</v>
      </c>
      <c r="AJ57" s="22">
        <v>278.08805905243332</v>
      </c>
      <c r="AK57" s="22">
        <v>59.505430307203142</v>
      </c>
      <c r="AL57" s="22">
        <v>3.0012934427056347E-3</v>
      </c>
      <c r="AT57" s="22">
        <v>235</v>
      </c>
      <c r="AU57" s="22">
        <v>10063</v>
      </c>
      <c r="AV57" s="22">
        <v>10101.098270871436</v>
      </c>
      <c r="AW57" s="22">
        <v>5.1610192034643143</v>
      </c>
      <c r="AX57" s="22">
        <v>9382.5068648955603</v>
      </c>
      <c r="AY57" s="22">
        <v>578.91237949136496</v>
      </c>
      <c r="AZ57" s="22">
        <v>134.51258437424767</v>
      </c>
      <c r="BA57" s="22">
        <v>5.4229067988699788E-3</v>
      </c>
      <c r="BI57" s="22">
        <v>235</v>
      </c>
      <c r="BJ57" s="22">
        <v>16411</v>
      </c>
      <c r="BK57" s="22">
        <v>16410.528220930399</v>
      </c>
      <c r="BL57" s="22">
        <v>0.15454496898247866</v>
      </c>
      <c r="BM57" s="22">
        <v>15634.628668941175</v>
      </c>
      <c r="BN57" s="22">
        <v>543.93501399662694</v>
      </c>
      <c r="BO57" s="22">
        <v>231.79933073695096</v>
      </c>
      <c r="BP57" s="22">
        <v>1.0662286661635626E-2</v>
      </c>
      <c r="BX57" s="22">
        <v>235</v>
      </c>
      <c r="BY57" s="22">
        <v>22277</v>
      </c>
      <c r="BZ57" s="22">
        <v>22295.349916635943</v>
      </c>
      <c r="CA57" s="22">
        <v>1.2974224353317148</v>
      </c>
      <c r="CB57" s="22">
        <v>21241.906824677939</v>
      </c>
      <c r="CC57" s="22">
        <v>728.32166565470322</v>
      </c>
      <c r="CD57" s="22">
        <v>323.80973844073276</v>
      </c>
      <c r="CE57" s="22">
        <v>1.4265427234106743E-2</v>
      </c>
      <c r="CM57" s="22">
        <v>235</v>
      </c>
      <c r="CN57" s="22">
        <v>38011</v>
      </c>
      <c r="CO57" s="22">
        <v>38329.42241948274</v>
      </c>
      <c r="CP57" s="22">
        <v>64.422910213096145</v>
      </c>
      <c r="CQ57" s="22">
        <v>35642.528170948382</v>
      </c>
      <c r="CR57" s="22">
        <v>1841.0171135556029</v>
      </c>
      <c r="CS57" s="22">
        <v>781.42641946132653</v>
      </c>
      <c r="CT57" s="22">
        <v>2.780530432612258E-2</v>
      </c>
      <c r="DB57" s="22">
        <v>235</v>
      </c>
      <c r="DC57" s="22">
        <v>53325</v>
      </c>
      <c r="DD57" s="22">
        <v>53316.519058328202</v>
      </c>
      <c r="DE57" s="22">
        <v>399.65633580719702</v>
      </c>
      <c r="DF57" s="22">
        <v>47495.531275099624</v>
      </c>
      <c r="DG57" s="22">
        <v>4065.0562242420006</v>
      </c>
      <c r="DH57" s="22">
        <v>1356.2323467446288</v>
      </c>
      <c r="DI57" s="22">
        <v>4.2876434757412527E-2</v>
      </c>
      <c r="DQ57" s="22">
        <v>235</v>
      </c>
      <c r="DR57" s="22">
        <v>65601</v>
      </c>
      <c r="DS57" s="22">
        <v>65285.205136996621</v>
      </c>
      <c r="DT57" s="22">
        <v>670.34444455613243</v>
      </c>
      <c r="DU57" s="22">
        <v>57452.199856081628</v>
      </c>
      <c r="DV57" s="22">
        <v>4940.1234962893259</v>
      </c>
      <c r="DW57" s="22">
        <v>2218.4843237094251</v>
      </c>
      <c r="DX57" s="22">
        <v>5.3016360112787132E-2</v>
      </c>
      <c r="EF57" s="22">
        <v>235</v>
      </c>
      <c r="EG57" s="22">
        <v>75813</v>
      </c>
      <c r="EH57" s="22">
        <v>74882.701393117051</v>
      </c>
      <c r="EI57" s="22">
        <v>1628.4500228887093</v>
      </c>
      <c r="EJ57" s="22">
        <v>63295.589833713464</v>
      </c>
      <c r="EK57" s="22">
        <v>6799.8577694731712</v>
      </c>
      <c r="EL57" s="22">
        <v>3158.7514065843898</v>
      </c>
      <c r="EM57" s="22">
        <v>5.2360457319073135E-2</v>
      </c>
    </row>
    <row r="58" spans="2:143" x14ac:dyDescent="0.25">
      <c r="B58" s="24">
        <f>$B$11+($B$10-$B$11)*47/99</f>
        <v>135.73333333333332</v>
      </c>
      <c r="C58" s="22">
        <v>18820.029472518712</v>
      </c>
      <c r="P58" s="22">
        <f>IF('Data-Plot'!C58="","",$Q$11+('Data-Plot'!C58-'Data-Plot'!D58)*$P$9)</f>
        <v>7796.0748779171226</v>
      </c>
      <c r="Q58" s="22">
        <f>IF('Data-Plot'!C58="","",MAX('Data-Plot'!$C$11:$C$1010)*(1+$Q$9/100))</f>
        <v>7796.25</v>
      </c>
      <c r="R58" s="22">
        <f>IF('Data-Plot'!C58="","",('Data-Plot'!C58-'Data-Plot'!D58)*$P$9)</f>
        <v>-0.17512208287780595</v>
      </c>
      <c r="S58" s="20">
        <v>3430.1751220828778</v>
      </c>
      <c r="T58" s="20">
        <v>2.7987929177935063</v>
      </c>
      <c r="U58" s="20">
        <v>3012.4700536947644</v>
      </c>
      <c r="V58" s="20">
        <v>335.84098447128434</v>
      </c>
      <c r="W58" s="20">
        <v>79.060113638286523</v>
      </c>
      <c r="X58" s="20">
        <v>5.1773607491587322E-3</v>
      </c>
      <c r="AE58" s="22">
        <v>240</v>
      </c>
      <c r="AF58" s="22">
        <v>3430</v>
      </c>
      <c r="AG58" s="22">
        <v>3430.1751220828778</v>
      </c>
      <c r="AH58" s="22">
        <v>2.7987929177935063</v>
      </c>
      <c r="AI58" s="22">
        <v>3012.4700536947644</v>
      </c>
      <c r="AJ58" s="22">
        <v>335.84098447128434</v>
      </c>
      <c r="AK58" s="22">
        <v>79.060113638286523</v>
      </c>
      <c r="AL58" s="22">
        <v>5.1773607491587322E-3</v>
      </c>
      <c r="AT58" s="22">
        <v>240</v>
      </c>
      <c r="AU58" s="22">
        <v>7176</v>
      </c>
      <c r="AV58" s="22">
        <v>7425.4070957621443</v>
      </c>
      <c r="AW58" s="22">
        <v>2.8242418627432024</v>
      </c>
      <c r="AX58" s="22">
        <v>6552.1037604886687</v>
      </c>
      <c r="AY58" s="22">
        <v>691.82841998467188</v>
      </c>
      <c r="AZ58" s="22">
        <v>178.64131867807421</v>
      </c>
      <c r="BA58" s="22">
        <v>9.3547479850777E-3</v>
      </c>
      <c r="BI58" s="22">
        <v>240</v>
      </c>
      <c r="BJ58" s="22">
        <v>12173</v>
      </c>
      <c r="BK58" s="22">
        <v>12300.76572575592</v>
      </c>
      <c r="BL58" s="22">
        <v>5.3995604054422483E-2</v>
      </c>
      <c r="BM58" s="22">
        <v>11320.79516687268</v>
      </c>
      <c r="BN58" s="22">
        <v>672.02822977406856</v>
      </c>
      <c r="BO58" s="22">
        <v>307.86994060363912</v>
      </c>
      <c r="BP58" s="22">
        <v>1.8392901479190135E-2</v>
      </c>
      <c r="BX58" s="22">
        <v>240</v>
      </c>
      <c r="BY58" s="22">
        <v>16524</v>
      </c>
      <c r="BZ58" s="22">
        <v>16685.687289383524</v>
      </c>
      <c r="CA58" s="22">
        <v>0.57280691013356622</v>
      </c>
      <c r="CB58" s="22">
        <v>15352.074890826958</v>
      </c>
      <c r="CC58" s="22">
        <v>902.93081463166379</v>
      </c>
      <c r="CD58" s="22">
        <v>430.0841685411213</v>
      </c>
      <c r="CE58" s="22">
        <v>2.460847364984509E-2</v>
      </c>
      <c r="CM58" s="22">
        <v>240</v>
      </c>
      <c r="CN58" s="22">
        <v>28663</v>
      </c>
      <c r="CO58" s="22">
        <v>28991.154497353044</v>
      </c>
      <c r="CP58" s="22">
        <v>40.009275871064382</v>
      </c>
      <c r="CQ58" s="22">
        <v>25633.110808650083</v>
      </c>
      <c r="CR58" s="22">
        <v>2280.5570988669083</v>
      </c>
      <c r="CS58" s="22">
        <v>1037.4293486274598</v>
      </c>
      <c r="CT58" s="22">
        <v>4.7965337529842555E-2</v>
      </c>
      <c r="DB58" s="22">
        <v>240</v>
      </c>
      <c r="DC58" s="22">
        <v>40317</v>
      </c>
      <c r="DD58" s="22">
        <v>41134.129918836807</v>
      </c>
      <c r="DE58" s="22">
        <v>281.64907810092245</v>
      </c>
      <c r="DF58" s="22">
        <v>34057.326366990725</v>
      </c>
      <c r="DG58" s="22">
        <v>4995.0917663605096</v>
      </c>
      <c r="DH58" s="22">
        <v>1799.9887437072246</v>
      </c>
      <c r="DI58" s="22">
        <v>7.3963677430128674E-2</v>
      </c>
      <c r="DQ58" s="22">
        <v>240</v>
      </c>
      <c r="DR58" s="22">
        <v>51035</v>
      </c>
      <c r="DS58" s="22">
        <v>51539.331420039787</v>
      </c>
      <c r="DT58" s="22">
        <v>480.83749315648248</v>
      </c>
      <c r="DU58" s="22">
        <v>41983.928171061583</v>
      </c>
      <c r="DV58" s="22">
        <v>6127.6714529619803</v>
      </c>
      <c r="DW58" s="22">
        <v>2942.8028473768104</v>
      </c>
      <c r="DX58" s="22">
        <v>9.1455482932089036E-2</v>
      </c>
      <c r="EF58" s="22">
        <v>240</v>
      </c>
      <c r="EG58" s="22">
        <v>60166</v>
      </c>
      <c r="EH58" s="22">
        <v>60169.983424631588</v>
      </c>
      <c r="EI58" s="22">
        <v>1231.5298543719189</v>
      </c>
      <c r="EJ58" s="22">
        <v>46353.278742615672</v>
      </c>
      <c r="EK58" s="22">
        <v>8397.6339922709267</v>
      </c>
      <c r="EL58" s="22">
        <v>4187.4505113388186</v>
      </c>
      <c r="EM58" s="22">
        <v>9.0324034262424482E-2</v>
      </c>
    </row>
    <row r="59" spans="2:143" x14ac:dyDescent="0.25">
      <c r="B59" s="24">
        <f>$B$11+($B$10-$B$11)*48/99</f>
        <v>138.19999999999999</v>
      </c>
      <c r="C59" s="22">
        <v>19139.268011205528</v>
      </c>
      <c r="P59" s="22">
        <f>IF('Data-Plot'!C59="","",$Q$11+('Data-Plot'!C59-'Data-Plot'!D59)*$P$9)</f>
        <v>7789.6226955109332</v>
      </c>
      <c r="Q59" s="22">
        <f>IF('Data-Plot'!C59="","",MAX('Data-Plot'!$C$11:$C$1010)*(1+$Q$9/100))</f>
        <v>7796.25</v>
      </c>
      <c r="R59" s="22">
        <f>IF('Data-Plot'!C59="","",('Data-Plot'!C59-'Data-Plot'!D59)*$P$9)</f>
        <v>-6.6273044890667734</v>
      </c>
      <c r="S59" s="20">
        <v>2351.6273044890668</v>
      </c>
      <c r="T59" s="20">
        <v>1.5983456687885946</v>
      </c>
      <c r="U59" s="20">
        <v>1848.5792288621485</v>
      </c>
      <c r="V59" s="20">
        <v>397.08449170197508</v>
      </c>
      <c r="W59" s="20">
        <v>104.35640058116049</v>
      </c>
      <c r="X59" s="20">
        <v>8.8376749940744341E-3</v>
      </c>
      <c r="AE59" s="22">
        <v>245</v>
      </c>
      <c r="AF59" s="22">
        <v>2345</v>
      </c>
      <c r="AG59" s="22">
        <v>2351.6273044890668</v>
      </c>
      <c r="AH59" s="22">
        <v>1.5983456687885946</v>
      </c>
      <c r="AI59" s="22">
        <v>1848.5792288621485</v>
      </c>
      <c r="AJ59" s="22">
        <v>397.08449170197508</v>
      </c>
      <c r="AK59" s="22">
        <v>104.35640058116049</v>
      </c>
      <c r="AL59" s="22">
        <v>8.8376749940744341E-3</v>
      </c>
      <c r="AT59" s="22">
        <v>245</v>
      </c>
      <c r="AU59" s="22">
        <v>5081</v>
      </c>
      <c r="AV59" s="22">
        <v>5094.4780139054355</v>
      </c>
      <c r="AW59" s="22">
        <v>1.5544662603253432</v>
      </c>
      <c r="AX59" s="22">
        <v>4049.4926784146319</v>
      </c>
      <c r="AY59" s="22">
        <v>807.74568370153918</v>
      </c>
      <c r="AZ59" s="22">
        <v>235.66921711932054</v>
      </c>
      <c r="BA59" s="22">
        <v>1.5968409618845315E-2</v>
      </c>
      <c r="BI59" s="22">
        <v>245</v>
      </c>
      <c r="BJ59" s="22">
        <v>8328</v>
      </c>
      <c r="BK59" s="22">
        <v>8697.8164449461037</v>
      </c>
      <c r="BL59" s="22">
        <v>1.8967558496465583E-2</v>
      </c>
      <c r="BM59" s="22">
        <v>7475.1682337284974</v>
      </c>
      <c r="BN59" s="22">
        <v>816.40164268730757</v>
      </c>
      <c r="BO59" s="22">
        <v>406.19620458210289</v>
      </c>
      <c r="BP59" s="22">
        <v>3.139638969919048E-2</v>
      </c>
      <c r="BX59" s="22">
        <v>245</v>
      </c>
      <c r="BY59" s="22">
        <v>11497</v>
      </c>
      <c r="BZ59" s="22">
        <v>11798.357747843338</v>
      </c>
      <c r="CA59" s="22">
        <v>0.25454279374696409</v>
      </c>
      <c r="CB59" s="22">
        <v>10128.912650750037</v>
      </c>
      <c r="CC59" s="22">
        <v>1101.6912612351568</v>
      </c>
      <c r="CD59" s="22">
        <v>567.45728679132208</v>
      </c>
      <c r="CE59" s="22">
        <v>4.2006273074654085E-2</v>
      </c>
      <c r="CM59" s="22">
        <v>245</v>
      </c>
      <c r="CN59" s="22">
        <v>20875</v>
      </c>
      <c r="CO59" s="22">
        <v>21043.970190723518</v>
      </c>
      <c r="CP59" s="22">
        <v>24.972789190816368</v>
      </c>
      <c r="CQ59" s="22">
        <v>16871.431714667975</v>
      </c>
      <c r="CR59" s="22">
        <v>2779.495413923994</v>
      </c>
      <c r="CS59" s="22">
        <v>1367.9883968862091</v>
      </c>
      <c r="CT59" s="22">
        <v>8.1876054525080788E-2</v>
      </c>
      <c r="DB59" s="22">
        <v>245</v>
      </c>
      <c r="DC59" s="22">
        <v>30387</v>
      </c>
      <c r="DD59" s="22">
        <v>31007.114742862406</v>
      </c>
      <c r="DE59" s="22">
        <v>199.24852321102767</v>
      </c>
      <c r="DF59" s="22">
        <v>22406.14373630768</v>
      </c>
      <c r="DG59" s="22">
        <v>6029.0468664395503</v>
      </c>
      <c r="DH59" s="22">
        <v>2372.5493621154483</v>
      </c>
      <c r="DI59" s="22">
        <v>0.12625478870308204</v>
      </c>
      <c r="DQ59" s="22">
        <v>245</v>
      </c>
      <c r="DR59" s="22">
        <v>39905</v>
      </c>
      <c r="DS59" s="22">
        <v>40212.95219115448</v>
      </c>
      <c r="DT59" s="22">
        <v>346.13052787791759</v>
      </c>
      <c r="DU59" s="22">
        <v>28506.292353971643</v>
      </c>
      <c r="DV59" s="22">
        <v>7480.2182766656824</v>
      </c>
      <c r="DW59" s="22">
        <v>3876.1549196182909</v>
      </c>
      <c r="DX59" s="22">
        <v>0.15611302094785851</v>
      </c>
      <c r="EF59" s="22">
        <v>245</v>
      </c>
      <c r="EG59" s="22">
        <v>47878</v>
      </c>
      <c r="EH59" s="22">
        <v>48235.355099998786</v>
      </c>
      <c r="EI59" s="22">
        <v>934.03045114026042</v>
      </c>
      <c r="EJ59" s="22">
        <v>31594.77733550296</v>
      </c>
      <c r="EK59" s="22">
        <v>10195.371141566082</v>
      </c>
      <c r="EL59" s="22">
        <v>5511.0219900989487</v>
      </c>
      <c r="EM59" s="22">
        <v>0.15418169053386077</v>
      </c>
    </row>
    <row r="60" spans="2:143" x14ac:dyDescent="0.25">
      <c r="B60" s="24">
        <f>$B$11+($B$10-$B$11)*49/99</f>
        <v>140.66666666666666</v>
      </c>
      <c r="C60" s="22">
        <v>19457.547418983566</v>
      </c>
      <c r="P60" s="22">
        <f>IF('Data-Plot'!C60="","",$Q$11+('Data-Plot'!C60-'Data-Plot'!D60)*$P$9)</f>
        <v>7848.0654643933176</v>
      </c>
      <c r="Q60" s="22">
        <f>IF('Data-Plot'!C60="","",MAX('Data-Plot'!$C$11:$C$1010)*(1+$Q$9/100))</f>
        <v>7796.25</v>
      </c>
      <c r="R60" s="22">
        <f>IF('Data-Plot'!C60="","",('Data-Plot'!C60-'Data-Plot'!D60)*$P$9)</f>
        <v>51.815464393318052</v>
      </c>
      <c r="S60" s="20">
        <v>1585.1845356066819</v>
      </c>
      <c r="T60" s="20">
        <v>0.91854418105163149</v>
      </c>
      <c r="U60" s="20">
        <v>988.9173511559917</v>
      </c>
      <c r="V60" s="20">
        <v>458.50340037805336</v>
      </c>
      <c r="W60" s="20">
        <v>136.83030754294089</v>
      </c>
      <c r="X60" s="20">
        <v>1.4932348644337299E-2</v>
      </c>
      <c r="AE60" s="22">
        <v>250</v>
      </c>
      <c r="AF60" s="22">
        <v>1637</v>
      </c>
      <c r="AG60" s="22">
        <v>1585.1845356066819</v>
      </c>
      <c r="AH60" s="22">
        <v>0.91854418105163149</v>
      </c>
      <c r="AI60" s="22">
        <v>988.9173511559917</v>
      </c>
      <c r="AJ60" s="22">
        <v>458.50340037805336</v>
      </c>
      <c r="AK60" s="22">
        <v>136.83030754294089</v>
      </c>
      <c r="AL60" s="22">
        <v>1.4932348644337299E-2</v>
      </c>
      <c r="AT60" s="22">
        <v>250</v>
      </c>
      <c r="AU60" s="22">
        <v>3581</v>
      </c>
      <c r="AV60" s="22">
        <v>3413.3496541028612</v>
      </c>
      <c r="AW60" s="22">
        <v>0.86141680095798989</v>
      </c>
      <c r="AX60" s="22">
        <v>2184.6885028389529</v>
      </c>
      <c r="AY60" s="22">
        <v>918.99249995363846</v>
      </c>
      <c r="AZ60" s="22">
        <v>308.78025390246262</v>
      </c>
      <c r="BA60" s="22">
        <v>2.6980606849635214E-2</v>
      </c>
      <c r="BI60" s="22">
        <v>250</v>
      </c>
      <c r="BJ60" s="22">
        <v>5996</v>
      </c>
      <c r="BK60" s="22">
        <v>5993.9313579840782</v>
      </c>
      <c r="BL60" s="22">
        <v>6.7183506721927543E-3</v>
      </c>
      <c r="BM60" s="22">
        <v>4488.8537460307543</v>
      </c>
      <c r="BN60" s="22">
        <v>972.73207797057796</v>
      </c>
      <c r="BO60" s="22">
        <v>532.28576756300674</v>
      </c>
      <c r="BP60" s="22">
        <v>5.3048069066352899E-2</v>
      </c>
      <c r="BX60" s="22">
        <v>250</v>
      </c>
      <c r="BY60" s="22">
        <v>8197</v>
      </c>
      <c r="BZ60" s="22">
        <v>8150.6575222999645</v>
      </c>
      <c r="CA60" s="22">
        <v>0.11404518648514334</v>
      </c>
      <c r="CB60" s="22">
        <v>6087.0016435306952</v>
      </c>
      <c r="CC60" s="22">
        <v>1319.8410598230284</v>
      </c>
      <c r="CD60" s="22">
        <v>743.62979898326125</v>
      </c>
      <c r="CE60" s="22">
        <v>7.0974776495185077E-2</v>
      </c>
      <c r="CM60" s="22">
        <v>250</v>
      </c>
      <c r="CN60" s="22">
        <v>15362</v>
      </c>
      <c r="CO60" s="22">
        <v>15283.008368179073</v>
      </c>
      <c r="CP60" s="22">
        <v>15.676748379447528</v>
      </c>
      <c r="CQ60" s="22">
        <v>10151.117356182403</v>
      </c>
      <c r="CR60" s="22">
        <v>3324.7721578616142</v>
      </c>
      <c r="CS60" s="22">
        <v>1791.303766107749</v>
      </c>
      <c r="CT60" s="22">
        <v>0.13833964785846337</v>
      </c>
      <c r="DB60" s="22">
        <v>250</v>
      </c>
      <c r="DC60" s="22">
        <v>23897</v>
      </c>
      <c r="DD60" s="22">
        <v>23897.913139463577</v>
      </c>
      <c r="DE60" s="22">
        <v>141.56223209561986</v>
      </c>
      <c r="DF60" s="22">
        <v>13521.024176330424</v>
      </c>
      <c r="DG60" s="22">
        <v>7130.0720267685565</v>
      </c>
      <c r="DH60" s="22">
        <v>3105.0413813321288</v>
      </c>
      <c r="DI60" s="22">
        <v>0.21332293684874662</v>
      </c>
      <c r="DQ60" s="22">
        <v>250</v>
      </c>
      <c r="DR60" s="22">
        <v>32318</v>
      </c>
      <c r="DS60" s="22">
        <v>32312.980848344319</v>
      </c>
      <c r="DT60" s="22">
        <v>250.16252805262684</v>
      </c>
      <c r="DU60" s="22">
        <v>18025.86985361806</v>
      </c>
      <c r="DV60" s="22">
        <v>8964.5080412852276</v>
      </c>
      <c r="DW60" s="22">
        <v>5068.17665329186</v>
      </c>
      <c r="DX60" s="22">
        <v>0.26377209654754397</v>
      </c>
      <c r="EF60" s="22">
        <v>250</v>
      </c>
      <c r="EG60" s="22">
        <v>39883</v>
      </c>
      <c r="EH60" s="22">
        <v>40142.401963659431</v>
      </c>
      <c r="EI60" s="22">
        <v>710.72416591910303</v>
      </c>
      <c r="EJ60" s="22">
        <v>20096.901239125214</v>
      </c>
      <c r="EK60" s="22">
        <v>12136.483757864593</v>
      </c>
      <c r="EL60" s="22">
        <v>7198.0322917759322</v>
      </c>
      <c r="EM60" s="22">
        <v>0.26050897458849276</v>
      </c>
    </row>
    <row r="61" spans="2:143" x14ac:dyDescent="0.25">
      <c r="B61" s="24">
        <f>$B$11+($B$10-$B$11)*50/99</f>
        <v>143.13333333333333</v>
      </c>
      <c r="C61" s="22">
        <v>19774.87057749771</v>
      </c>
      <c r="P61" s="22">
        <f>IF('Data-Plot'!C61="","",$Q$11+('Data-Plot'!C61-'Data-Plot'!D61)*$P$9)</f>
        <v>7723.2761267224023</v>
      </c>
      <c r="Q61" s="22">
        <f>IF('Data-Plot'!C61="","",MAX('Data-Plot'!$C$11:$C$1010)*(1+$Q$9/100))</f>
        <v>7796.25</v>
      </c>
      <c r="R61" s="22">
        <f>IF('Data-Plot'!C61="","",('Data-Plot'!C61-'Data-Plot'!D61)*$P$9)</f>
        <v>-72.973873277597704</v>
      </c>
      <c r="S61" s="20">
        <v>1149.9738732775977</v>
      </c>
      <c r="T61" s="20">
        <v>0.53156417874851991</v>
      </c>
      <c r="U61" s="20">
        <v>455.47510593605443</v>
      </c>
      <c r="V61" s="20">
        <v>515.76535658125863</v>
      </c>
      <c r="W61" s="20">
        <v>178.1768658872349</v>
      </c>
      <c r="X61" s="20">
        <v>2.4980694301035226E-2</v>
      </c>
      <c r="AE61" s="22">
        <v>255</v>
      </c>
      <c r="AF61" s="22">
        <v>1077</v>
      </c>
      <c r="AG61" s="22">
        <v>1149.9738732775977</v>
      </c>
      <c r="AH61" s="22">
        <v>0.53156417874851991</v>
      </c>
      <c r="AI61" s="22">
        <v>455.47510593605443</v>
      </c>
      <c r="AJ61" s="22">
        <v>515.76535658125863</v>
      </c>
      <c r="AK61" s="22">
        <v>178.1768658872349</v>
      </c>
      <c r="AL61" s="22">
        <v>2.4980694301035226E-2</v>
      </c>
      <c r="AT61" s="22">
        <v>255</v>
      </c>
      <c r="AU61" s="22">
        <v>2532</v>
      </c>
      <c r="AV61" s="22">
        <v>2434.7932218115816</v>
      </c>
      <c r="AW61" s="22">
        <v>0.48095517904402907</v>
      </c>
      <c r="AX61" s="22">
        <v>1016.176138706487</v>
      </c>
      <c r="AY61" s="22">
        <v>1016.3879844499005</v>
      </c>
      <c r="AZ61" s="22">
        <v>401.70300696159939</v>
      </c>
      <c r="BA61" s="22">
        <v>4.5136514550540199E-2</v>
      </c>
      <c r="BI61" s="22">
        <v>255</v>
      </c>
      <c r="BJ61" s="22">
        <v>4298</v>
      </c>
      <c r="BK61" s="22">
        <v>4277.2300430702935</v>
      </c>
      <c r="BL61" s="22">
        <v>2.404519139160496E-3</v>
      </c>
      <c r="BM61" s="22">
        <v>2451.1457648818136</v>
      </c>
      <c r="BN61" s="22">
        <v>1133.3950154147731</v>
      </c>
      <c r="BO61" s="22">
        <v>692.59811290909886</v>
      </c>
      <c r="BP61" s="22">
        <v>8.8745345468435252E-2</v>
      </c>
      <c r="BX61" s="22">
        <v>255</v>
      </c>
      <c r="BY61" s="22">
        <v>5849</v>
      </c>
      <c r="BZ61" s="22">
        <v>5849.1926572086904</v>
      </c>
      <c r="CA61" s="22">
        <v>5.1580291743957452E-2</v>
      </c>
      <c r="CB61" s="22">
        <v>3333.0681703555042</v>
      </c>
      <c r="CC61" s="22">
        <v>1548.3176650874559</v>
      </c>
      <c r="CD61" s="22">
        <v>967.63650611781441</v>
      </c>
      <c r="CE61" s="22">
        <v>0.11873535617277924</v>
      </c>
      <c r="CM61" s="22">
        <v>255</v>
      </c>
      <c r="CN61" s="22">
        <v>12202</v>
      </c>
      <c r="CO61" s="22">
        <v>11821.839544707364</v>
      </c>
      <c r="CP61" s="22">
        <v>9.9021672668441472</v>
      </c>
      <c r="CQ61" s="22">
        <v>5591.1462330781442</v>
      </c>
      <c r="CR61" s="22">
        <v>3892.0168823204226</v>
      </c>
      <c r="CS61" s="22">
        <v>2328.5428305340588</v>
      </c>
      <c r="CT61" s="22">
        <v>0.23143150789215894</v>
      </c>
      <c r="DB61" s="22">
        <v>255</v>
      </c>
      <c r="DC61" s="22">
        <v>19977</v>
      </c>
      <c r="DD61" s="22">
        <v>19874.977176105465</v>
      </c>
      <c r="DE61" s="22">
        <v>101.04167076740754</v>
      </c>
      <c r="DF61" s="22">
        <v>7500.9847447046213</v>
      </c>
      <c r="DG61" s="22">
        <v>8239.1525707097444</v>
      </c>
      <c r="DH61" s="22">
        <v>4033.4413172747149</v>
      </c>
      <c r="DI61" s="22">
        <v>0.35687264897543458</v>
      </c>
      <c r="DQ61" s="22">
        <v>255</v>
      </c>
      <c r="DR61" s="22">
        <v>27882</v>
      </c>
      <c r="DS61" s="22">
        <v>27940.079739641646</v>
      </c>
      <c r="DT61" s="22">
        <v>181.58539425123135</v>
      </c>
      <c r="DU61" s="22">
        <v>10662.032386561637</v>
      </c>
      <c r="DV61" s="22">
        <v>10516.410205577289</v>
      </c>
      <c r="DW61" s="22">
        <v>6575.6104830407376</v>
      </c>
      <c r="DX61" s="22">
        <v>0.44127021075045614</v>
      </c>
      <c r="EF61" s="22">
        <v>255</v>
      </c>
      <c r="EG61" s="22">
        <v>36083</v>
      </c>
      <c r="EH61" s="22">
        <v>35975.026854848395</v>
      </c>
      <c r="EI61" s="22">
        <v>542.73407346576801</v>
      </c>
      <c r="EJ61" s="22">
        <v>11984.216015075177</v>
      </c>
      <c r="EK61" s="22">
        <v>14121.808984558224</v>
      </c>
      <c r="EL61" s="22">
        <v>9325.8319702132849</v>
      </c>
      <c r="EM61" s="22">
        <v>0.43581153594061961</v>
      </c>
    </row>
    <row r="62" spans="2:143" x14ac:dyDescent="0.25">
      <c r="B62" s="24">
        <f>$B$11+($B$10-$B$11)*51/99</f>
        <v>145.6</v>
      </c>
      <c r="C62" s="22">
        <v>20091.240359735126</v>
      </c>
      <c r="P62" s="22">
        <f>IF('Data-Plot'!C62="","",$Q$11+('Data-Plot'!C62-'Data-Plot'!D62)*$P$9)</f>
        <v>7845.776581658527</v>
      </c>
      <c r="Q62" s="22">
        <f>IF('Data-Plot'!C62="","",MAX('Data-Plot'!$C$11:$C$1010)*(1+$Q$9/100))</f>
        <v>7796.25</v>
      </c>
      <c r="R62" s="22">
        <f>IF('Data-Plot'!C62="","",('Data-Plot'!C62-'Data-Plot'!D62)*$P$9)</f>
        <v>49.526581658526879</v>
      </c>
      <c r="S62" s="20">
        <v>973.47341834147312</v>
      </c>
      <c r="T62" s="20">
        <v>0.30991210916203887</v>
      </c>
      <c r="U62" s="20">
        <v>178.79502149447381</v>
      </c>
      <c r="V62" s="20">
        <v>563.97806665528321</v>
      </c>
      <c r="W62" s="20">
        <v>230.34902878399291</v>
      </c>
      <c r="X62" s="20">
        <v>4.1389298561072776E-2</v>
      </c>
      <c r="AE62" s="22">
        <v>260</v>
      </c>
      <c r="AF62" s="22">
        <v>1023</v>
      </c>
      <c r="AG62" s="22">
        <v>973.47341834147312</v>
      </c>
      <c r="AH62" s="22">
        <v>0.30991210916203887</v>
      </c>
      <c r="AI62" s="22">
        <v>178.79502149447381</v>
      </c>
      <c r="AJ62" s="22">
        <v>563.97806665528321</v>
      </c>
      <c r="AK62" s="22">
        <v>230.34902878399291</v>
      </c>
      <c r="AL62" s="22">
        <v>4.1389298561072776E-2</v>
      </c>
      <c r="AT62" s="22">
        <v>260</v>
      </c>
      <c r="AU62" s="22">
        <v>2013</v>
      </c>
      <c r="AV62" s="22">
        <v>2013.0060235062358</v>
      </c>
      <c r="AW62" s="22">
        <v>0.27068341367986959</v>
      </c>
      <c r="AX62" s="22">
        <v>403.43693926279747</v>
      </c>
      <c r="AY62" s="22">
        <v>1090.5382774496295</v>
      </c>
      <c r="AZ62" s="22">
        <v>518.68533890451965</v>
      </c>
      <c r="BA62" s="22">
        <v>7.478447560937479E-2</v>
      </c>
      <c r="BI62" s="22">
        <v>260</v>
      </c>
      <c r="BJ62" s="22">
        <v>3401</v>
      </c>
      <c r="BK62" s="22">
        <v>3402.0490358407883</v>
      </c>
      <c r="BL62" s="22">
        <v>8.7089771857435023E-4</v>
      </c>
      <c r="BM62" s="22">
        <v>1220.2264345183528</v>
      </c>
      <c r="BN62" s="22">
        <v>1287.1667637845653</v>
      </c>
      <c r="BO62" s="22">
        <v>894.50792900315787</v>
      </c>
      <c r="BP62" s="22">
        <v>0.14703763699391004</v>
      </c>
      <c r="BX62" s="22">
        <v>260</v>
      </c>
      <c r="BY62" s="22">
        <v>4753</v>
      </c>
      <c r="BZ62" s="22">
        <v>4691.1324351719877</v>
      </c>
      <c r="CA62" s="22">
        <v>2.356937491607174E-2</v>
      </c>
      <c r="CB62" s="22">
        <v>1667.9701278264668</v>
      </c>
      <c r="CC62" s="22">
        <v>1773.1445016268442</v>
      </c>
      <c r="CD62" s="22">
        <v>1249.7975097711012</v>
      </c>
      <c r="CE62" s="22">
        <v>0.19672657265887464</v>
      </c>
      <c r="CM62" s="22">
        <v>260</v>
      </c>
      <c r="CN62" s="22">
        <v>10619</v>
      </c>
      <c r="CO62" s="22">
        <v>10284.39728703903</v>
      </c>
      <c r="CP62" s="22">
        <v>6.2953886070606409</v>
      </c>
      <c r="CQ62" s="22">
        <v>2830.1748668376536</v>
      </c>
      <c r="CR62" s="22">
        <v>4443.9622112717234</v>
      </c>
      <c r="CS62" s="22">
        <v>3003.5813735315492</v>
      </c>
      <c r="CT62" s="22">
        <v>0.3834467910430836</v>
      </c>
      <c r="DB62" s="22">
        <v>260</v>
      </c>
      <c r="DC62" s="22">
        <v>18436</v>
      </c>
      <c r="DD62" s="22">
        <v>18390.022782072298</v>
      </c>
      <c r="DE62" s="22">
        <v>72.467190174242305</v>
      </c>
      <c r="DF62" s="22">
        <v>3843.2002582339692</v>
      </c>
      <c r="DG62" s="22">
        <v>9275.8026193919395</v>
      </c>
      <c r="DH62" s="22">
        <v>5197.9614308452356</v>
      </c>
      <c r="DI62" s="22">
        <v>0.59128342691064206</v>
      </c>
      <c r="DQ62" s="22">
        <v>260</v>
      </c>
      <c r="DR62" s="22">
        <v>26577</v>
      </c>
      <c r="DS62" s="22">
        <v>26567.911147784562</v>
      </c>
      <c r="DT62" s="22">
        <v>132.40482859355961</v>
      </c>
      <c r="DU62" s="22">
        <v>5934.2401670452555</v>
      </c>
      <c r="DV62" s="22">
        <v>12035.675094170569</v>
      </c>
      <c r="DW62" s="22">
        <v>8460.8599405541718</v>
      </c>
      <c r="DX62" s="22">
        <v>0.73111742100624855</v>
      </c>
      <c r="EF62" s="22">
        <v>260</v>
      </c>
      <c r="EG62" s="22">
        <v>35139</v>
      </c>
      <c r="EH62" s="22">
        <v>35140.847978883197</v>
      </c>
      <c r="EI62" s="22">
        <v>416.00555066742118</v>
      </c>
      <c r="EJ62" s="22">
        <v>6740.6339092788721</v>
      </c>
      <c r="EK62" s="22">
        <v>16005.671944311745</v>
      </c>
      <c r="EL62" s="22">
        <v>11977.814500638622</v>
      </c>
      <c r="EM62" s="22">
        <v>0.72207398653700772</v>
      </c>
    </row>
    <row r="63" spans="2:143" x14ac:dyDescent="0.25">
      <c r="B63" s="24">
        <f>$B$11+($B$10-$B$11)*52/99</f>
        <v>148.06666666666666</v>
      </c>
      <c r="C63" s="22">
        <v>20406.659630051272</v>
      </c>
      <c r="P63" s="22">
        <f>IF('Data-Plot'!C63="","",$Q$11+('Data-Plot'!C63-'Data-Plot'!D63)*$P$9)</f>
        <v>7749.6201956443929</v>
      </c>
      <c r="Q63" s="22">
        <f>IF('Data-Plot'!C63="","",MAX('Data-Plot'!$C$11:$C$1010)*(1+$Q$9/100))</f>
        <v>7796.25</v>
      </c>
      <c r="R63" s="22">
        <f>IF('Data-Plot'!C63="","",('Data-Plot'!C63-'Data-Plot'!D63)*$P$9)</f>
        <v>-46.629804355607007</v>
      </c>
      <c r="S63" s="20">
        <v>953.62980435560701</v>
      </c>
      <c r="T63" s="20">
        <v>0.18208639499763168</v>
      </c>
      <c r="U63" s="20">
        <v>59.407793747694562</v>
      </c>
      <c r="V63" s="20">
        <v>598.44646097589305</v>
      </c>
      <c r="W63" s="20">
        <v>295.52552802847362</v>
      </c>
      <c r="X63" s="20">
        <v>6.7935208548223935E-2</v>
      </c>
      <c r="AE63" s="22">
        <v>265</v>
      </c>
      <c r="AF63" s="22">
        <v>907</v>
      </c>
      <c r="AG63" s="22">
        <v>953.62980435560701</v>
      </c>
      <c r="AH63" s="22">
        <v>0.18208639499763168</v>
      </c>
      <c r="AI63" s="22">
        <v>59.407793747694562</v>
      </c>
      <c r="AJ63" s="22">
        <v>598.44646097589305</v>
      </c>
      <c r="AK63" s="22">
        <v>295.52552802847362</v>
      </c>
      <c r="AL63" s="22">
        <v>6.7935208548223935E-2</v>
      </c>
      <c r="AT63" s="22">
        <v>265</v>
      </c>
      <c r="AU63" s="22">
        <v>1942</v>
      </c>
      <c r="AV63" s="22">
        <v>1934.0187031628318</v>
      </c>
      <c r="AW63" s="22">
        <v>0.15360879543793349</v>
      </c>
      <c r="AX63" s="22">
        <v>135.78082773703974</v>
      </c>
      <c r="AY63" s="22">
        <v>1133.5724722855493</v>
      </c>
      <c r="AZ63" s="22">
        <v>664.38904530957029</v>
      </c>
      <c r="BA63" s="22">
        <v>0.12274903523443201</v>
      </c>
      <c r="BI63" s="22">
        <v>265</v>
      </c>
      <c r="BJ63" s="22">
        <v>3178</v>
      </c>
      <c r="BK63" s="22">
        <v>3122.674244759959</v>
      </c>
      <c r="BL63" s="22">
        <v>3.1955194810572815E-4</v>
      </c>
      <c r="BM63" s="22">
        <v>556.61406140559541</v>
      </c>
      <c r="BN63" s="22">
        <v>1419.6854885704349</v>
      </c>
      <c r="BO63" s="22">
        <v>1146.1330324465814</v>
      </c>
      <c r="BP63" s="22">
        <v>0.24134278539910164</v>
      </c>
      <c r="BX63" s="22">
        <v>265</v>
      </c>
      <c r="BY63" s="22">
        <v>4391</v>
      </c>
      <c r="BZ63" s="22">
        <v>4344.4800189624857</v>
      </c>
      <c r="CA63" s="22">
        <v>1.0887178916371986E-2</v>
      </c>
      <c r="CB63" s="22">
        <v>766.9796561700183</v>
      </c>
      <c r="CC63" s="22">
        <v>1975.6854534205804</v>
      </c>
      <c r="CD63" s="22">
        <v>1601.4811215636016</v>
      </c>
      <c r="CE63" s="22">
        <v>0.32290062936844582</v>
      </c>
      <c r="CM63" s="22">
        <v>265</v>
      </c>
      <c r="CN63" s="22">
        <v>10674</v>
      </c>
      <c r="CO63" s="22">
        <v>10102.718624635649</v>
      </c>
      <c r="CP63" s="22">
        <v>4.0291495652188765</v>
      </c>
      <c r="CQ63" s="22">
        <v>1324.6279629612372</v>
      </c>
      <c r="CR63" s="22">
        <v>4931.2026190096813</v>
      </c>
      <c r="CS63" s="22">
        <v>3842.2295167681605</v>
      </c>
      <c r="CT63" s="22">
        <v>0.62937633134961757</v>
      </c>
      <c r="DB63" s="22">
        <v>265</v>
      </c>
      <c r="DC63" s="22">
        <v>18467</v>
      </c>
      <c r="DD63" s="22">
        <v>18669.79303911133</v>
      </c>
      <c r="DE63" s="22">
        <v>52.230147353650679</v>
      </c>
      <c r="DF63" s="22">
        <v>1830.5386414413829</v>
      </c>
      <c r="DG63" s="22">
        <v>10144.579102705453</v>
      </c>
      <c r="DH63" s="22">
        <v>6641.4746360632362</v>
      </c>
      <c r="DI63" s="22">
        <v>0.97051154760654579</v>
      </c>
      <c r="DQ63" s="22">
        <v>265</v>
      </c>
      <c r="DR63" s="22">
        <v>27867</v>
      </c>
      <c r="DS63" s="22">
        <v>27407.670701424344</v>
      </c>
      <c r="DT63" s="22">
        <v>96.993729421241952</v>
      </c>
      <c r="DU63" s="22">
        <v>3129.9984084500024</v>
      </c>
      <c r="DV63" s="22">
        <v>13386.674959904609</v>
      </c>
      <c r="DW63" s="22">
        <v>10788.803573199231</v>
      </c>
      <c r="DX63" s="22">
        <v>1.2000304492601572</v>
      </c>
      <c r="EF63" s="22">
        <v>265</v>
      </c>
      <c r="EG63" s="22">
        <v>36832</v>
      </c>
      <c r="EH63" s="22">
        <v>36762.58588832106</v>
      </c>
      <c r="EI63" s="22">
        <v>320.10036804073127</v>
      </c>
      <c r="EJ63" s="22">
        <v>3601.4485423011397</v>
      </c>
      <c r="EK63" s="22">
        <v>17601.881965431774</v>
      </c>
      <c r="EL63" s="22">
        <v>15237.969823625846</v>
      </c>
      <c r="EM63" s="22">
        <v>1.1851889215656375</v>
      </c>
    </row>
    <row r="64" spans="2:143" x14ac:dyDescent="0.25">
      <c r="B64" s="24">
        <f>$B$11+($B$10-$B$11)*53/99</f>
        <v>150.53333333333333</v>
      </c>
      <c r="C64" s="22">
        <v>20721.131244195873</v>
      </c>
      <c r="P64" s="22">
        <f>IF('Data-Plot'!C64="","",$Q$11+('Data-Plot'!C64-'Data-Plot'!D64)*$P$9)</f>
        <v>7782.768792813732</v>
      </c>
      <c r="Q64" s="22">
        <f>IF('Data-Plot'!C64="","",MAX('Data-Plot'!$C$11:$C$1010)*(1+$Q$9/100))</f>
        <v>7796.25</v>
      </c>
      <c r="R64" s="22">
        <f>IF('Data-Plot'!C64="","",('Data-Plot'!C64-'Data-Plot'!D64)*$P$9)</f>
        <v>-13.481207186268193</v>
      </c>
      <c r="S64" s="20">
        <v>1008.4812071862682</v>
      </c>
      <c r="T64" s="20">
        <v>0.10783204285180861</v>
      </c>
      <c r="U64" s="20">
        <v>16.65872435490893</v>
      </c>
      <c r="V64" s="20">
        <v>615.57476413939094</v>
      </c>
      <c r="W64" s="20">
        <v>376.02939322746408</v>
      </c>
      <c r="X64" s="20">
        <v>0.1104934216524087</v>
      </c>
      <c r="AE64" s="22">
        <v>270</v>
      </c>
      <c r="AF64" s="22">
        <v>995</v>
      </c>
      <c r="AG64" s="22">
        <v>1008.4812071862682</v>
      </c>
      <c r="AH64" s="22">
        <v>0.10783204285180861</v>
      </c>
      <c r="AI64" s="22">
        <v>16.65872435490893</v>
      </c>
      <c r="AJ64" s="22">
        <v>615.57476413939094</v>
      </c>
      <c r="AK64" s="22">
        <v>376.02939322746408</v>
      </c>
      <c r="AL64" s="22">
        <v>0.1104934216524087</v>
      </c>
      <c r="AT64" s="22">
        <v>270</v>
      </c>
      <c r="AU64" s="22">
        <v>1975</v>
      </c>
      <c r="AV64" s="22">
        <v>2023.4143785933979</v>
      </c>
      <c r="AW64" s="22">
        <v>8.7911096243824843E-2</v>
      </c>
      <c r="AX64" s="22">
        <v>38.625208745696753</v>
      </c>
      <c r="AY64" s="22">
        <v>1140.8402813284961</v>
      </c>
      <c r="AZ64" s="22">
        <v>843.66133204926325</v>
      </c>
      <c r="BA64" s="22">
        <v>0.19964537369788354</v>
      </c>
      <c r="BI64" s="22">
        <v>270</v>
      </c>
      <c r="BJ64" s="22">
        <v>3259</v>
      </c>
      <c r="BK64" s="22">
        <v>3205.6782366292555</v>
      </c>
      <c r="BL64" s="22">
        <v>1.1886757321838354E-4</v>
      </c>
      <c r="BM64" s="22">
        <v>234.32330884050756</v>
      </c>
      <c r="BN64" s="22">
        <v>1515.0099895754679</v>
      </c>
      <c r="BO64" s="22">
        <v>1455.9522881918099</v>
      </c>
      <c r="BP64" s="22">
        <v>0.39253115389709847</v>
      </c>
      <c r="BX64" s="22">
        <v>270</v>
      </c>
      <c r="BY64" s="22">
        <v>4685</v>
      </c>
      <c r="BZ64" s="22">
        <v>4495.8177582971912</v>
      </c>
      <c r="CA64" s="22">
        <v>5.0855761452355012E-3</v>
      </c>
      <c r="CB64" s="22">
        <v>326.45606617381907</v>
      </c>
      <c r="CC64" s="22">
        <v>2134.2570826049196</v>
      </c>
      <c r="CD64" s="22">
        <v>2034.5743431922274</v>
      </c>
      <c r="CE64" s="22">
        <v>0.52518075007970078</v>
      </c>
      <c r="CM64" s="22">
        <v>270</v>
      </c>
      <c r="CN64" s="22">
        <v>10726</v>
      </c>
      <c r="CO64" s="22">
        <v>10748.663672779176</v>
      </c>
      <c r="CP64" s="22">
        <v>2.5962391272042393</v>
      </c>
      <c r="CQ64" s="22">
        <v>577.70112414655262</v>
      </c>
      <c r="CR64" s="22">
        <v>5296.6630602464274</v>
      </c>
      <c r="CS64" s="22">
        <v>4870.6796042138913</v>
      </c>
      <c r="CT64" s="22">
        <v>1.0236450450987191</v>
      </c>
      <c r="DB64" s="22">
        <v>270</v>
      </c>
      <c r="DC64" s="22">
        <v>19463</v>
      </c>
      <c r="DD64" s="22">
        <v>20011.269066154455</v>
      </c>
      <c r="DE64" s="22">
        <v>37.832469683767236</v>
      </c>
      <c r="DF64" s="22">
        <v>817.00870847888064</v>
      </c>
      <c r="DG64" s="22">
        <v>10748.335524642189</v>
      </c>
      <c r="DH64" s="22">
        <v>8406.5138829177267</v>
      </c>
      <c r="DI64" s="22">
        <v>1.5784804318904364</v>
      </c>
      <c r="DQ64" s="22">
        <v>270</v>
      </c>
      <c r="DR64" s="22">
        <v>29870</v>
      </c>
      <c r="DS64" s="22">
        <v>29684.169628058971</v>
      </c>
      <c r="DT64" s="22">
        <v>71.388295652484501</v>
      </c>
      <c r="DU64" s="22">
        <v>1576.5007680256972</v>
      </c>
      <c r="DV64" s="22">
        <v>14409.225292431869</v>
      </c>
      <c r="DW64" s="22">
        <v>13621.10349143559</v>
      </c>
      <c r="DX64" s="22">
        <v>1.951780513333784</v>
      </c>
      <c r="EF64" s="22">
        <v>270</v>
      </c>
      <c r="EG64" s="22">
        <v>40052</v>
      </c>
      <c r="EH64" s="22">
        <v>39976.896795824381</v>
      </c>
      <c r="EI64" s="22">
        <v>247.27158621974579</v>
      </c>
      <c r="EJ64" s="22">
        <v>1841.6827788658395</v>
      </c>
      <c r="EK64" s="22">
        <v>18704.336313803055</v>
      </c>
      <c r="EL64" s="22">
        <v>19181.678469873808</v>
      </c>
      <c r="EM64" s="22">
        <v>1.9276470619320643</v>
      </c>
    </row>
    <row r="65" spans="2:143" x14ac:dyDescent="0.25">
      <c r="B65" s="24">
        <f>$B$11+($B$10-$B$11)*54/99</f>
        <v>153</v>
      </c>
      <c r="C65" s="22">
        <v>21034.658049338712</v>
      </c>
      <c r="P65" s="22">
        <f>IF('Data-Plot'!C65="","",$Q$11+('Data-Plot'!C65-'Data-Plot'!D65)*$P$9)</f>
        <v>7796.2418860515945</v>
      </c>
      <c r="Q65" s="22">
        <f>IF('Data-Plot'!C65="","",MAX('Data-Plot'!$C$11:$C$1010)*(1+$Q$9/100))</f>
        <v>7796.25</v>
      </c>
      <c r="R65" s="22">
        <f>IF('Data-Plot'!C65="","",('Data-Plot'!C65-'Data-Plot'!D65)*$P$9)</f>
        <v>-8.1139484057075606E-3</v>
      </c>
      <c r="S65" s="20">
        <v>1092.0081139484057</v>
      </c>
      <c r="T65" s="20">
        <v>6.4370213572957052E-2</v>
      </c>
      <c r="U65" s="20">
        <v>3.9475091532114002</v>
      </c>
      <c r="V65" s="20">
        <v>613.64470842013941</v>
      </c>
      <c r="W65" s="20">
        <v>474.17340348733813</v>
      </c>
      <c r="X65" s="20">
        <v>0.178122674143915</v>
      </c>
      <c r="AE65" s="22">
        <v>275</v>
      </c>
      <c r="AF65" s="22">
        <v>1092</v>
      </c>
      <c r="AG65" s="22">
        <v>1092.0081139484057</v>
      </c>
      <c r="AH65" s="22">
        <v>6.4370213572957052E-2</v>
      </c>
      <c r="AI65" s="22">
        <v>3.9475091532114002</v>
      </c>
      <c r="AJ65" s="22">
        <v>613.64470842013941</v>
      </c>
      <c r="AK65" s="22">
        <v>474.17340348733813</v>
      </c>
      <c r="AL65" s="22">
        <v>0.178122674143915</v>
      </c>
      <c r="AT65" s="22">
        <v>275</v>
      </c>
      <c r="AU65" s="22">
        <v>2183</v>
      </c>
      <c r="AV65" s="22">
        <v>2182.7850492085099</v>
      </c>
      <c r="AW65" s="22">
        <v>5.0743308392542485E-2</v>
      </c>
      <c r="AX65" s="22">
        <v>9.2988248021026987</v>
      </c>
      <c r="AY65" s="22">
        <v>1111.9838762520915</v>
      </c>
      <c r="AZ65" s="22">
        <v>1061.1297637676332</v>
      </c>
      <c r="BA65" s="22">
        <v>0.32184107829037484</v>
      </c>
      <c r="BI65" s="22">
        <v>275</v>
      </c>
      <c r="BJ65" s="22">
        <v>3483</v>
      </c>
      <c r="BK65" s="22">
        <v>3482.9375487590255</v>
      </c>
      <c r="BL65" s="22">
        <v>4.4846828750839057E-5</v>
      </c>
      <c r="BM65" s="22">
        <v>91.828360520568438</v>
      </c>
      <c r="BN65" s="22">
        <v>1558.356346751408</v>
      </c>
      <c r="BO65" s="22">
        <v>1832.1200145710495</v>
      </c>
      <c r="BP65" s="22">
        <v>0.63278206917068325</v>
      </c>
      <c r="BX65" s="22">
        <v>275</v>
      </c>
      <c r="BY65" s="22">
        <v>4909</v>
      </c>
      <c r="BZ65" s="22">
        <v>4918.4659143290601</v>
      </c>
      <c r="CA65" s="22">
        <v>2.4027508663393205E-3</v>
      </c>
      <c r="CB65" s="22">
        <v>129.74555027189504</v>
      </c>
      <c r="CC65" s="22">
        <v>2227.3414024432127</v>
      </c>
      <c r="CD65" s="22">
        <v>2560.5299379540224</v>
      </c>
      <c r="CE65" s="22">
        <v>0.84662090906322773</v>
      </c>
      <c r="CM65" s="22">
        <v>275</v>
      </c>
      <c r="CN65" s="22">
        <v>11682</v>
      </c>
      <c r="CO65" s="22">
        <v>11837.528558413878</v>
      </c>
      <c r="CP65" s="22">
        <v>1.6843401941153857</v>
      </c>
      <c r="CQ65" s="22">
        <v>236.84017710092451</v>
      </c>
      <c r="CR65" s="22">
        <v>5484.4930357266967</v>
      </c>
      <c r="CS65" s="22">
        <v>6112.8608376947523</v>
      </c>
      <c r="CT65" s="22">
        <v>1.6501676973894903</v>
      </c>
      <c r="DB65" s="22">
        <v>275</v>
      </c>
      <c r="DC65" s="22">
        <v>21686</v>
      </c>
      <c r="DD65" s="22">
        <v>21911.756010759476</v>
      </c>
      <c r="DE65" s="22">
        <v>27.540827160449204</v>
      </c>
      <c r="DF65" s="22">
        <v>344.69162601804544</v>
      </c>
      <c r="DG65" s="22">
        <v>11006.669294475114</v>
      </c>
      <c r="DH65" s="22">
        <v>10530.309677258996</v>
      </c>
      <c r="DI65" s="22">
        <v>2.544585846872145</v>
      </c>
      <c r="DQ65" s="22">
        <v>275</v>
      </c>
      <c r="DR65" s="22">
        <v>32723</v>
      </c>
      <c r="DS65" s="22">
        <v>32773.506744280654</v>
      </c>
      <c r="DT65" s="22">
        <v>52.791169503566778</v>
      </c>
      <c r="DU65" s="22">
        <v>764.12630133925586</v>
      </c>
      <c r="DV65" s="22">
        <v>14942.254601765306</v>
      </c>
      <c r="DW65" s="22">
        <v>17007.188305725067</v>
      </c>
      <c r="DX65" s="22">
        <v>3.1463659474602803</v>
      </c>
      <c r="EF65" s="22">
        <v>275</v>
      </c>
      <c r="EG65" s="22">
        <v>44088</v>
      </c>
      <c r="EH65" s="22">
        <v>44088.424951216293</v>
      </c>
      <c r="EI65" s="22">
        <v>191.76629643135738</v>
      </c>
      <c r="EJ65" s="22">
        <v>908.21306424394811</v>
      </c>
      <c r="EK65" s="22">
        <v>19123.598396714733</v>
      </c>
      <c r="EL65" s="22">
        <v>23861.739717992772</v>
      </c>
      <c r="EM65" s="22">
        <v>3.107475833484096</v>
      </c>
    </row>
    <row r="66" spans="2:143" x14ac:dyDescent="0.25">
      <c r="B66" s="24">
        <f>$B$11+($B$10-$B$11)*55/99</f>
        <v>155.46666666666667</v>
      </c>
      <c r="C66" s="22">
        <v>21347.242884095456</v>
      </c>
      <c r="P66" s="22">
        <f>IF('Data-Plot'!C66="","",$Q$11+('Data-Plot'!C66-'Data-Plot'!D66)*$P$9)</f>
        <v>7876.9322902857057</v>
      </c>
      <c r="Q66" s="22">
        <f>IF('Data-Plot'!C66="","",MAX('Data-Plot'!$C$11:$C$1010)*(1+$Q$9/100))</f>
        <v>7796.25</v>
      </c>
      <c r="R66" s="22">
        <f>IF('Data-Plot'!C66="","",('Data-Plot'!C66-'Data-Plot'!D66)*$P$9)</f>
        <v>80.682290285705676</v>
      </c>
      <c r="S66" s="20">
        <v>1186.3177097142943</v>
      </c>
      <c r="T66" s="20">
        <v>3.8734214512612837E-2</v>
      </c>
      <c r="U66" s="20">
        <v>0.79489917012292199</v>
      </c>
      <c r="V66" s="20">
        <v>593.19484872012356</v>
      </c>
      <c r="W66" s="20">
        <v>592.0045554856847</v>
      </c>
      <c r="X66" s="20">
        <v>0.28467212385068802</v>
      </c>
      <c r="AE66" s="22">
        <v>280</v>
      </c>
      <c r="AF66" s="22">
        <v>1267</v>
      </c>
      <c r="AG66" s="22">
        <v>1186.3177097142943</v>
      </c>
      <c r="AH66" s="22">
        <v>3.8734214512612837E-2</v>
      </c>
      <c r="AI66" s="22">
        <v>0.79489917012292199</v>
      </c>
      <c r="AJ66" s="22">
        <v>593.19484872012356</v>
      </c>
      <c r="AK66" s="22">
        <v>592.0045554856847</v>
      </c>
      <c r="AL66" s="22">
        <v>0.28467212385068802</v>
      </c>
      <c r="AT66" s="22">
        <v>280</v>
      </c>
      <c r="AU66" s="22">
        <v>2374</v>
      </c>
      <c r="AV66" s="22">
        <v>2373.9850067668522</v>
      </c>
      <c r="AW66" s="22">
        <v>2.9540985051095311E-2</v>
      </c>
      <c r="AX66" s="22">
        <v>1.9050234336692209</v>
      </c>
      <c r="AY66" s="22">
        <v>1050.9733063901886</v>
      </c>
      <c r="AZ66" s="22">
        <v>1320.5627769966086</v>
      </c>
      <c r="BA66" s="22">
        <v>0.51435896133449044</v>
      </c>
      <c r="BI66" s="22">
        <v>280</v>
      </c>
      <c r="BJ66" s="22">
        <v>3667</v>
      </c>
      <c r="BK66" s="22">
        <v>3855.7923636445357</v>
      </c>
      <c r="BL66" s="22">
        <v>1.7165634879004965E-5</v>
      </c>
      <c r="BM66" s="22">
        <v>33.819107570132203</v>
      </c>
      <c r="BN66" s="22">
        <v>1539.5890277701321</v>
      </c>
      <c r="BO66" s="22">
        <v>2281.3729216670049</v>
      </c>
      <c r="BP66" s="22">
        <v>1.0112894716315599</v>
      </c>
      <c r="BX66" s="22">
        <v>280</v>
      </c>
      <c r="BY66" s="22">
        <v>5443</v>
      </c>
      <c r="BZ66" s="22">
        <v>5476.8707081393759</v>
      </c>
      <c r="CA66" s="22">
        <v>1.1483030966032055E-3</v>
      </c>
      <c r="CB66" s="22">
        <v>48.605303464382651</v>
      </c>
      <c r="CC66" s="22">
        <v>2238.0674402966197</v>
      </c>
      <c r="CD66" s="22">
        <v>3188.8437762971694</v>
      </c>
      <c r="CE66" s="22">
        <v>1.3530397781078116</v>
      </c>
      <c r="CM66" s="22">
        <v>280</v>
      </c>
      <c r="CN66" s="22">
        <v>12983</v>
      </c>
      <c r="CO66" s="22">
        <v>13134.739512171634</v>
      </c>
      <c r="CP66" s="22">
        <v>1.1001734426085448</v>
      </c>
      <c r="CQ66" s="22">
        <v>92.120819923454206</v>
      </c>
      <c r="CR66" s="22">
        <v>5452.5037470689958</v>
      </c>
      <c r="CS66" s="22">
        <v>7586.3775463224065</v>
      </c>
      <c r="CT66" s="22">
        <v>2.6372254141689169</v>
      </c>
      <c r="DB66" s="22">
        <v>280</v>
      </c>
      <c r="DC66" s="22">
        <v>24075</v>
      </c>
      <c r="DD66" s="22">
        <v>24075.240034268852</v>
      </c>
      <c r="DE66" s="22">
        <v>20.14879636247305</v>
      </c>
      <c r="DF66" s="22">
        <v>138.70229153110074</v>
      </c>
      <c r="DG66" s="22">
        <v>10874.96666912448</v>
      </c>
      <c r="DH66" s="22">
        <v>13037.355643937681</v>
      </c>
      <c r="DI66" s="22">
        <v>4.0666333131178289</v>
      </c>
      <c r="DQ66" s="22">
        <v>280</v>
      </c>
      <c r="DR66" s="22">
        <v>36234</v>
      </c>
      <c r="DS66" s="22">
        <v>36237.552221174141</v>
      </c>
      <c r="DT66" s="22">
        <v>39.222908033348794</v>
      </c>
      <c r="DU66" s="22">
        <v>359.06378412205294</v>
      </c>
      <c r="DV66" s="22">
        <v>14858.981414831247</v>
      </c>
      <c r="DW66" s="22">
        <v>20971.255738680033</v>
      </c>
      <c r="DX66" s="22">
        <v>5.0283755074555598</v>
      </c>
      <c r="EF66" s="22">
        <v>280</v>
      </c>
      <c r="EG66" s="22">
        <v>48455</v>
      </c>
      <c r="EH66" s="22">
        <v>48612.394662077393</v>
      </c>
      <c r="EI66" s="22">
        <v>149.30589754875305</v>
      </c>
      <c r="EJ66" s="22">
        <v>435.02281778394621</v>
      </c>
      <c r="EK66" s="22">
        <v>18734.013709942192</v>
      </c>
      <c r="EL66" s="22">
        <v>29289.085977268685</v>
      </c>
      <c r="EM66" s="22">
        <v>4.9662595338140507</v>
      </c>
    </row>
    <row r="67" spans="2:143" x14ac:dyDescent="0.25">
      <c r="B67" s="24">
        <f>$B$11+($B$10-$B$11)*56/99</f>
        <v>157.93333333333334</v>
      </c>
      <c r="C67" s="22">
        <v>21658.888578553338</v>
      </c>
      <c r="P67" s="22">
        <f>IF('Data-Plot'!C67="","",$Q$11+('Data-Plot'!C67-'Data-Plot'!D67)*$P$9)</f>
        <v>7883.859352299738</v>
      </c>
      <c r="Q67" s="22">
        <f>IF('Data-Plot'!C67="","",MAX('Data-Plot'!$C$11:$C$1010)*(1+$Q$9/100))</f>
        <v>7796.25</v>
      </c>
      <c r="R67" s="22">
        <f>IF('Data-Plot'!C67="","",('Data-Plot'!C67-'Data-Plot'!D67)*$P$9)</f>
        <v>87.609352299738475</v>
      </c>
      <c r="S67" s="20">
        <v>1288.3906477002615</v>
      </c>
      <c r="T67" s="20">
        <v>2.3494242655239857E-2</v>
      </c>
      <c r="U67" s="20">
        <v>0.13731301563641954</v>
      </c>
      <c r="V67" s="20">
        <v>556.85897704121646</v>
      </c>
      <c r="W67" s="20">
        <v>730.91972477149966</v>
      </c>
      <c r="X67" s="20">
        <v>0.45113862925386244</v>
      </c>
      <c r="AE67" s="22">
        <v>285</v>
      </c>
      <c r="AF67" s="22">
        <v>1376</v>
      </c>
      <c r="AG67" s="22">
        <v>1288.3906477002615</v>
      </c>
      <c r="AH67" s="22">
        <v>2.3494242655239857E-2</v>
      </c>
      <c r="AI67" s="22">
        <v>0.13731301563641954</v>
      </c>
      <c r="AJ67" s="22">
        <v>556.85897704121646</v>
      </c>
      <c r="AK67" s="22">
        <v>730.91972477149966</v>
      </c>
      <c r="AL67" s="22">
        <v>0.45113862925386244</v>
      </c>
      <c r="AT67" s="22">
        <v>285</v>
      </c>
      <c r="AU67" s="22">
        <v>2484</v>
      </c>
      <c r="AV67" s="22">
        <v>2590.2152513650449</v>
      </c>
      <c r="AW67" s="22">
        <v>1.7344563860902683E-2</v>
      </c>
      <c r="AX67" s="22">
        <v>0.3352298348473095</v>
      </c>
      <c r="AY67" s="22">
        <v>965.10014461135415</v>
      </c>
      <c r="AZ67" s="22">
        <v>1623.9473965787186</v>
      </c>
      <c r="BA67" s="22">
        <v>0.81513577626398337</v>
      </c>
      <c r="BI67" s="22">
        <v>285</v>
      </c>
      <c r="BJ67" s="22">
        <v>4260</v>
      </c>
      <c r="BK67" s="22">
        <v>4277.3146369667875</v>
      </c>
      <c r="BL67" s="22">
        <v>6.6664879396906427E-6</v>
      </c>
      <c r="BM67" s="22">
        <v>11.819738624416722</v>
      </c>
      <c r="BN67" s="22">
        <v>1456.4544892642573</v>
      </c>
      <c r="BO67" s="22">
        <v>2807.437771412162</v>
      </c>
      <c r="BP67" s="22">
        <v>1.6026309994636243</v>
      </c>
      <c r="BX67" s="22">
        <v>285</v>
      </c>
      <c r="BY67" s="22">
        <v>5975</v>
      </c>
      <c r="BZ67" s="22">
        <v>6103.1621913165782</v>
      </c>
      <c r="CA67" s="22">
        <v>5.5511282790226592E-4</v>
      </c>
      <c r="CB67" s="22">
        <v>17.328481053672483</v>
      </c>
      <c r="CC67" s="22">
        <v>2158.8571442988791</v>
      </c>
      <c r="CD67" s="22">
        <v>3924.8317924427261</v>
      </c>
      <c r="CE67" s="22">
        <v>2.1442184084723537</v>
      </c>
      <c r="CM67" s="22">
        <v>285</v>
      </c>
      <c r="CN67" s="22">
        <v>14521</v>
      </c>
      <c r="CO67" s="22">
        <v>14521.038462268092</v>
      </c>
      <c r="CP67" s="22">
        <v>0.72346218082597302</v>
      </c>
      <c r="CQ67" s="22">
        <v>34.307231703890906</v>
      </c>
      <c r="CR67" s="22">
        <v>5185.0277405318984</v>
      </c>
      <c r="CS67" s="22">
        <v>9296.8007438545555</v>
      </c>
      <c r="CT67" s="22">
        <v>4.1792839969229592</v>
      </c>
      <c r="DB67" s="22">
        <v>285</v>
      </c>
      <c r="DC67" s="22">
        <v>26491</v>
      </c>
      <c r="DD67" s="22">
        <v>26361.692580704537</v>
      </c>
      <c r="DE67" s="22">
        <v>14.81363805138834</v>
      </c>
      <c r="DF67" s="22">
        <v>53.699990833098767</v>
      </c>
      <c r="DG67" s="22">
        <v>10357.51117674856</v>
      </c>
      <c r="DH67" s="22">
        <v>15929.223298714482</v>
      </c>
      <c r="DI67" s="22">
        <v>6.4444763570089503</v>
      </c>
      <c r="DQ67" s="22">
        <v>285</v>
      </c>
      <c r="DR67" s="22">
        <v>39807</v>
      </c>
      <c r="DS67" s="22">
        <v>39806.872006596823</v>
      </c>
      <c r="DT67" s="22">
        <v>29.278283582445184</v>
      </c>
      <c r="DU67" s="22">
        <v>164.69374915177309</v>
      </c>
      <c r="DV67" s="22">
        <v>14105.712940580404</v>
      </c>
      <c r="DW67" s="22">
        <v>25495.21844813041</v>
      </c>
      <c r="DX67" s="22">
        <v>7.968585151785696</v>
      </c>
      <c r="EF67" s="22">
        <v>285</v>
      </c>
      <c r="EG67" s="22">
        <v>53248</v>
      </c>
      <c r="EH67" s="22">
        <v>53254.656227990628</v>
      </c>
      <c r="EI67" s="22">
        <v>116.70132224234122</v>
      </c>
      <c r="EJ67" s="22">
        <v>203.72337575801737</v>
      </c>
      <c r="EK67" s="22">
        <v>17517.579064520454</v>
      </c>
      <c r="EL67" s="22">
        <v>35408.782225212104</v>
      </c>
      <c r="EM67" s="22">
        <v>7.8702402577083843</v>
      </c>
    </row>
    <row r="68" spans="2:143" x14ac:dyDescent="0.25">
      <c r="B68" s="24">
        <f>$B$11+($B$10-$B$11)*57/99</f>
        <v>160.4</v>
      </c>
      <c r="C68" s="22">
        <v>21969.597954296776</v>
      </c>
      <c r="P68" s="22">
        <f>IF('Data-Plot'!C68="","",$Q$11+('Data-Plot'!C68-'Data-Plot'!D68)*$P$9)</f>
        <v>7742.6390897357851</v>
      </c>
      <c r="Q68" s="22">
        <f>IF('Data-Plot'!C68="","",MAX('Data-Plot'!$C$11:$C$1010)*(1+$Q$9/100))</f>
        <v>7796.25</v>
      </c>
      <c r="R68" s="22">
        <f>IF('Data-Plot'!C68="","",('Data-Plot'!C68-'Data-Plot'!D68)*$P$9)</f>
        <v>-53.610910264215363</v>
      </c>
      <c r="S68" s="20">
        <v>1400.6109102642154</v>
      </c>
      <c r="T68" s="20">
        <v>1.4363272714221975E-2</v>
      </c>
      <c r="U68" s="20">
        <v>2.0606182944343805E-2</v>
      </c>
      <c r="V68" s="20">
        <v>508.73278579286693</v>
      </c>
      <c r="W68" s="20">
        <v>891.13405922407981</v>
      </c>
      <c r="X68" s="20">
        <v>0.70909579161006187</v>
      </c>
      <c r="AE68" s="22">
        <v>290</v>
      </c>
      <c r="AF68" s="22">
        <v>1347</v>
      </c>
      <c r="AG68" s="22">
        <v>1400.6109102642154</v>
      </c>
      <c r="AH68" s="22">
        <v>1.4363272714221975E-2</v>
      </c>
      <c r="AI68" s="22">
        <v>2.0606182944343805E-2</v>
      </c>
      <c r="AJ68" s="22">
        <v>508.73278579286693</v>
      </c>
      <c r="AK68" s="22">
        <v>891.13405922407981</v>
      </c>
      <c r="AL68" s="22">
        <v>0.70909579161006187</v>
      </c>
      <c r="AT68" s="22">
        <v>290</v>
      </c>
      <c r="AU68" s="22">
        <v>2800</v>
      </c>
      <c r="AV68" s="22">
        <v>2834.9447892528606</v>
      </c>
      <c r="AW68" s="22">
        <v>1.0269722053232937E-2</v>
      </c>
      <c r="AX68" s="22">
        <v>5.1306449672922701E-2</v>
      </c>
      <c r="AY68" s="22">
        <v>863.33007090856063</v>
      </c>
      <c r="AZ68" s="22">
        <v>1970.2719254731196</v>
      </c>
      <c r="BA68" s="22">
        <v>1.2812166994539258</v>
      </c>
      <c r="BI68" s="22">
        <v>290</v>
      </c>
      <c r="BJ68" s="22">
        <v>4630</v>
      </c>
      <c r="BK68" s="22">
        <v>4731.612527194533</v>
      </c>
      <c r="BL68" s="22">
        <v>2.6269082672449317E-6</v>
      </c>
      <c r="BM68" s="22">
        <v>3.9577491399024343</v>
      </c>
      <c r="BN68" s="22">
        <v>1316.2315870210768</v>
      </c>
      <c r="BO68" s="22">
        <v>3408.9042511263824</v>
      </c>
      <c r="BP68" s="22">
        <v>2.5189372802631982</v>
      </c>
      <c r="BX68" s="22">
        <v>290</v>
      </c>
      <c r="BY68" s="22">
        <v>6712</v>
      </c>
      <c r="BZ68" s="22">
        <v>6770.5155130457733</v>
      </c>
      <c r="CA68" s="22">
        <v>2.7142687686642302E-4</v>
      </c>
      <c r="CB68" s="22">
        <v>5.9340174901862479</v>
      </c>
      <c r="CC68" s="22">
        <v>1994.5583995334639</v>
      </c>
      <c r="CD68" s="22">
        <v>4766.6526416982197</v>
      </c>
      <c r="CE68" s="22">
        <v>3.3701828970265191</v>
      </c>
      <c r="CM68" s="22">
        <v>290</v>
      </c>
      <c r="CN68" s="22">
        <v>15957</v>
      </c>
      <c r="CO68" s="22">
        <v>15951.070648076893</v>
      </c>
      <c r="CP68" s="22">
        <v>0.47891660437729888</v>
      </c>
      <c r="CQ68" s="22">
        <v>12.339851045266732</v>
      </c>
      <c r="CR68" s="22">
        <v>4701.3280218717418</v>
      </c>
      <c r="CS68" s="22">
        <v>11230.355145337535</v>
      </c>
      <c r="CT68" s="22">
        <v>6.5687132179730519</v>
      </c>
      <c r="DB68" s="22">
        <v>290</v>
      </c>
      <c r="DC68" s="22">
        <v>28528</v>
      </c>
      <c r="DD68" s="22">
        <v>28722.226177362521</v>
      </c>
      <c r="DE68" s="22">
        <v>10.944301798420618</v>
      </c>
      <c r="DF68" s="22">
        <v>20.166989217923902</v>
      </c>
      <c r="DG68" s="22">
        <v>9509.0629205336845</v>
      </c>
      <c r="DH68" s="22">
        <v>19171.923051904094</v>
      </c>
      <c r="DI68" s="22">
        <v>10.128913908398111</v>
      </c>
      <c r="DQ68" s="22">
        <v>290</v>
      </c>
      <c r="DR68" s="22">
        <v>43242</v>
      </c>
      <c r="DS68" s="22">
        <v>43341.582112843629</v>
      </c>
      <c r="DT68" s="22">
        <v>21.95606208512617</v>
      </c>
      <c r="DU68" s="22">
        <v>74.186964761134448</v>
      </c>
      <c r="DV68" s="22">
        <v>12730.190326187801</v>
      </c>
      <c r="DW68" s="22">
        <v>30498.724332557569</v>
      </c>
      <c r="DX68" s="22">
        <v>12.524427251995093</v>
      </c>
      <c r="EF68" s="22">
        <v>290</v>
      </c>
      <c r="EG68" s="22">
        <v>57845</v>
      </c>
      <c r="EH68" s="22">
        <v>57857.613532171068</v>
      </c>
      <c r="EI68" s="22">
        <v>91.569254626904382</v>
      </c>
      <c r="EJ68" s="22">
        <v>93.82251025768231</v>
      </c>
      <c r="EK68" s="22">
        <v>15585.867798994021</v>
      </c>
      <c r="EL68" s="22">
        <v>42073.983884688758</v>
      </c>
      <c r="EM68" s="22">
        <v>12.370083603701692</v>
      </c>
    </row>
    <row r="69" spans="2:143" x14ac:dyDescent="0.25">
      <c r="B69" s="24">
        <f>$B$11+($B$10-$B$11)*58/99</f>
        <v>162.86666666666667</v>
      </c>
      <c r="C69" s="22">
        <v>22279.373824432947</v>
      </c>
      <c r="P69" s="22">
        <f>IF('Data-Plot'!C69="","",$Q$11+('Data-Plot'!C69-'Data-Plot'!D69)*$P$9)</f>
        <v>7769.6153389880101</v>
      </c>
      <c r="Q69" s="22">
        <f>IF('Data-Plot'!C69="","",MAX('Data-Plot'!$C$11:$C$1010)*(1+$Q$9/100))</f>
        <v>7796.25</v>
      </c>
      <c r="R69" s="22">
        <f>IF('Data-Plot'!C69="","",('Data-Plot'!C69-'Data-Plot'!D69)*$P$9)</f>
        <v>-26.634661011990147</v>
      </c>
      <c r="S69" s="20">
        <v>1525.6346610119901</v>
      </c>
      <c r="T69" s="20">
        <v>8.8496795994485334E-3</v>
      </c>
      <c r="U69" s="20">
        <v>2.7266410094681881E-3</v>
      </c>
      <c r="V69" s="20">
        <v>453.5082484308727</v>
      </c>
      <c r="W69" s="20">
        <v>1071.009197678216</v>
      </c>
      <c r="X69" s="20">
        <v>1.1056385822925965</v>
      </c>
      <c r="AE69" s="22">
        <v>295</v>
      </c>
      <c r="AF69" s="22">
        <v>1499</v>
      </c>
      <c r="AG69" s="22">
        <v>1525.6346610119901</v>
      </c>
      <c r="AH69" s="22">
        <v>8.8496795994485334E-3</v>
      </c>
      <c r="AI69" s="22">
        <v>2.7266410094681881E-3</v>
      </c>
      <c r="AJ69" s="22">
        <v>453.5082484308727</v>
      </c>
      <c r="AK69" s="22">
        <v>1071.009197678216</v>
      </c>
      <c r="AL69" s="22">
        <v>1.1056385822925965</v>
      </c>
      <c r="AT69" s="22">
        <v>295</v>
      </c>
      <c r="AU69" s="22">
        <v>2995</v>
      </c>
      <c r="AV69" s="22">
        <v>3110.684334372434</v>
      </c>
      <c r="AW69" s="22">
        <v>6.1314574951975955E-3</v>
      </c>
      <c r="AX69" s="22">
        <v>6.9307748433626642E-3</v>
      </c>
      <c r="AY69" s="22">
        <v>754.5947180407544</v>
      </c>
      <c r="AZ69" s="22">
        <v>2354.0788675894719</v>
      </c>
      <c r="BA69" s="22">
        <v>1.9976865098690355</v>
      </c>
      <c r="BI69" s="22">
        <v>295</v>
      </c>
      <c r="BJ69" s="22">
        <v>5293</v>
      </c>
      <c r="BK69" s="22">
        <v>5216.6678914507693</v>
      </c>
      <c r="BL69" s="22">
        <v>1.0501934770424172E-6</v>
      </c>
      <c r="BM69" s="22">
        <v>1.281025904007334</v>
      </c>
      <c r="BN69" s="22">
        <v>1134.804450421914</v>
      </c>
      <c r="BO69" s="22">
        <v>4076.6549854984105</v>
      </c>
      <c r="BP69" s="22">
        <v>3.9274285762443868</v>
      </c>
      <c r="BX69" s="22">
        <v>295</v>
      </c>
      <c r="BY69" s="22">
        <v>7509</v>
      </c>
      <c r="BZ69" s="22">
        <v>7471.4436073428624</v>
      </c>
      <c r="CA69" s="22">
        <v>1.3422113326903062E-4</v>
      </c>
      <c r="CB69" s="22">
        <v>1.968765570141493</v>
      </c>
      <c r="CC69" s="22">
        <v>1762.5220228937451</v>
      </c>
      <c r="CD69" s="22">
        <v>5701.6980151496973</v>
      </c>
      <c r="CE69" s="22">
        <v>5.2546695081453159</v>
      </c>
      <c r="CM69" s="22">
        <v>295</v>
      </c>
      <c r="CN69" s="22">
        <v>17391</v>
      </c>
      <c r="CO69" s="22">
        <v>17415.444931869257</v>
      </c>
      <c r="CP69" s="22">
        <v>0.31911815677267497</v>
      </c>
      <c r="CQ69" s="22">
        <v>4.3209818451604631</v>
      </c>
      <c r="CR69" s="22">
        <v>4054.9820879141798</v>
      </c>
      <c r="CS69" s="22">
        <v>13345.581262156695</v>
      </c>
      <c r="CT69" s="22">
        <v>10.241481796448969</v>
      </c>
      <c r="DB69" s="22">
        <v>295</v>
      </c>
      <c r="DC69" s="22">
        <v>31603</v>
      </c>
      <c r="DD69" s="22">
        <v>31136.909083534734</v>
      </c>
      <c r="DE69" s="22">
        <v>8.1244889621935616</v>
      </c>
      <c r="DF69" s="22">
        <v>7.4008509910085714</v>
      </c>
      <c r="DG69" s="22">
        <v>8423.4333827886167</v>
      </c>
      <c r="DH69" s="22">
        <v>22682.158241657402</v>
      </c>
      <c r="DI69" s="22">
        <v>15.792119135512424</v>
      </c>
      <c r="DQ69" s="22">
        <v>295</v>
      </c>
      <c r="DR69" s="22">
        <v>46687</v>
      </c>
      <c r="DS69" s="22">
        <v>46776.815028202305</v>
      </c>
      <c r="DT69" s="22">
        <v>16.540047485483207</v>
      </c>
      <c r="DU69" s="22">
        <v>32.993242249939762</v>
      </c>
      <c r="DV69" s="22">
        <v>10884.405975570264</v>
      </c>
      <c r="DW69" s="22">
        <v>35819.348668980107</v>
      </c>
      <c r="DX69" s="22">
        <v>19.527093916510406</v>
      </c>
      <c r="EF69" s="22">
        <v>295</v>
      </c>
      <c r="EG69" s="22">
        <v>62323</v>
      </c>
      <c r="EH69" s="22">
        <v>62323.108251308586</v>
      </c>
      <c r="EI69" s="22">
        <v>72.123192715792001</v>
      </c>
      <c r="EJ69" s="22">
        <v>42.707436152378975</v>
      </c>
      <c r="EK69" s="22">
        <v>13165.486353986147</v>
      </c>
      <c r="EL69" s="22">
        <v>49023.50425981341</v>
      </c>
      <c r="EM69" s="22">
        <v>19.287008640855731</v>
      </c>
    </row>
    <row r="70" spans="2:143" x14ac:dyDescent="0.25">
      <c r="B70" s="24">
        <f>$B$11+($B$10-$B$11)*59/99</f>
        <v>165.33333333333334</v>
      </c>
      <c r="C70" s="22">
        <v>22588.218993617207</v>
      </c>
      <c r="P70" s="22">
        <f>IF('Data-Plot'!C70="","",$Q$11+('Data-Plot'!C70-'Data-Plot'!D70)*$P$9)</f>
        <v>7809.5789250084572</v>
      </c>
      <c r="Q70" s="22">
        <f>IF('Data-Plot'!C70="","",MAX('Data-Plot'!$C$11:$C$1010)*(1+$Q$9/100))</f>
        <v>7796.25</v>
      </c>
      <c r="R70" s="22">
        <f>IF('Data-Plot'!C70="","",('Data-Plot'!C70-'Data-Plot'!D70)*$P$9)</f>
        <v>13.32892500845719</v>
      </c>
      <c r="S70" s="20">
        <v>1663.6710749915428</v>
      </c>
      <c r="T70" s="20">
        <v>5.4945566990483021E-3</v>
      </c>
      <c r="U70" s="20">
        <v>3.2331854840113663E-4</v>
      </c>
      <c r="V70" s="20">
        <v>395.65727955264163</v>
      </c>
      <c r="W70" s="20">
        <v>1266.2975292458541</v>
      </c>
      <c r="X70" s="20">
        <v>1.710448317799506</v>
      </c>
      <c r="AE70" s="22">
        <v>300</v>
      </c>
      <c r="AF70" s="22">
        <v>1677</v>
      </c>
      <c r="AG70" s="22">
        <v>1663.6710749915428</v>
      </c>
      <c r="AH70" s="22">
        <v>5.4945566990483021E-3</v>
      </c>
      <c r="AI70" s="22">
        <v>3.2331854840113663E-4</v>
      </c>
      <c r="AJ70" s="22">
        <v>395.65727955264163</v>
      </c>
      <c r="AK70" s="22">
        <v>1266.2975292458541</v>
      </c>
      <c r="AL70" s="22">
        <v>1.710448317799506</v>
      </c>
      <c r="AT70" s="22">
        <v>300</v>
      </c>
      <c r="AU70" s="22">
        <v>3415</v>
      </c>
      <c r="AV70" s="22">
        <v>3413.5757810319915</v>
      </c>
      <c r="AW70" s="22">
        <v>3.6908203459092869E-3</v>
      </c>
      <c r="AX70" s="22">
        <v>8.3971640824563967E-4</v>
      </c>
      <c r="AY70" s="22">
        <v>646.49798875444844</v>
      </c>
      <c r="AZ70" s="22">
        <v>2763.9828337794411</v>
      </c>
      <c r="BA70" s="22">
        <v>3.0904279613480159</v>
      </c>
      <c r="BI70" s="22">
        <v>300</v>
      </c>
      <c r="BJ70" s="22">
        <v>5793</v>
      </c>
      <c r="BK70" s="22">
        <v>5730.8178275234886</v>
      </c>
      <c r="BL70" s="22">
        <v>4.2590254947877564E-7</v>
      </c>
      <c r="BM70" s="22">
        <v>0.40406575316183674</v>
      </c>
      <c r="BN70" s="22">
        <v>933.17244483152422</v>
      </c>
      <c r="BO70" s="22">
        <v>4791.1658707235183</v>
      </c>
      <c r="BP70" s="22">
        <v>6.0754457893818747</v>
      </c>
      <c r="BX70" s="22">
        <v>300</v>
      </c>
      <c r="BY70" s="22">
        <v>8390</v>
      </c>
      <c r="BZ70" s="22">
        <v>8200.6792708588382</v>
      </c>
      <c r="CA70" s="22">
        <v>6.7115116528036552E-5</v>
      </c>
      <c r="CB70" s="22">
        <v>0.63778323899015155</v>
      </c>
      <c r="CC70" s="22">
        <v>1489.1323751060279</v>
      </c>
      <c r="CD70" s="22">
        <v>6702.7804257032321</v>
      </c>
      <c r="CE70" s="22">
        <v>8.128619695472258</v>
      </c>
      <c r="CM70" s="22">
        <v>300</v>
      </c>
      <c r="CN70" s="22">
        <v>19119</v>
      </c>
      <c r="CO70" s="22">
        <v>18905.746865127756</v>
      </c>
      <c r="CP70" s="22">
        <v>0.21401458087032457</v>
      </c>
      <c r="CQ70" s="22">
        <v>1.4834522814443836</v>
      </c>
      <c r="CR70" s="22">
        <v>3322.8101896927037</v>
      </c>
      <c r="CS70" s="22">
        <v>15565.396860863826</v>
      </c>
      <c r="CT70" s="22">
        <v>15.842347708910943</v>
      </c>
      <c r="DB70" s="22">
        <v>300</v>
      </c>
      <c r="DC70" s="22">
        <v>33561</v>
      </c>
      <c r="DD70" s="22">
        <v>33561.4229687388</v>
      </c>
      <c r="DE70" s="22">
        <v>6.0596845188738753</v>
      </c>
      <c r="DF70" s="22">
        <v>2.6712153537503789</v>
      </c>
      <c r="DG70" s="22">
        <v>7212.9078844846026</v>
      </c>
      <c r="DH70" s="22">
        <v>26315.356097859032</v>
      </c>
      <c r="DI70" s="22">
        <v>24.428086522545971</v>
      </c>
      <c r="DQ70" s="22">
        <v>300</v>
      </c>
      <c r="DR70" s="22">
        <v>50109</v>
      </c>
      <c r="DS70" s="22">
        <v>50054.59544649996</v>
      </c>
      <c r="DT70" s="22">
        <v>12.515820345380606</v>
      </c>
      <c r="DU70" s="22">
        <v>14.552249919639866</v>
      </c>
      <c r="DV70" s="22">
        <v>8794.7218818114889</v>
      </c>
      <c r="DW70" s="22">
        <v>41198.599712582101</v>
      </c>
      <c r="DX70" s="22">
        <v>30.205781841349591</v>
      </c>
      <c r="EF70" s="22">
        <v>300</v>
      </c>
      <c r="EG70" s="22">
        <v>66837</v>
      </c>
      <c r="EH70" s="22">
        <v>66525.014536050803</v>
      </c>
      <c r="EI70" s="22">
        <v>57.019652665432382</v>
      </c>
      <c r="EJ70" s="22">
        <v>19.29703053742622</v>
      </c>
      <c r="EK70" s="22">
        <v>10546.981300757257</v>
      </c>
      <c r="EL70" s="22">
        <v>55871.880816710509</v>
      </c>
      <c r="EM70" s="22">
        <v>29.835735380180491</v>
      </c>
    </row>
    <row r="71" spans="2:143" x14ac:dyDescent="0.25">
      <c r="B71" s="24">
        <f>$B$11+($B$10-$B$11)*60/99</f>
        <v>167.8</v>
      </c>
      <c r="C71" s="22">
        <v>22896.136258078532</v>
      </c>
      <c r="P71" s="22">
        <f>IF('Data-Plot'!C71="","",$Q$11+('Data-Plot'!C71-'Data-Plot'!D71)*$P$9)</f>
        <v>7835.322616843393</v>
      </c>
      <c r="Q71" s="22">
        <f>IF('Data-Plot'!C71="","",MAX('Data-Plot'!$C$11:$C$1010)*(1+$Q$9/100))</f>
        <v>7796.25</v>
      </c>
      <c r="R71" s="22">
        <f>IF('Data-Plot'!C71="","",('Data-Plot'!C71-'Data-Plot'!D71)*$P$9)</f>
        <v>39.072616843393234</v>
      </c>
      <c r="S71" s="20">
        <v>1810.9273831566068</v>
      </c>
      <c r="T71" s="20">
        <v>3.4372559490040183E-3</v>
      </c>
      <c r="U71" s="20">
        <v>3.4931362368030508E-5</v>
      </c>
      <c r="V71" s="20">
        <v>338.8631111567941</v>
      </c>
      <c r="W71" s="20">
        <v>1469.4350124742584</v>
      </c>
      <c r="X71" s="20">
        <v>2.6257873382428891</v>
      </c>
      <c r="AE71" s="22">
        <v>305</v>
      </c>
      <c r="AF71" s="22">
        <v>1850</v>
      </c>
      <c r="AG71" s="22">
        <v>1810.9273831566068</v>
      </c>
      <c r="AH71" s="22">
        <v>3.4372559490040183E-3</v>
      </c>
      <c r="AI71" s="22">
        <v>3.4931362368030508E-5</v>
      </c>
      <c r="AJ71" s="22">
        <v>338.8631111567941</v>
      </c>
      <c r="AK71" s="22">
        <v>1469.4350124742584</v>
      </c>
      <c r="AL71" s="22">
        <v>2.6257873382428891</v>
      </c>
      <c r="AT71" s="22">
        <v>305</v>
      </c>
      <c r="AU71" s="22">
        <v>3766</v>
      </c>
      <c r="AV71" s="22">
        <v>3730.913263728894</v>
      </c>
      <c r="AW71" s="22">
        <v>2.2396226255305064E-3</v>
      </c>
      <c r="AX71" s="22">
        <v>9.2761607073550014E-5</v>
      </c>
      <c r="AY71" s="22">
        <v>544.6438330775228</v>
      </c>
      <c r="AZ71" s="22">
        <v>3181.5229334402316</v>
      </c>
      <c r="BA71" s="22">
        <v>4.7441648269066805</v>
      </c>
      <c r="BI71" s="22">
        <v>305</v>
      </c>
      <c r="BJ71" s="22">
        <v>6220</v>
      </c>
      <c r="BK71" s="22">
        <v>6262.3523180815173</v>
      </c>
      <c r="BL71" s="22">
        <v>1.7518164231481037E-7</v>
      </c>
      <c r="BM71" s="22">
        <v>0.12509409402733587</v>
      </c>
      <c r="BN71" s="22">
        <v>732.5997771302691</v>
      </c>
      <c r="BO71" s="22">
        <v>5520.3016428995707</v>
      </c>
      <c r="BP71" s="22">
        <v>9.3258037824686326</v>
      </c>
      <c r="BX71" s="22">
        <v>305</v>
      </c>
      <c r="BY71" s="22">
        <v>9022</v>
      </c>
      <c r="BZ71" s="22">
        <v>8941.5116362624813</v>
      </c>
      <c r="CA71" s="22">
        <v>3.3929362363862827E-5</v>
      </c>
      <c r="CB71" s="22">
        <v>0.20312086276063129</v>
      </c>
      <c r="CC71" s="22">
        <v>1203.8451398088728</v>
      </c>
      <c r="CD71" s="22">
        <v>7724.9858493678257</v>
      </c>
      <c r="CE71" s="22">
        <v>12.477492293659305</v>
      </c>
      <c r="CM71" s="22">
        <v>305</v>
      </c>
      <c r="CN71" s="22">
        <v>20522</v>
      </c>
      <c r="CO71" s="22">
        <v>20383.717978497549</v>
      </c>
      <c r="CP71" s="22">
        <v>0.14443897015520524</v>
      </c>
      <c r="CQ71" s="22">
        <v>0.50240154283540028</v>
      </c>
      <c r="CR71" s="22">
        <v>2586.7128375529555</v>
      </c>
      <c r="CS71" s="22">
        <v>17772.041441707523</v>
      </c>
      <c r="CT71" s="22">
        <v>24.316858724079601</v>
      </c>
      <c r="DB71" s="22">
        <v>305</v>
      </c>
      <c r="DC71" s="22">
        <v>36124</v>
      </c>
      <c r="DD71" s="22">
        <v>35888.915713098155</v>
      </c>
      <c r="DE71" s="22">
        <v>4.5405851287496821</v>
      </c>
      <c r="DF71" s="22">
        <v>0.95355089831375617</v>
      </c>
      <c r="DG71" s="22">
        <v>5985.8203348576699</v>
      </c>
      <c r="DH71" s="22">
        <v>29860.1069195362</v>
      </c>
      <c r="DI71" s="22">
        <v>37.494322677221305</v>
      </c>
      <c r="DQ71" s="22">
        <v>305</v>
      </c>
      <c r="DR71" s="22">
        <v>53498</v>
      </c>
      <c r="DS71" s="22">
        <v>53055.007526944421</v>
      </c>
      <c r="DT71" s="22">
        <v>9.5123211357141528</v>
      </c>
      <c r="DU71" s="22">
        <v>6.3897599502212525</v>
      </c>
      <c r="DV71" s="22">
        <v>6707.0210426486838</v>
      </c>
      <c r="DW71" s="22">
        <v>46281.721414466585</v>
      </c>
      <c r="DX71" s="22">
        <v>46.362988743214679</v>
      </c>
      <c r="EF71" s="22">
        <v>305</v>
      </c>
      <c r="EG71" s="22">
        <v>70263</v>
      </c>
      <c r="EH71" s="22">
        <v>70237.406635828054</v>
      </c>
      <c r="EI71" s="22">
        <v>45.244867650636536</v>
      </c>
      <c r="EJ71" s="22">
        <v>8.6859974191958571</v>
      </c>
      <c r="EK71" s="22">
        <v>8014.9256535006534</v>
      </c>
      <c r="EL71" s="22">
        <v>62122.751962422764</v>
      </c>
      <c r="EM71" s="22">
        <v>45.798154834800584</v>
      </c>
    </row>
    <row r="72" spans="2:143" x14ac:dyDescent="0.25">
      <c r="B72" s="24">
        <f>$B$11+($B$10-$B$11)*61/99</f>
        <v>170.26666666666668</v>
      </c>
      <c r="C72" s="22">
        <v>23203.128405644798</v>
      </c>
      <c r="P72" s="22">
        <f>IF('Data-Plot'!C72="","",$Q$11+('Data-Plot'!C72-'Data-Plot'!D72)*$P$9)</f>
        <v>7812.3746617557017</v>
      </c>
      <c r="Q72" s="22">
        <f>IF('Data-Plot'!C72="","",MAX('Data-Plot'!$C$11:$C$1010)*(1+$Q$9/100))</f>
        <v>7796.25</v>
      </c>
      <c r="R72" s="22">
        <f>IF('Data-Plot'!C72="","",('Data-Plot'!C72-'Data-Plot'!D72)*$P$9)</f>
        <v>16.124661755701482</v>
      </c>
      <c r="S72" s="20">
        <v>1958.8753382442985</v>
      </c>
      <c r="T72" s="20">
        <v>2.1662297970032663E-3</v>
      </c>
      <c r="U72" s="20">
        <v>3.4950250914210237E-6</v>
      </c>
      <c r="V72" s="20">
        <v>285.76218678082563</v>
      </c>
      <c r="W72" s="20">
        <v>1669.1105016891938</v>
      </c>
      <c r="X72" s="20">
        <v>4.000480049456888</v>
      </c>
      <c r="AE72" s="22">
        <v>310</v>
      </c>
      <c r="AF72" s="22">
        <v>1975</v>
      </c>
      <c r="AG72" s="22">
        <v>1958.8753382442985</v>
      </c>
      <c r="AH72" s="22">
        <v>2.1662297970032663E-3</v>
      </c>
      <c r="AI72" s="22">
        <v>3.4950250914210237E-6</v>
      </c>
      <c r="AJ72" s="22">
        <v>285.76218678082563</v>
      </c>
      <c r="AK72" s="22">
        <v>1669.1105016891938</v>
      </c>
      <c r="AL72" s="22">
        <v>4.000480049456888</v>
      </c>
      <c r="AT72" s="22">
        <v>310</v>
      </c>
      <c r="AU72" s="22">
        <v>4179</v>
      </c>
      <c r="AV72" s="22">
        <v>4040.6608113724819</v>
      </c>
      <c r="AW72" s="22">
        <v>1.3697908681998782E-3</v>
      </c>
      <c r="AX72" s="22">
        <v>9.49496806055412E-6</v>
      </c>
      <c r="AY72" s="22">
        <v>452.53574002202305</v>
      </c>
      <c r="AZ72" s="22">
        <v>3580.8960038778573</v>
      </c>
      <c r="BA72" s="22">
        <v>7.2276881867651186</v>
      </c>
      <c r="BI72" s="22">
        <v>310</v>
      </c>
      <c r="BJ72" s="22">
        <v>6783</v>
      </c>
      <c r="BK72" s="22">
        <v>6783.0344194462696</v>
      </c>
      <c r="BL72" s="22">
        <v>7.3065385876827086E-8</v>
      </c>
      <c r="BM72" s="22">
        <v>3.8247068804678964E-2</v>
      </c>
      <c r="BN72" s="22">
        <v>550.21991052131636</v>
      </c>
      <c r="BO72" s="22">
        <v>6218.5701435923947</v>
      </c>
      <c r="BP72" s="22">
        <v>14.206118190688125</v>
      </c>
      <c r="BX72" s="22">
        <v>310</v>
      </c>
      <c r="BY72" s="22">
        <v>9655</v>
      </c>
      <c r="BZ72" s="22">
        <v>9656.5197737054714</v>
      </c>
      <c r="CA72" s="22">
        <v>1.7338209320009651E-5</v>
      </c>
      <c r="CB72" s="22">
        <v>6.3972538158559369E-2</v>
      </c>
      <c r="CC72" s="22">
        <v>932.90806911778043</v>
      </c>
      <c r="CD72" s="22">
        <v>8704.5404288450409</v>
      </c>
      <c r="CE72" s="22">
        <v>19.007285866282661</v>
      </c>
      <c r="CM72" s="22">
        <v>310</v>
      </c>
      <c r="CN72" s="22">
        <v>21761</v>
      </c>
      <c r="CO72" s="22">
        <v>21760.939847201786</v>
      </c>
      <c r="CP72" s="22">
        <v>9.8089185261547432E-2</v>
      </c>
      <c r="CQ72" s="22">
        <v>0.16872833497044956</v>
      </c>
      <c r="CR72" s="22">
        <v>1915.3166909744989</v>
      </c>
      <c r="CS72" s="22">
        <v>19808.31678357803</v>
      </c>
      <c r="CT72" s="22">
        <v>37.039555129023469</v>
      </c>
      <c r="DB72" s="22">
        <v>310</v>
      </c>
      <c r="DC72" s="22">
        <v>38204</v>
      </c>
      <c r="DD72" s="22">
        <v>37935.013328036242</v>
      </c>
      <c r="DE72" s="22">
        <v>3.417762106364119</v>
      </c>
      <c r="DF72" s="22">
        <v>0.33824637045651956</v>
      </c>
      <c r="DG72" s="22">
        <v>4829.2980074617089</v>
      </c>
      <c r="DH72" s="22">
        <v>33044.850165911295</v>
      </c>
      <c r="DI72" s="22">
        <v>57.109146186418194</v>
      </c>
      <c r="DQ72" s="22">
        <v>310</v>
      </c>
      <c r="DR72" s="22">
        <v>56054</v>
      </c>
      <c r="DS72" s="22">
        <v>55552.45845443906</v>
      </c>
      <c r="DT72" s="22">
        <v>7.2607433936546695</v>
      </c>
      <c r="DU72" s="22">
        <v>2.8018340188691688</v>
      </c>
      <c r="DV72" s="22">
        <v>4827.9107097480983</v>
      </c>
      <c r="DW72" s="22">
        <v>50639.866478800759</v>
      </c>
      <c r="DX72" s="22">
        <v>70.618688477675477</v>
      </c>
      <c r="EF72" s="22">
        <v>310</v>
      </c>
      <c r="EG72" s="22">
        <v>73115</v>
      </c>
      <c r="EH72" s="22">
        <v>73110.715796858378</v>
      </c>
      <c r="EI72" s="22">
        <v>36.031184567274266</v>
      </c>
      <c r="EJ72" s="22">
        <v>3.9063143112737992</v>
      </c>
      <c r="EK72" s="22">
        <v>5786.4315416256459</v>
      </c>
      <c r="EL72" s="22">
        <v>67214.581066255021</v>
      </c>
      <c r="EM72" s="22">
        <v>69.765690099157155</v>
      </c>
    </row>
    <row r="73" spans="2:143" x14ac:dyDescent="0.25">
      <c r="B73" s="24">
        <f>$B$11+($B$10-$B$11)*62/99</f>
        <v>172.73333333333335</v>
      </c>
      <c r="C73" s="22">
        <v>23509.198215768058</v>
      </c>
      <c r="P73" s="22">
        <f>IF('Data-Plot'!C73="","",$Q$11+('Data-Plot'!C73-'Data-Plot'!D73)*$P$9)</f>
        <v>7744.8271855757284</v>
      </c>
      <c r="Q73" s="22">
        <f>IF('Data-Plot'!C73="","",MAX('Data-Plot'!$C$11:$C$1010)*(1+$Q$9/100))</f>
        <v>7796.25</v>
      </c>
      <c r="R73" s="22">
        <f>IF('Data-Plot'!C73="","",('Data-Plot'!C73-'Data-Plot'!D73)*$P$9)</f>
        <v>-51.42281442427111</v>
      </c>
      <c r="S73" s="20">
        <v>2094.4228144242711</v>
      </c>
      <c r="T73" s="20">
        <v>1.3751420608246708E-3</v>
      </c>
      <c r="U73" s="20">
        <v>3.2886326813512112E-7</v>
      </c>
      <c r="V73" s="20">
        <v>237.948190422398</v>
      </c>
      <c r="W73" s="20">
        <v>1850.4240385112462</v>
      </c>
      <c r="X73" s="20">
        <v>6.0492100197031862</v>
      </c>
      <c r="AE73" s="22">
        <v>315</v>
      </c>
      <c r="AF73" s="22">
        <v>2043</v>
      </c>
      <c r="AG73" s="22">
        <v>2094.4228144242711</v>
      </c>
      <c r="AH73" s="22">
        <v>1.3751420608246708E-3</v>
      </c>
      <c r="AI73" s="22">
        <v>3.2886326813512112E-7</v>
      </c>
      <c r="AJ73" s="22">
        <v>237.948190422398</v>
      </c>
      <c r="AK73" s="22">
        <v>1850.4240385112462</v>
      </c>
      <c r="AL73" s="22">
        <v>6.0492100197031862</v>
      </c>
      <c r="AT73" s="22">
        <v>315</v>
      </c>
      <c r="AU73" s="22">
        <v>4313</v>
      </c>
      <c r="AV73" s="22">
        <v>4312.988108230792</v>
      </c>
      <c r="AW73" s="22">
        <v>8.4429354141406937E-4</v>
      </c>
      <c r="AX73" s="22">
        <v>9.1438937813422094E-7</v>
      </c>
      <c r="AY73" s="22">
        <v>371.85745923120703</v>
      </c>
      <c r="AZ73" s="22">
        <v>3930.2011580222434</v>
      </c>
      <c r="BA73" s="22">
        <v>10.928645769410512</v>
      </c>
      <c r="BI73" s="22">
        <v>315</v>
      </c>
      <c r="BJ73" s="22">
        <v>7352</v>
      </c>
      <c r="BK73" s="22">
        <v>7247.0392086156089</v>
      </c>
      <c r="BL73" s="22">
        <v>3.0894223399207078E-8</v>
      </c>
      <c r="BM73" s="22">
        <v>1.1609605305105112E-2</v>
      </c>
      <c r="BN73" s="22">
        <v>396.5443306671462</v>
      </c>
      <c r="BO73" s="22">
        <v>6829.0066575919382</v>
      </c>
      <c r="BP73" s="22">
        <v>21.476610720325098</v>
      </c>
      <c r="BX73" s="22">
        <v>315</v>
      </c>
      <c r="BY73" s="22">
        <v>10209</v>
      </c>
      <c r="BZ73" s="22">
        <v>10285.026551781597</v>
      </c>
      <c r="CA73" s="22">
        <v>8.9540285671172515E-6</v>
      </c>
      <c r="CB73" s="22">
        <v>2.0024057122148678E-2</v>
      </c>
      <c r="CC73" s="22">
        <v>694.9220022240421</v>
      </c>
      <c r="CD73" s="22">
        <v>9561.3492008853682</v>
      </c>
      <c r="CE73" s="22">
        <v>28.735315661034999</v>
      </c>
      <c r="CM73" s="22">
        <v>315</v>
      </c>
      <c r="CN73" s="22">
        <v>22903</v>
      </c>
      <c r="CO73" s="22">
        <v>22896.920930709482</v>
      </c>
      <c r="CP73" s="22">
        <v>6.7019124455237986E-2</v>
      </c>
      <c r="CQ73" s="22">
        <v>5.6440554475135407E-2</v>
      </c>
      <c r="CR73" s="22">
        <v>1352.1316944209721</v>
      </c>
      <c r="CS73" s="22">
        <v>21488.675928941611</v>
      </c>
      <c r="CT73" s="22">
        <v>55.989847667971738</v>
      </c>
      <c r="DB73" s="22">
        <v>315</v>
      </c>
      <c r="DC73" s="22">
        <v>39280</v>
      </c>
      <c r="DD73" s="22">
        <v>39451.964904631452</v>
      </c>
      <c r="DE73" s="22">
        <v>2.5840418499924382</v>
      </c>
      <c r="DF73" s="22">
        <v>0.11969627710480897</v>
      </c>
      <c r="DG73" s="22">
        <v>3800.8590085803803</v>
      </c>
      <c r="DH73" s="22">
        <v>35562.08011856534</v>
      </c>
      <c r="DI73" s="22">
        <v>86.322039358633788</v>
      </c>
      <c r="DQ73" s="22">
        <v>315</v>
      </c>
      <c r="DR73" s="22">
        <v>57223</v>
      </c>
      <c r="DS73" s="22">
        <v>57222.672404268451</v>
      </c>
      <c r="DT73" s="22">
        <v>5.5655100114844096</v>
      </c>
      <c r="DU73" s="22">
        <v>1.2300051348852146</v>
      </c>
      <c r="DV73" s="22">
        <v>3285.0718737226034</v>
      </c>
      <c r="DW73" s="22">
        <v>53820.0599258652</v>
      </c>
      <c r="DX73" s="22">
        <v>106.74508953428222</v>
      </c>
      <c r="EF73" s="22">
        <v>315</v>
      </c>
      <c r="EG73" s="22">
        <v>73908</v>
      </c>
      <c r="EH73" s="22">
        <v>74715.842944149394</v>
      </c>
      <c r="EI73" s="22">
        <v>28.795240076345703</v>
      </c>
      <c r="EJ73" s="22">
        <v>1.759419667011777</v>
      </c>
      <c r="EK73" s="22">
        <v>3979.6255573627345</v>
      </c>
      <c r="EL73" s="22">
        <v>70600.190173404422</v>
      </c>
      <c r="EM73" s="22">
        <v>105.4725536388698</v>
      </c>
    </row>
    <row r="74" spans="2:143" x14ac:dyDescent="0.25">
      <c r="B74" s="24">
        <f>$B$11+($B$10-$B$11)*63/99</f>
        <v>175.2</v>
      </c>
      <c r="C74" s="22">
        <v>23814.348459549659</v>
      </c>
      <c r="P74" s="22">
        <f>IF('Data-Plot'!C74="","",$Q$11+('Data-Plot'!C74-'Data-Plot'!D74)*$P$9)</f>
        <v>7783.0700042058288</v>
      </c>
      <c r="Q74" s="22">
        <f>IF('Data-Plot'!C74="","",MAX('Data-Plot'!$C$11:$C$1010)*(1+$Q$9/100))</f>
        <v>7796.25</v>
      </c>
      <c r="R74" s="22">
        <f>IF('Data-Plot'!C74="","",('Data-Plot'!C74-'Data-Plot'!D74)*$P$9)</f>
        <v>-13.179995794171646</v>
      </c>
      <c r="S74" s="20">
        <v>2201.1799957941716</v>
      </c>
      <c r="T74" s="20">
        <v>8.7917756880562139E-4</v>
      </c>
      <c r="U74" s="20">
        <v>2.9514872799599214E-8</v>
      </c>
      <c r="V74" s="20">
        <v>196.13860694175855</v>
      </c>
      <c r="W74" s="20">
        <v>1995.9618005821376</v>
      </c>
      <c r="X74" s="20">
        <v>9.0787090631918694</v>
      </c>
      <c r="AE74" s="22">
        <v>320</v>
      </c>
      <c r="AF74" s="22">
        <v>2188</v>
      </c>
      <c r="AG74" s="22">
        <v>2201.1799957941716</v>
      </c>
      <c r="AH74" s="22">
        <v>8.7917756880562139E-4</v>
      </c>
      <c r="AI74" s="22">
        <v>2.9514872799599214E-8</v>
      </c>
      <c r="AJ74" s="22">
        <v>196.13860694175855</v>
      </c>
      <c r="AK74" s="22">
        <v>1995.9618005821376</v>
      </c>
      <c r="AL74" s="22">
        <v>9.0787090631918694</v>
      </c>
      <c r="AT74" s="22">
        <v>320</v>
      </c>
      <c r="AU74" s="22">
        <v>4337</v>
      </c>
      <c r="AV74" s="22">
        <v>4514.0079971973792</v>
      </c>
      <c r="AW74" s="22">
        <v>5.2435258661827442E-4</v>
      </c>
      <c r="AX74" s="22">
        <v>8.4015594899903512E-8</v>
      </c>
      <c r="AY74" s="22">
        <v>302.92521024063376</v>
      </c>
      <c r="AZ74" s="22">
        <v>4194.6815683575387</v>
      </c>
      <c r="BA74" s="22">
        <v>16.400694162604964</v>
      </c>
      <c r="BI74" s="22">
        <v>320</v>
      </c>
      <c r="BJ74" s="22">
        <v>7605</v>
      </c>
      <c r="BK74" s="22">
        <v>7596.1944755282793</v>
      </c>
      <c r="BL74" s="22">
        <v>1.3239657111987615E-8</v>
      </c>
      <c r="BM74" s="22">
        <v>3.5140134723041314E-3</v>
      </c>
      <c r="BN74" s="22">
        <v>275.28044927301613</v>
      </c>
      <c r="BO74" s="22">
        <v>7288.6889781695781</v>
      </c>
      <c r="BP74" s="22">
        <v>32.221534058973205</v>
      </c>
      <c r="BX74" s="22">
        <v>320</v>
      </c>
      <c r="BY74" s="22">
        <v>10749</v>
      </c>
      <c r="BZ74" s="22">
        <v>10749.086790407253</v>
      </c>
      <c r="CA74" s="22">
        <v>4.672269879169226E-6</v>
      </c>
      <c r="CB74" s="22">
        <v>6.2550731337014396E-3</v>
      </c>
      <c r="CC74" s="22">
        <v>499.31629772403289</v>
      </c>
      <c r="CD74" s="22">
        <v>10206.651573258454</v>
      </c>
      <c r="CE74" s="22">
        <v>43.112659679362082</v>
      </c>
      <c r="CM74" s="22">
        <v>320</v>
      </c>
      <c r="CN74" s="22">
        <v>23494</v>
      </c>
      <c r="CO74" s="22">
        <v>23619.46257097636</v>
      </c>
      <c r="CP74" s="22">
        <v>4.6064011174309277E-2</v>
      </c>
      <c r="CQ74" s="22">
        <v>1.8872862165633299E-2</v>
      </c>
      <c r="CR74" s="22">
        <v>913.17799497981559</v>
      </c>
      <c r="CS74" s="22">
        <v>22622.231233192724</v>
      </c>
      <c r="CT74" s="22">
        <v>83.988405930481449</v>
      </c>
      <c r="DB74" s="22">
        <v>320</v>
      </c>
      <c r="DC74" s="22">
        <v>40214</v>
      </c>
      <c r="DD74" s="22">
        <v>40171.745138228282</v>
      </c>
      <c r="DE74" s="22">
        <v>1.9622038361121408</v>
      </c>
      <c r="DF74" s="22">
        <v>4.2392273197887222E-2</v>
      </c>
      <c r="DG74" s="22">
        <v>2928.5376059101995</v>
      </c>
      <c r="DH74" s="22">
        <v>37111.72660851512</v>
      </c>
      <c r="DI74" s="22">
        <v>129.47632769365103</v>
      </c>
      <c r="DQ74" s="22">
        <v>320</v>
      </c>
      <c r="DR74" s="22">
        <v>57225</v>
      </c>
      <c r="DS74" s="22">
        <v>57707.939317683718</v>
      </c>
      <c r="DT74" s="22">
        <v>4.2837058436125321</v>
      </c>
      <c r="DU74" s="22">
        <v>0.54170976127421011</v>
      </c>
      <c r="DV74" s="22">
        <v>2118.7634134034033</v>
      </c>
      <c r="DW74" s="22">
        <v>55420.234393683699</v>
      </c>
      <c r="DX74" s="22">
        <v>160.11609499172863</v>
      </c>
      <c r="EF74" s="22">
        <v>320</v>
      </c>
      <c r="EG74" s="22">
        <v>74043</v>
      </c>
      <c r="EH74" s="22">
        <v>74647.600847577691</v>
      </c>
      <c r="EI74" s="22">
        <v>23.092124089372778</v>
      </c>
      <c r="EJ74" s="22">
        <v>0.79516818173577963</v>
      </c>
      <c r="EK74" s="22">
        <v>2617.0080405964109</v>
      </c>
      <c r="EL74" s="22">
        <v>71848.460193466613</v>
      </c>
      <c r="EM74" s="22">
        <v>158.24532124356779</v>
      </c>
    </row>
    <row r="75" spans="2:143" x14ac:dyDescent="0.25">
      <c r="B75" s="24">
        <f>$B$11+($B$10-$B$11)*64/99</f>
        <v>177.66666666666666</v>
      </c>
      <c r="C75" s="22">
        <v>24118.581899765406</v>
      </c>
      <c r="P75" s="22">
        <f>IF('Data-Plot'!C75="","",$Q$11+('Data-Plot'!C75-'Data-Plot'!D75)*$P$9)</f>
        <v>7701.3356432944747</v>
      </c>
      <c r="Q75" s="22">
        <f>IF('Data-Plot'!C75="","",MAX('Data-Plot'!$C$11:$C$1010)*(1+$Q$9/100))</f>
        <v>7796.25</v>
      </c>
      <c r="R75" s="22">
        <f>IF('Data-Plot'!C75="","",('Data-Plot'!C75-'Data-Plot'!D75)*$P$9)</f>
        <v>-94.914356705525734</v>
      </c>
      <c r="S75" s="20">
        <v>2261.9143567055257</v>
      </c>
      <c r="T75" s="20">
        <v>5.6601334839439577E-4</v>
      </c>
      <c r="U75" s="20">
        <v>2.5586845342361592E-9</v>
      </c>
      <c r="V75" s="20">
        <v>160.40593353849584</v>
      </c>
      <c r="W75" s="20">
        <v>2087.9853486121219</v>
      </c>
      <c r="X75" s="20">
        <v>13.522508539000571</v>
      </c>
      <c r="AE75" s="22">
        <v>325</v>
      </c>
      <c r="AF75" s="22">
        <v>2167</v>
      </c>
      <c r="AG75" s="22">
        <v>2261.9143567055257</v>
      </c>
      <c r="AH75" s="22">
        <v>5.6601334839439577E-4</v>
      </c>
      <c r="AI75" s="22">
        <v>2.5586845342361592E-9</v>
      </c>
      <c r="AJ75" s="22">
        <v>160.40593353849584</v>
      </c>
      <c r="AK75" s="22">
        <v>2087.9853486121219</v>
      </c>
      <c r="AL75" s="22">
        <v>13.522508539000571</v>
      </c>
      <c r="AT75" s="22">
        <v>325</v>
      </c>
      <c r="AU75" s="22">
        <v>4489</v>
      </c>
      <c r="AV75" s="22">
        <v>4611.5420769976681</v>
      </c>
      <c r="AW75" s="22">
        <v>3.2807607428621244E-4</v>
      </c>
      <c r="AX75" s="22">
        <v>7.4580349749293047E-9</v>
      </c>
      <c r="AY75" s="22">
        <v>245.15386937933758</v>
      </c>
      <c r="AZ75" s="22">
        <v>4341.9619456400751</v>
      </c>
      <c r="BA75" s="22">
        <v>24.425933894723517</v>
      </c>
      <c r="BI75" s="22">
        <v>325</v>
      </c>
      <c r="BJ75" s="22">
        <v>7748</v>
      </c>
      <c r="BK75" s="22">
        <v>7770.9162358483709</v>
      </c>
      <c r="BL75" s="22">
        <v>5.7490660671370269E-9</v>
      </c>
      <c r="BM75" s="22">
        <v>1.0644675547950714E-3</v>
      </c>
      <c r="BN75" s="22">
        <v>184.85697687191123</v>
      </c>
      <c r="BO75" s="22">
        <v>7538.0889806905316</v>
      </c>
      <c r="BP75" s="22">
        <v>47.969213812624119</v>
      </c>
      <c r="BX75" s="22">
        <v>325</v>
      </c>
      <c r="BY75" s="22">
        <v>11078</v>
      </c>
      <c r="BZ75" s="22">
        <v>10967.774463501299</v>
      </c>
      <c r="CA75" s="22">
        <v>2.4628643493640127E-6</v>
      </c>
      <c r="CB75" s="22">
        <v>1.9566733099929167E-3</v>
      </c>
      <c r="CC75" s="22">
        <v>347.44039916743276</v>
      </c>
      <c r="CD75" s="22">
        <v>10556.147070309009</v>
      </c>
      <c r="CE75" s="22">
        <v>64.185034888681329</v>
      </c>
      <c r="CM75" s="22">
        <v>325</v>
      </c>
      <c r="CN75" s="22">
        <v>23482</v>
      </c>
      <c r="CO75" s="22">
        <v>23763.637958344982</v>
      </c>
      <c r="CP75" s="22">
        <v>3.1845974127521381E-2</v>
      </c>
      <c r="CQ75" s="22">
        <v>6.3272707712067775E-3</v>
      </c>
      <c r="CR75" s="22">
        <v>592.44777119853791</v>
      </c>
      <c r="CS75" s="22">
        <v>23046.14608369831</v>
      </c>
      <c r="CT75" s="22">
        <v>125.00593020323495</v>
      </c>
      <c r="DB75" s="22">
        <v>325</v>
      </c>
      <c r="DC75" s="22">
        <v>39287</v>
      </c>
      <c r="DD75" s="22">
        <v>39869.226133963995</v>
      </c>
      <c r="DE75" s="22">
        <v>1.4963553848792048</v>
      </c>
      <c r="DF75" s="22">
        <v>1.5065684853161225E-2</v>
      </c>
      <c r="DG75" s="22">
        <v>2216.6228293701583</v>
      </c>
      <c r="DH75" s="22">
        <v>37458.410432614859</v>
      </c>
      <c r="DI75" s="22">
        <v>192.68145090924401</v>
      </c>
      <c r="DQ75" s="22">
        <v>325</v>
      </c>
      <c r="DR75" s="22">
        <v>56111</v>
      </c>
      <c r="DS75" s="22">
        <v>56720.965264735751</v>
      </c>
      <c r="DT75" s="22">
        <v>3.3104465184721579</v>
      </c>
      <c r="DU75" s="22">
        <v>0.23973398605360824</v>
      </c>
      <c r="DV75" s="22">
        <v>1300.2975727011508</v>
      </c>
      <c r="DW75" s="22">
        <v>55174.824127695509</v>
      </c>
      <c r="DX75" s="22">
        <v>238.29338383456567</v>
      </c>
      <c r="EF75" s="22">
        <v>325</v>
      </c>
      <c r="EG75" s="22">
        <v>71930</v>
      </c>
      <c r="EH75" s="22">
        <v>72649.810002342288</v>
      </c>
      <c r="EI75" s="22">
        <v>18.581298565440349</v>
      </c>
      <c r="EJ75" s="22">
        <v>0.3611581063620079</v>
      </c>
      <c r="EK75" s="22">
        <v>1652.8179384951447</v>
      </c>
      <c r="EL75" s="22">
        <v>70742.455882333015</v>
      </c>
      <c r="EM75" s="22">
        <v>235.59372484232597</v>
      </c>
    </row>
    <row r="76" spans="2:143" x14ac:dyDescent="0.25">
      <c r="B76" s="24">
        <f>$B$11+($B$10-$B$11)*65/99</f>
        <v>180.13333333333335</v>
      </c>
      <c r="C76" s="22">
        <v>24421.901290890477</v>
      </c>
      <c r="P76" s="22">
        <f>IF('Data-Plot'!C76="","",$Q$11+('Data-Plot'!C76-'Data-Plot'!D76)*$P$9)</f>
        <v>7755.253928709416</v>
      </c>
      <c r="Q76" s="22">
        <f>IF('Data-Plot'!C76="","",MAX('Data-Plot'!$C$11:$C$1010)*(1+$Q$9/100))</f>
        <v>7796.25</v>
      </c>
      <c r="R76" s="22">
        <f>IF('Data-Plot'!C76="","",('Data-Plot'!C76-'Data-Plot'!D76)*$P$9)</f>
        <v>-40.996071290584041</v>
      </c>
      <c r="S76" s="20">
        <v>2261.996071290584</v>
      </c>
      <c r="T76" s="20">
        <v>3.6688745756173317E-4</v>
      </c>
      <c r="U76" s="20">
        <v>2.1665097295912984E-10</v>
      </c>
      <c r="V76" s="20">
        <v>130.40458406398778</v>
      </c>
      <c r="W76" s="20">
        <v>2111.605519530041</v>
      </c>
      <c r="X76" s="20">
        <v>19.985600808880744</v>
      </c>
      <c r="AE76" s="22">
        <v>330</v>
      </c>
      <c r="AF76" s="22">
        <v>2221</v>
      </c>
      <c r="AG76" s="22">
        <v>2261.996071290584</v>
      </c>
      <c r="AH76" s="22">
        <v>3.6688745756173317E-4</v>
      </c>
      <c r="AI76" s="22">
        <v>2.1665097295912984E-10</v>
      </c>
      <c r="AJ76" s="22">
        <v>130.40458406398778</v>
      </c>
      <c r="AK76" s="22">
        <v>2111.605519530041</v>
      </c>
      <c r="AL76" s="22">
        <v>19.985600808880744</v>
      </c>
      <c r="AT76" s="22">
        <v>330</v>
      </c>
      <c r="AU76" s="22">
        <v>4617</v>
      </c>
      <c r="AV76" s="22">
        <v>4582.0199428612705</v>
      </c>
      <c r="AW76" s="22">
        <v>2.067651981152849E-4</v>
      </c>
      <c r="AX76" s="22">
        <v>6.4670128155996292E-10</v>
      </c>
      <c r="AY76" s="22">
        <v>197.44999248291987</v>
      </c>
      <c r="AZ76" s="22">
        <v>4348.4748769797689</v>
      </c>
      <c r="BA76" s="22">
        <v>36.094866632736711</v>
      </c>
      <c r="BI76" s="22">
        <v>330</v>
      </c>
      <c r="BJ76" s="22">
        <v>7647</v>
      </c>
      <c r="BK76" s="22">
        <v>7724.4752191435564</v>
      </c>
      <c r="BL76" s="22">
        <v>2.5288548409855692E-9</v>
      </c>
      <c r="BM76" s="22">
        <v>3.2366178292887076E-4</v>
      </c>
      <c r="BN76" s="22">
        <v>120.61884319586468</v>
      </c>
      <c r="BO76" s="22">
        <v>7533.0124244835297</v>
      </c>
      <c r="BP76" s="22">
        <v>70.843627799849614</v>
      </c>
      <c r="BX76" s="22">
        <v>330</v>
      </c>
      <c r="BY76" s="22">
        <v>10793</v>
      </c>
      <c r="BZ76" s="22">
        <v>10876.811164063305</v>
      </c>
      <c r="CA76" s="22">
        <v>1.3111836613173351E-6</v>
      </c>
      <c r="CB76" s="22">
        <v>6.1463542001574353E-4</v>
      </c>
      <c r="CC76" s="22">
        <v>235.1116255070462</v>
      </c>
      <c r="CD76" s="22">
        <v>10546.902759107099</v>
      </c>
      <c r="CE76" s="22">
        <v>94.796163502556595</v>
      </c>
      <c r="CM76" s="22">
        <v>330</v>
      </c>
      <c r="CN76" s="22">
        <v>23021</v>
      </c>
      <c r="CO76" s="22">
        <v>23218.258860912727</v>
      </c>
      <c r="CP76" s="22">
        <v>2.2142253350903425E-2</v>
      </c>
      <c r="CQ76" s="22">
        <v>2.1319111119916007E-3</v>
      </c>
      <c r="CR76" s="22">
        <v>370.94561351438108</v>
      </c>
      <c r="CS76" s="22">
        <v>22662.739330508186</v>
      </c>
      <c r="CT76" s="22">
        <v>184.54964272569981</v>
      </c>
      <c r="DB76" s="22">
        <v>330</v>
      </c>
      <c r="DC76" s="22">
        <v>38166</v>
      </c>
      <c r="DD76" s="22">
        <v>38427.996553241021</v>
      </c>
      <c r="DE76" s="22">
        <v>1.1458583300201897</v>
      </c>
      <c r="DF76" s="22">
        <v>5.3839530982739284E-3</v>
      </c>
      <c r="DG76" s="22">
        <v>1653.5430832515481</v>
      </c>
      <c r="DH76" s="22">
        <v>36488.901221405744</v>
      </c>
      <c r="DI76" s="22">
        <v>284.40100630061647</v>
      </c>
      <c r="DQ76" s="22">
        <v>330</v>
      </c>
      <c r="DR76" s="22">
        <v>53595</v>
      </c>
      <c r="DS76" s="22">
        <v>54147.292386754212</v>
      </c>
      <c r="DT76" s="22">
        <v>2.5684285610863009</v>
      </c>
      <c r="DU76" s="22">
        <v>0.10674651990279313</v>
      </c>
      <c r="DV76" s="22">
        <v>762.87415622878518</v>
      </c>
      <c r="DW76" s="22">
        <v>53025.985177303861</v>
      </c>
      <c r="DX76" s="22">
        <v>351.75787814057679</v>
      </c>
      <c r="EF76" s="22">
        <v>330</v>
      </c>
      <c r="EG76" s="22">
        <v>67631</v>
      </c>
      <c r="EH76" s="22">
        <v>68711.847097142498</v>
      </c>
      <c r="EI76" s="22">
        <v>15.001178625773433</v>
      </c>
      <c r="EJ76" s="22">
        <v>0.16504577688379599</v>
      </c>
      <c r="EK76" s="22">
        <v>1007.4303604848191</v>
      </c>
      <c r="EL76" s="22">
        <v>67341.292767953768</v>
      </c>
      <c r="EM76" s="22">
        <v>347.95774430125346</v>
      </c>
    </row>
    <row r="77" spans="2:143" x14ac:dyDescent="0.25">
      <c r="B77" s="24">
        <f>$B$11+($B$10-$B$11)*66/99</f>
        <v>182.6</v>
      </c>
      <c r="C77" s="22">
        <v>24724.309379124428</v>
      </c>
      <c r="P77" s="22">
        <f>IF('Data-Plot'!C77="","",$Q$11+('Data-Plot'!C77-'Data-Plot'!D77)*$P$9)</f>
        <v>7886.0643688396776</v>
      </c>
      <c r="Q77" s="22">
        <f>IF('Data-Plot'!C77="","",MAX('Data-Plot'!$C$11:$C$1010)*(1+$Q$9/100))</f>
        <v>7796.25</v>
      </c>
      <c r="R77" s="22">
        <f>IF('Data-Plot'!C77="","",('Data-Plot'!C77-'Data-Plot'!D77)*$P$9)</f>
        <v>89.814368839677172</v>
      </c>
      <c r="S77" s="20">
        <v>2193.1856311603228</v>
      </c>
      <c r="T77" s="20">
        <v>2.394036196020099E-4</v>
      </c>
      <c r="U77" s="20">
        <v>1.8089620430826698E-11</v>
      </c>
      <c r="V77" s="20">
        <v>105.55761851805435</v>
      </c>
      <c r="W77" s="20">
        <v>2058.3286692057659</v>
      </c>
      <c r="X77" s="20">
        <v>29.299104032864623</v>
      </c>
      <c r="AE77" s="22">
        <v>335</v>
      </c>
      <c r="AF77" s="22">
        <v>2283</v>
      </c>
      <c r="AG77" s="22">
        <v>2193.1856311603228</v>
      </c>
      <c r="AH77" s="22">
        <v>2.394036196020099E-4</v>
      </c>
      <c r="AI77" s="22">
        <v>1.8089620430826698E-11</v>
      </c>
      <c r="AJ77" s="22">
        <v>105.55761851805435</v>
      </c>
      <c r="AK77" s="22">
        <v>2058.3286692057659</v>
      </c>
      <c r="AL77" s="22">
        <v>29.299104032864623</v>
      </c>
      <c r="AT77" s="22">
        <v>335</v>
      </c>
      <c r="AU77" s="22">
        <v>4418</v>
      </c>
      <c r="AV77" s="22">
        <v>4416.8243586811059</v>
      </c>
      <c r="AW77" s="22">
        <v>1.3123906904438548E-4</v>
      </c>
      <c r="AX77" s="22">
        <v>5.5299581004501901E-11</v>
      </c>
      <c r="AY77" s="22">
        <v>158.50160104511622</v>
      </c>
      <c r="AZ77" s="22">
        <v>4205.4189663388315</v>
      </c>
      <c r="BA77" s="22">
        <v>52.903660058033779</v>
      </c>
      <c r="BI77" s="22">
        <v>335</v>
      </c>
      <c r="BJ77" s="22">
        <v>7554</v>
      </c>
      <c r="BK77" s="22">
        <v>7436.7402300120148</v>
      </c>
      <c r="BL77" s="22">
        <v>1.126524112196511E-9</v>
      </c>
      <c r="BM77" s="22">
        <v>9.9019295150057872E-5</v>
      </c>
      <c r="BN77" s="22">
        <v>76.815624669455701</v>
      </c>
      <c r="BO77" s="22">
        <v>7256.1802674283226</v>
      </c>
      <c r="BP77" s="22">
        <v>103.74423889381471</v>
      </c>
      <c r="BX77" s="22">
        <v>335</v>
      </c>
      <c r="BY77" s="22">
        <v>10680</v>
      </c>
      <c r="BZ77" s="22">
        <v>10448.12570452937</v>
      </c>
      <c r="CA77" s="22">
        <v>7.0486274589738416E-7</v>
      </c>
      <c r="CB77" s="22">
        <v>1.9431339523604834E-4</v>
      </c>
      <c r="CC77" s="22">
        <v>155.37748231269578</v>
      </c>
      <c r="CD77" s="22">
        <v>10153.918485600281</v>
      </c>
      <c r="CE77" s="22">
        <v>138.82954159813349</v>
      </c>
      <c r="CM77" s="22">
        <v>335</v>
      </c>
      <c r="CN77" s="22">
        <v>21630</v>
      </c>
      <c r="CO77" s="22">
        <v>21964.518064656626</v>
      </c>
      <c r="CP77" s="22">
        <v>1.5481352737356032E-2</v>
      </c>
      <c r="CQ77" s="22">
        <v>7.2331758192581094E-4</v>
      </c>
      <c r="CR77" s="22">
        <v>225.23333048103427</v>
      </c>
      <c r="CS77" s="22">
        <v>21469.153903082573</v>
      </c>
      <c r="CT77" s="22">
        <v>270.11462642269936</v>
      </c>
      <c r="DB77" s="22">
        <v>335</v>
      </c>
      <c r="DC77" s="22">
        <v>35774</v>
      </c>
      <c r="DD77" s="22">
        <v>35886.980328633239</v>
      </c>
      <c r="DE77" s="22">
        <v>0.88103394899226029</v>
      </c>
      <c r="DF77" s="22">
        <v>1.9379856502184708E-3</v>
      </c>
      <c r="DG77" s="22">
        <v>1219.2884968422748</v>
      </c>
      <c r="DH77" s="22">
        <v>34250.675992941178</v>
      </c>
      <c r="DI77" s="22">
        <v>416.13286691514128</v>
      </c>
      <c r="DQ77" s="22">
        <v>335</v>
      </c>
      <c r="DR77" s="22">
        <v>50236</v>
      </c>
      <c r="DS77" s="22">
        <v>50104.523638858431</v>
      </c>
      <c r="DT77" s="22">
        <v>2.0004354712303529</v>
      </c>
      <c r="DU77" s="22">
        <v>4.7871111707368311E-2</v>
      </c>
      <c r="DV77" s="22">
        <v>430.0952218718466</v>
      </c>
      <c r="DW77" s="22">
        <v>49153.620711697076</v>
      </c>
      <c r="DX77" s="22">
        <v>514.75939870657191</v>
      </c>
      <c r="EF77" s="22">
        <v>335</v>
      </c>
      <c r="EG77" s="22">
        <v>63153</v>
      </c>
      <c r="EH77" s="22">
        <v>63097.775246913414</v>
      </c>
      <c r="EI77" s="22">
        <v>12.150113103033304</v>
      </c>
      <c r="EJ77" s="22">
        <v>7.5959775210017691E-2</v>
      </c>
      <c r="EK77" s="22">
        <v>595.60033864432876</v>
      </c>
      <c r="EL77" s="22">
        <v>61980.352476685643</v>
      </c>
      <c r="EM77" s="22">
        <v>509.59635870519793</v>
      </c>
    </row>
    <row r="78" spans="2:143" x14ac:dyDescent="0.25">
      <c r="B78" s="24">
        <f>$B$11+($B$10-$B$11)*67/99</f>
        <v>185.06666666666666</v>
      </c>
      <c r="C78" s="22">
        <v>25025.808902416051</v>
      </c>
      <c r="P78" s="22">
        <f>IF('Data-Plot'!C78="","",$Q$11+('Data-Plot'!C78-'Data-Plot'!D78)*$P$9)</f>
        <v>7807.5596157330174</v>
      </c>
      <c r="Q78" s="22">
        <f>IF('Data-Plot'!C78="","",MAX('Data-Plot'!$C$11:$C$1010)*(1+$Q$9/100))</f>
        <v>7796.25</v>
      </c>
      <c r="R78" s="22">
        <f>IF('Data-Plot'!C78="","",('Data-Plot'!C78-'Data-Plot'!D78)*$P$9)</f>
        <v>11.309615733017381</v>
      </c>
      <c r="S78" s="20">
        <v>2056.6903842669826</v>
      </c>
      <c r="T78" s="20">
        <v>1.5723764556721398E-4</v>
      </c>
      <c r="U78" s="20">
        <v>1.5016140588218833E-12</v>
      </c>
      <c r="V78" s="20">
        <v>85.19260162102465</v>
      </c>
      <c r="W78" s="20">
        <v>1928.9157219833783</v>
      </c>
      <c r="X78" s="20">
        <v>42.581903424932413</v>
      </c>
      <c r="AE78" s="22">
        <v>340</v>
      </c>
      <c r="AF78" s="22">
        <v>2068</v>
      </c>
      <c r="AG78" s="22">
        <v>2056.6903842669826</v>
      </c>
      <c r="AH78" s="22">
        <v>1.5723764556721398E-4</v>
      </c>
      <c r="AI78" s="22">
        <v>1.5016140588218833E-12</v>
      </c>
      <c r="AJ78" s="22">
        <v>85.19260162102465</v>
      </c>
      <c r="AK78" s="22">
        <v>1928.9157219833783</v>
      </c>
      <c r="AL78" s="22">
        <v>42.581903424932413</v>
      </c>
      <c r="AT78" s="22">
        <v>340</v>
      </c>
      <c r="AU78" s="22">
        <v>4094</v>
      </c>
      <c r="AV78" s="22">
        <v>4126.0184766263301</v>
      </c>
      <c r="AW78" s="22">
        <v>8.3881001153121386E-5</v>
      </c>
      <c r="AX78" s="22">
        <v>4.7009593502770694E-12</v>
      </c>
      <c r="AY78" s="22">
        <v>126.96917269633445</v>
      </c>
      <c r="AZ78" s="22">
        <v>3922.18668892393</v>
      </c>
      <c r="BA78" s="22">
        <v>76.862531125059874</v>
      </c>
      <c r="BI78" s="22">
        <v>340</v>
      </c>
      <c r="BJ78" s="22">
        <v>6902</v>
      </c>
      <c r="BK78" s="22">
        <v>6922.9505063211845</v>
      </c>
      <c r="BL78" s="22">
        <v>5.0807876191726469E-10</v>
      </c>
      <c r="BM78" s="22">
        <v>3.0538542820322259E-5</v>
      </c>
      <c r="BN78" s="22">
        <v>47.95037643262441</v>
      </c>
      <c r="BO78" s="22">
        <v>6724.4634871010621</v>
      </c>
      <c r="BP78" s="22">
        <v>150.53661224844726</v>
      </c>
      <c r="BX78" s="22">
        <v>340</v>
      </c>
      <c r="BY78" s="22">
        <v>9653</v>
      </c>
      <c r="BZ78" s="22">
        <v>9702.8206252533109</v>
      </c>
      <c r="CA78" s="22">
        <v>3.8253560463081135E-7</v>
      </c>
      <c r="CB78" s="22">
        <v>6.193678376865749E-5</v>
      </c>
      <c r="CC78" s="22">
        <v>100.68946052043395</v>
      </c>
      <c r="CD78" s="22">
        <v>9400.6652662811812</v>
      </c>
      <c r="CE78" s="22">
        <v>201.46583613237723</v>
      </c>
      <c r="CM78" s="22">
        <v>340</v>
      </c>
      <c r="CN78" s="22">
        <v>20157</v>
      </c>
      <c r="CO78" s="22">
        <v>20092.68544838456</v>
      </c>
      <c r="CP78" s="22">
        <v>1.0883333972366878E-2</v>
      </c>
      <c r="CQ78" s="22">
        <v>2.4748864946277428E-4</v>
      </c>
      <c r="CR78" s="22">
        <v>133.2603815195661</v>
      </c>
      <c r="CS78" s="22">
        <v>19567.767183768727</v>
      </c>
      <c r="CT78" s="22">
        <v>391.64675227364546</v>
      </c>
      <c r="DB78" s="22">
        <v>340</v>
      </c>
      <c r="DC78" s="22">
        <v>32624</v>
      </c>
      <c r="DD78" s="22">
        <v>32449.61017317693</v>
      </c>
      <c r="DE78" s="22">
        <v>0.6801121745075287</v>
      </c>
      <c r="DF78" s="22">
        <v>7.0357087884951285E-4</v>
      </c>
      <c r="DG78" s="22">
        <v>891.05482722688532</v>
      </c>
      <c r="DH78" s="22">
        <v>30954.782102967987</v>
      </c>
      <c r="DI78" s="22">
        <v>603.09242723667205</v>
      </c>
      <c r="DQ78" s="22">
        <v>340</v>
      </c>
      <c r="DR78" s="22">
        <v>44937</v>
      </c>
      <c r="DS78" s="22">
        <v>44934.555108510809</v>
      </c>
      <c r="DT78" s="22">
        <v>1.5639414755323362</v>
      </c>
      <c r="DU78" s="22">
        <v>2.1638273089548247E-2</v>
      </c>
      <c r="DV78" s="22">
        <v>234.27508521165493</v>
      </c>
      <c r="DW78" s="22">
        <v>43948.516202053594</v>
      </c>
      <c r="DX78" s="22">
        <v>746.1782414969399</v>
      </c>
      <c r="EF78" s="22">
        <v>340</v>
      </c>
      <c r="EG78" s="22">
        <v>56307</v>
      </c>
      <c r="EH78" s="22">
        <v>56298.29416148673</v>
      </c>
      <c r="EI78" s="22">
        <v>9.8721061361153684</v>
      </c>
      <c r="EJ78" s="22">
        <v>3.5232529268414942E-2</v>
      </c>
      <c r="EK78" s="22">
        <v>343.23336042817539</v>
      </c>
      <c r="EL78" s="22">
        <v>55205.618362270718</v>
      </c>
      <c r="EM78" s="22">
        <v>739.53510012245692</v>
      </c>
    </row>
    <row r="79" spans="2:143" x14ac:dyDescent="0.25">
      <c r="B79" s="24">
        <f>$B$11+($B$10-$B$11)*68/99</f>
        <v>187.53333333333333</v>
      </c>
      <c r="C79" s="22">
        <v>25326.402590488156</v>
      </c>
      <c r="P79" s="22">
        <f>IF('Data-Plot'!C79="","",$Q$11+('Data-Plot'!C79-'Data-Plot'!D79)*$P$9)</f>
        <v>7818.9361475072474</v>
      </c>
      <c r="Q79" s="22">
        <f>IF('Data-Plot'!C79="","",MAX('Data-Plot'!$C$11:$C$1010)*(1+$Q$9/100))</f>
        <v>7796.25</v>
      </c>
      <c r="R79" s="22">
        <f>IF('Data-Plot'!C79="","",('Data-Plot'!C79-'Data-Plot'!D79)*$P$9)</f>
        <v>22.686147507247824</v>
      </c>
      <c r="S79" s="20">
        <v>1864.3138524927522</v>
      </c>
      <c r="T79" s="20">
        <v>1.0393160946681014E-4</v>
      </c>
      <c r="U79" s="20">
        <v>1.2477176191925687E-13</v>
      </c>
      <c r="V79" s="20">
        <v>68.630454354839657</v>
      </c>
      <c r="W79" s="20">
        <v>1734.3835768722006</v>
      </c>
      <c r="X79" s="20">
        <v>61.299717334102404</v>
      </c>
      <c r="AE79" s="22">
        <v>345</v>
      </c>
      <c r="AF79" s="22">
        <v>1887</v>
      </c>
      <c r="AG79" s="22">
        <v>1864.3138524927522</v>
      </c>
      <c r="AH79" s="22">
        <v>1.0393160946681014E-4</v>
      </c>
      <c r="AI79" s="22">
        <v>1.2477176191925687E-13</v>
      </c>
      <c r="AJ79" s="22">
        <v>68.630454354839657</v>
      </c>
      <c r="AK79" s="22">
        <v>1734.3835768722006</v>
      </c>
      <c r="AL79" s="22">
        <v>61.299717334102404</v>
      </c>
      <c r="AT79" s="22">
        <v>345</v>
      </c>
      <c r="AU79" s="22">
        <v>3845</v>
      </c>
      <c r="AV79" s="22">
        <v>3737.8773930542779</v>
      </c>
      <c r="AW79" s="22">
        <v>5.3977391136518812E-5</v>
      </c>
      <c r="AX79" s="22">
        <v>3.9998535007480793E-13</v>
      </c>
      <c r="AY79" s="22">
        <v>101.59752160300435</v>
      </c>
      <c r="AZ79" s="22">
        <v>3525.683118571073</v>
      </c>
      <c r="BA79" s="22">
        <v>110.59669890280888</v>
      </c>
      <c r="BI79" s="22">
        <v>345</v>
      </c>
      <c r="BJ79" s="22">
        <v>6234</v>
      </c>
      <c r="BK79" s="22">
        <v>6234.0396506036141</v>
      </c>
      <c r="BL79" s="22">
        <v>2.3194247650236073E-10</v>
      </c>
      <c r="BM79" s="22">
        <v>9.5089662550955225E-6</v>
      </c>
      <c r="BN79" s="22">
        <v>29.454946540647391</v>
      </c>
      <c r="BO79" s="22">
        <v>5988.3766003467144</v>
      </c>
      <c r="BP79" s="22">
        <v>216.20809420705456</v>
      </c>
      <c r="BX79" s="22">
        <v>345</v>
      </c>
      <c r="BY79" s="22">
        <v>8761</v>
      </c>
      <c r="BZ79" s="22">
        <v>8712.2706911194618</v>
      </c>
      <c r="CA79" s="22">
        <v>2.0954384539641942E-7</v>
      </c>
      <c r="CB79" s="22">
        <v>1.9932677843539197E-5</v>
      </c>
      <c r="CC79" s="22">
        <v>64.224498077473001</v>
      </c>
      <c r="CD79" s="22">
        <v>8358.6502972599701</v>
      </c>
      <c r="CE79" s="22">
        <v>289.39587563979632</v>
      </c>
      <c r="CM79" s="22">
        <v>345</v>
      </c>
      <c r="CN79" s="22">
        <v>17986</v>
      </c>
      <c r="CO79" s="22">
        <v>17789.761871376082</v>
      </c>
      <c r="CP79" s="22">
        <v>7.6918020147327204E-3</v>
      </c>
      <c r="CQ79" s="22">
        <v>8.5499365831690139E-5</v>
      </c>
      <c r="CR79" s="22">
        <v>77.180280971211701</v>
      </c>
      <c r="CS79" s="22">
        <v>17150.688508078114</v>
      </c>
      <c r="CT79" s="22">
        <v>561.88530502537571</v>
      </c>
      <c r="DB79" s="22">
        <v>345</v>
      </c>
      <c r="DC79" s="22">
        <v>28450</v>
      </c>
      <c r="DD79" s="22">
        <v>28449.725529970754</v>
      </c>
      <c r="DE79" s="22">
        <v>0.52705512717984981</v>
      </c>
      <c r="DF79" s="22">
        <v>2.5787912060007981E-4</v>
      </c>
      <c r="DG79" s="22">
        <v>646.84404931126141</v>
      </c>
      <c r="DH79" s="22">
        <v>26937.669604864259</v>
      </c>
      <c r="DI79" s="22">
        <v>864.6845627889345</v>
      </c>
      <c r="DQ79" s="22">
        <v>345</v>
      </c>
      <c r="DR79" s="22">
        <v>39190</v>
      </c>
      <c r="DS79" s="22">
        <v>39133.23173109554</v>
      </c>
      <c r="DT79" s="22">
        <v>1.2272097257889392</v>
      </c>
      <c r="DU79" s="22">
        <v>9.8639912457851517E-3</v>
      </c>
      <c r="DV79" s="22">
        <v>123.95695248832293</v>
      </c>
      <c r="DW79" s="22">
        <v>37933.898182419638</v>
      </c>
      <c r="DX79" s="22">
        <v>1070.1395224705464</v>
      </c>
      <c r="EF79" s="22">
        <v>345</v>
      </c>
      <c r="EG79" s="22">
        <v>48932</v>
      </c>
      <c r="EH79" s="22">
        <v>48927.166979874761</v>
      </c>
      <c r="EI79" s="22">
        <v>8.0460617844118403</v>
      </c>
      <c r="EJ79" s="22">
        <v>1.6478461442149879E-2</v>
      </c>
      <c r="EK79" s="22">
        <v>193.70954539232034</v>
      </c>
      <c r="EL79" s="22">
        <v>47663.041386974801</v>
      </c>
      <c r="EM79" s="22">
        <v>1062.3535072617892</v>
      </c>
    </row>
    <row r="80" spans="2:143" x14ac:dyDescent="0.25">
      <c r="B80" s="24">
        <f>$B$11+($B$10-$B$11)*69/99</f>
        <v>190</v>
      </c>
      <c r="C80" s="22">
        <v>25626.093164862268</v>
      </c>
      <c r="P80" s="22">
        <f>IF('Data-Plot'!C80="","",$Q$11+('Data-Plot'!C80-'Data-Plot'!D80)*$P$9)</f>
        <v>7862.2778372108851</v>
      </c>
      <c r="Q80" s="22">
        <f>IF('Data-Plot'!C80="","",MAX('Data-Plot'!$C$11:$C$1010)*(1+$Q$9/100))</f>
        <v>7796.25</v>
      </c>
      <c r="R80" s="22">
        <f>IF('Data-Plot'!C80="","",('Data-Plot'!C80-'Data-Plot'!D80)*$P$9)</f>
        <v>66.027837210884854</v>
      </c>
      <c r="S80" s="20">
        <v>1636.9721627891151</v>
      </c>
      <c r="T80" s="20">
        <v>6.9126183016662753E-5</v>
      </c>
      <c r="U80" s="20">
        <v>1.043684792642573E-14</v>
      </c>
      <c r="V80" s="20">
        <v>55.237231591518707</v>
      </c>
      <c r="W80" s="20">
        <v>1494.4349598175722</v>
      </c>
      <c r="X80" s="20">
        <v>87.299902253841054</v>
      </c>
      <c r="AE80" s="22">
        <v>350</v>
      </c>
      <c r="AF80" s="22">
        <v>1703</v>
      </c>
      <c r="AG80" s="22">
        <v>1636.9721627891151</v>
      </c>
      <c r="AH80" s="22">
        <v>6.9126183016662753E-5</v>
      </c>
      <c r="AI80" s="22">
        <v>1.043684792642573E-14</v>
      </c>
      <c r="AJ80" s="22">
        <v>55.237231591518707</v>
      </c>
      <c r="AK80" s="22">
        <v>1494.4349598175722</v>
      </c>
      <c r="AL80" s="22">
        <v>87.299902253841054</v>
      </c>
      <c r="AT80" s="22">
        <v>350</v>
      </c>
      <c r="AU80" s="22">
        <v>3229</v>
      </c>
      <c r="AV80" s="22">
        <v>3294.0056419825114</v>
      </c>
      <c r="AW80" s="22">
        <v>3.4965708085298269E-5</v>
      </c>
      <c r="AX80" s="22">
        <v>3.4256426633137431E-14</v>
      </c>
      <c r="AY80" s="22">
        <v>81.271307665794609</v>
      </c>
      <c r="AZ80" s="22">
        <v>3055.3357289256537</v>
      </c>
      <c r="BA80" s="22">
        <v>157.39857042535522</v>
      </c>
      <c r="BI80" s="22">
        <v>350</v>
      </c>
      <c r="BJ80" s="22">
        <v>5641</v>
      </c>
      <c r="BK80" s="22">
        <v>5447.6968612197734</v>
      </c>
      <c r="BL80" s="22">
        <v>1.0714559064463892E-10</v>
      </c>
      <c r="BM80" s="22">
        <v>2.9928647944090506E-6</v>
      </c>
      <c r="BN80" s="22">
        <v>17.868776956417442</v>
      </c>
      <c r="BO80" s="22">
        <v>5122.9355581425343</v>
      </c>
      <c r="BP80" s="22">
        <v>306.89252312784998</v>
      </c>
      <c r="BX80" s="22">
        <v>350</v>
      </c>
      <c r="BY80" s="22">
        <v>7586</v>
      </c>
      <c r="BZ80" s="22">
        <v>7585.8888257273593</v>
      </c>
      <c r="CA80" s="22">
        <v>1.1583095542174475E-7</v>
      </c>
      <c r="CB80" s="22">
        <v>6.4837794630015334E-6</v>
      </c>
      <c r="CC80" s="22">
        <v>40.459574328443573</v>
      </c>
      <c r="CD80" s="22">
        <v>7134.5664061681073</v>
      </c>
      <c r="CE80" s="22">
        <v>410.86283863119888</v>
      </c>
      <c r="CM80" s="22">
        <v>350</v>
      </c>
      <c r="CN80" s="22">
        <v>15548</v>
      </c>
      <c r="CO80" s="22">
        <v>15301.629274888794</v>
      </c>
      <c r="CP80" s="22">
        <v>5.464564410480495E-3</v>
      </c>
      <c r="CQ80" s="22">
        <v>2.9850286633502229E-5</v>
      </c>
      <c r="CR80" s="22">
        <v>43.943171750395109</v>
      </c>
      <c r="CS80" s="22">
        <v>14461.363672004747</v>
      </c>
      <c r="CT80" s="22">
        <v>796.31693671895437</v>
      </c>
      <c r="DB80" s="22">
        <v>350</v>
      </c>
      <c r="DC80" s="22">
        <v>24026</v>
      </c>
      <c r="DD80" s="22">
        <v>24284.787914937042</v>
      </c>
      <c r="DE80" s="22">
        <v>0.40999762970431508</v>
      </c>
      <c r="DF80" s="22">
        <v>9.5502283189851839E-5</v>
      </c>
      <c r="DG80" s="22">
        <v>467.3449871456483</v>
      </c>
      <c r="DH80" s="22">
        <v>22592.697536150376</v>
      </c>
      <c r="DI80" s="22">
        <v>1224.3352985090301</v>
      </c>
      <c r="DQ80" s="22">
        <v>350</v>
      </c>
      <c r="DR80" s="22">
        <v>33141</v>
      </c>
      <c r="DS80" s="22">
        <v>33245.84663322835</v>
      </c>
      <c r="DT80" s="22">
        <v>0.96645943761202224</v>
      </c>
      <c r="DU80" s="22">
        <v>4.5367956604490329E-3</v>
      </c>
      <c r="DV80" s="22">
        <v>64.036980734015955</v>
      </c>
      <c r="DW80" s="22">
        <v>31660.980745923101</v>
      </c>
      <c r="DX80" s="22">
        <v>1515.8579103379579</v>
      </c>
      <c r="EF80" s="22">
        <v>350</v>
      </c>
      <c r="EG80" s="22">
        <v>41538</v>
      </c>
      <c r="EH80" s="22">
        <v>41601.774586718973</v>
      </c>
      <c r="EI80" s="22">
        <v>6.5776548075076464</v>
      </c>
      <c r="EJ80" s="22">
        <v>7.7744899282020429E-3</v>
      </c>
      <c r="EK80" s="22">
        <v>107.5245218246593</v>
      </c>
      <c r="EL80" s="22">
        <v>39979.313283267642</v>
      </c>
      <c r="EM80" s="22">
        <v>1508.3513523292365</v>
      </c>
    </row>
    <row r="81" spans="2:143" x14ac:dyDescent="0.25">
      <c r="B81" s="24">
        <f>$B$11+($B$10-$B$11)*70/99</f>
        <v>192.46666666666667</v>
      </c>
      <c r="C81" s="22">
        <v>25924.883338883297</v>
      </c>
      <c r="P81" s="22">
        <f>IF('Data-Plot'!C81="","",$Q$11+('Data-Plot'!C81-'Data-Plot'!D81)*$P$9)</f>
        <v>7774.4681801390216</v>
      </c>
      <c r="Q81" s="22">
        <f>IF('Data-Plot'!C81="","",MAX('Data-Plot'!$C$11:$C$1010)*(1+$Q$9/100))</f>
        <v>7796.25</v>
      </c>
      <c r="R81" s="22">
        <f>IF('Data-Plot'!C81="","",('Data-Plot'!C81-'Data-Plot'!D81)*$P$9)</f>
        <v>-21.781819860977976</v>
      </c>
      <c r="S81" s="20">
        <v>1400.781819860978</v>
      </c>
      <c r="T81" s="20">
        <v>4.6257386936724775E-5</v>
      </c>
      <c r="U81" s="20">
        <v>8.829671896562538E-16</v>
      </c>
      <c r="V81" s="20">
        <v>44.449645784959621</v>
      </c>
      <c r="W81" s="20">
        <v>1233.5518953610413</v>
      </c>
      <c r="X81" s="20">
        <v>122.78023245759016</v>
      </c>
      <c r="AE81" s="22">
        <v>355</v>
      </c>
      <c r="AF81" s="22">
        <v>1379</v>
      </c>
      <c r="AG81" s="22">
        <v>1400.781819860978</v>
      </c>
      <c r="AH81" s="22">
        <v>4.6257386936724775E-5</v>
      </c>
      <c r="AI81" s="22">
        <v>8.829671896562538E-16</v>
      </c>
      <c r="AJ81" s="22">
        <v>44.449645784959621</v>
      </c>
      <c r="AK81" s="22">
        <v>1233.5518953610413</v>
      </c>
      <c r="AL81" s="22">
        <v>122.78023245759016</v>
      </c>
      <c r="AT81" s="22">
        <v>355</v>
      </c>
      <c r="AU81" s="22">
        <v>2805</v>
      </c>
      <c r="AV81" s="22">
        <v>2841.4527992485505</v>
      </c>
      <c r="AW81" s="22">
        <v>2.2797679405228815E-5</v>
      </c>
      <c r="AX81" s="22">
        <v>2.9668292901767942E-15</v>
      </c>
      <c r="AY81" s="22">
        <v>65.034006692584171</v>
      </c>
      <c r="AZ81" s="22">
        <v>2555.2662750271802</v>
      </c>
      <c r="BA81" s="22">
        <v>221.15249473110671</v>
      </c>
      <c r="BI81" s="22">
        <v>355</v>
      </c>
      <c r="BJ81" s="22">
        <v>4616</v>
      </c>
      <c r="BK81" s="22">
        <v>4652.7386828246126</v>
      </c>
      <c r="BL81" s="22">
        <v>5.0072685105732094E-11</v>
      </c>
      <c r="BM81" s="22">
        <v>9.5302314084145481E-7</v>
      </c>
      <c r="BN81" s="22">
        <v>10.739044536982471</v>
      </c>
      <c r="BO81" s="22">
        <v>4212.4103872526857</v>
      </c>
      <c r="BP81" s="22">
        <v>429.58925008187106</v>
      </c>
      <c r="BX81" s="22">
        <v>355</v>
      </c>
      <c r="BY81" s="22">
        <v>6537</v>
      </c>
      <c r="BZ81" s="22">
        <v>6449.0722162036245</v>
      </c>
      <c r="CA81" s="22">
        <v>6.4600174412641516E-8</v>
      </c>
      <c r="CB81" s="22">
        <v>2.1335334827181456E-6</v>
      </c>
      <c r="CC81" s="22">
        <v>25.249810543967886</v>
      </c>
      <c r="CD81" s="22">
        <v>5848.518929542066</v>
      </c>
      <c r="CE81" s="22">
        <v>575.30347391945713</v>
      </c>
      <c r="CM81" s="22">
        <v>355</v>
      </c>
      <c r="CN81" s="22">
        <v>12866</v>
      </c>
      <c r="CO81" s="22">
        <v>12882.599246999291</v>
      </c>
      <c r="CP81" s="22">
        <v>3.9020577957912263E-3</v>
      </c>
      <c r="CQ81" s="22">
        <v>1.0539308317775003E-5</v>
      </c>
      <c r="CR81" s="22">
        <v>24.689840895192599</v>
      </c>
      <c r="CS81" s="22">
        <v>11745.638305350896</v>
      </c>
      <c r="CT81" s="22">
        <v>1112.2671881560982</v>
      </c>
      <c r="DB81" s="22">
        <v>355</v>
      </c>
      <c r="DC81" s="22">
        <v>20325</v>
      </c>
      <c r="DD81" s="22">
        <v>20338.838538849439</v>
      </c>
      <c r="DE81" s="22">
        <v>0.32012497019578773</v>
      </c>
      <c r="DF81" s="22">
        <v>3.575637647545632E-5</v>
      </c>
      <c r="DG81" s="22">
        <v>336.61262922055045</v>
      </c>
      <c r="DH81" s="22">
        <v>18293.967052754531</v>
      </c>
      <c r="DI81" s="22">
        <v>1707.9386961477821</v>
      </c>
      <c r="DQ81" s="22">
        <v>355</v>
      </c>
      <c r="DR81" s="22">
        <v>27646</v>
      </c>
      <c r="DS81" s="22">
        <v>27765.269745050311</v>
      </c>
      <c r="DT81" s="22">
        <v>0.76380069403704309</v>
      </c>
      <c r="DU81" s="22">
        <v>2.1059319825517753E-3</v>
      </c>
      <c r="DV81" s="22">
        <v>32.454542692613245</v>
      </c>
      <c r="DW81" s="22">
        <v>25612.25006262882</v>
      </c>
      <c r="DX81" s="22">
        <v>2115.7992331028577</v>
      </c>
      <c r="EF81" s="22">
        <v>355</v>
      </c>
      <c r="EG81" s="22">
        <v>34845</v>
      </c>
      <c r="EH81" s="22">
        <v>34845.175967988042</v>
      </c>
      <c r="EI81" s="22">
        <v>5.3931654084303302</v>
      </c>
      <c r="EJ81" s="22">
        <v>3.7010875065822527E-3</v>
      </c>
      <c r="EK81" s="22">
        <v>58.929630761450568</v>
      </c>
      <c r="EL81" s="22">
        <v>32668.59544066458</v>
      </c>
      <c r="EM81" s="22">
        <v>2112.2540300660717</v>
      </c>
    </row>
    <row r="82" spans="2:143" x14ac:dyDescent="0.25">
      <c r="B82" s="24">
        <f>$B$11+($B$10-$B$11)*71/99</f>
        <v>194.93333333333337</v>
      </c>
      <c r="C82" s="22">
        <v>26222.775817744103</v>
      </c>
      <c r="P82" s="22">
        <f>IF('Data-Plot'!C82="","",$Q$11+('Data-Plot'!C82-'Data-Plot'!D82)*$P$9)</f>
        <v>7731.367370655239</v>
      </c>
      <c r="Q82" s="22">
        <f>IF('Data-Plot'!C82="","",MAX('Data-Plot'!$C$11:$C$1010)*(1+$Q$9/100))</f>
        <v>7796.25</v>
      </c>
      <c r="R82" s="22">
        <f>IF('Data-Plot'!C82="","",('Data-Plot'!C82-'Data-Plot'!D82)*$P$9)</f>
        <v>-64.882629344760971</v>
      </c>
      <c r="S82" s="20">
        <v>1181.882629344761</v>
      </c>
      <c r="T82" s="20">
        <v>3.1138978793229104E-5</v>
      </c>
      <c r="U82" s="20">
        <v>7.5838843415219143E-17</v>
      </c>
      <c r="V82" s="20">
        <v>35.783591649970084</v>
      </c>
      <c r="W82" s="20">
        <v>975.97742354268541</v>
      </c>
      <c r="X82" s="20">
        <v>170.12158301312667</v>
      </c>
      <c r="AE82" s="22">
        <v>360</v>
      </c>
      <c r="AF82" s="22">
        <v>1117</v>
      </c>
      <c r="AG82" s="22">
        <v>1181.882629344761</v>
      </c>
      <c r="AH82" s="22">
        <v>3.1138978793229104E-5</v>
      </c>
      <c r="AI82" s="22">
        <v>7.5838843415219143E-17</v>
      </c>
      <c r="AJ82" s="22">
        <v>35.783591649970084</v>
      </c>
      <c r="AK82" s="22">
        <v>975.97742354268541</v>
      </c>
      <c r="AL82" s="22">
        <v>170.12158301312667</v>
      </c>
      <c r="AT82" s="22">
        <v>360</v>
      </c>
      <c r="AU82" s="22">
        <v>2242</v>
      </c>
      <c r="AV82" s="22">
        <v>2424.2405600681104</v>
      </c>
      <c r="AW82" s="22">
        <v>1.4958706054027174E-5</v>
      </c>
      <c r="AX82" s="22">
        <v>2.6081549588198686E-16</v>
      </c>
      <c r="AY82" s="22">
        <v>52.085336051739958</v>
      </c>
      <c r="AZ82" s="22">
        <v>2066.1535382260149</v>
      </c>
      <c r="BA82" s="22">
        <v>306.00167083164945</v>
      </c>
      <c r="BI82" s="22">
        <v>360</v>
      </c>
      <c r="BJ82" s="22">
        <v>3975</v>
      </c>
      <c r="BK82" s="22">
        <v>3931.7089528089864</v>
      </c>
      <c r="BL82" s="22">
        <v>2.3667361692015047E-11</v>
      </c>
      <c r="BM82" s="22">
        <v>3.0724101498009956E-7</v>
      </c>
      <c r="BN82" s="22">
        <v>6.411383711817578</v>
      </c>
      <c r="BO82" s="22">
        <v>3333.996070729354</v>
      </c>
      <c r="BP82" s="22">
        <v>591.3014980605501</v>
      </c>
      <c r="BX82" s="22">
        <v>360</v>
      </c>
      <c r="BY82" s="22">
        <v>5383</v>
      </c>
      <c r="BZ82" s="22">
        <v>5418.3995757141256</v>
      </c>
      <c r="CA82" s="22">
        <v>3.6342646596463624E-8</v>
      </c>
      <c r="CB82" s="22">
        <v>7.1064287380980872E-7</v>
      </c>
      <c r="CC82" s="22">
        <v>15.651322799812759</v>
      </c>
      <c r="CD82" s="22">
        <v>4610.5221631780096</v>
      </c>
      <c r="CE82" s="22">
        <v>792.22608898931753</v>
      </c>
      <c r="CM82" s="22">
        <v>360</v>
      </c>
      <c r="CN82" s="22">
        <v>10649</v>
      </c>
      <c r="CO82" s="22">
        <v>10748.419986189328</v>
      </c>
      <c r="CP82" s="22">
        <v>2.8002263303284914E-3</v>
      </c>
      <c r="CQ82" s="22">
        <v>3.7650875666888188E-6</v>
      </c>
      <c r="CR82" s="22">
        <v>13.735817061956816</v>
      </c>
      <c r="CS82" s="22">
        <v>9208.2672142481952</v>
      </c>
      <c r="CT82" s="22">
        <v>1526.4141508877574</v>
      </c>
      <c r="DB82" s="22">
        <v>360</v>
      </c>
      <c r="DC82" s="22">
        <v>17128</v>
      </c>
      <c r="DD82" s="22">
        <v>16918.341658100209</v>
      </c>
      <c r="DE82" s="22">
        <v>0.25086186470030197</v>
      </c>
      <c r="DF82" s="22">
        <v>1.3540016904768937E-5</v>
      </c>
      <c r="DG82" s="22">
        <v>242.03067150306279</v>
      </c>
      <c r="DH82" s="22">
        <v>14336.23807734858</v>
      </c>
      <c r="DI82" s="22">
        <v>2339.8220338438491</v>
      </c>
      <c r="DQ82" s="22">
        <v>360</v>
      </c>
      <c r="DR82" s="22">
        <v>23061</v>
      </c>
      <c r="DS82" s="22">
        <v>23060.301137431226</v>
      </c>
      <c r="DT82" s="22">
        <v>0.60572277549801434</v>
      </c>
      <c r="DU82" s="22">
        <v>9.867959233616629E-4</v>
      </c>
      <c r="DV82" s="22">
        <v>16.20599559309975</v>
      </c>
      <c r="DW82" s="22">
        <v>20138.690577083704</v>
      </c>
      <c r="DX82" s="22">
        <v>2900.7978551830024</v>
      </c>
      <c r="EF82" s="22">
        <v>360</v>
      </c>
      <c r="EG82" s="22">
        <v>28644</v>
      </c>
      <c r="EH82" s="22">
        <v>29029.581633944064</v>
      </c>
      <c r="EI82" s="22">
        <v>4.4347875523333578</v>
      </c>
      <c r="EJ82" s="22">
        <v>1.7781516014650782E-3</v>
      </c>
      <c r="EK82" s="22">
        <v>31.996362828303852</v>
      </c>
      <c r="EL82" s="22">
        <v>26084.012288716469</v>
      </c>
      <c r="EM82" s="22">
        <v>2909.1364166953585</v>
      </c>
    </row>
    <row r="83" spans="2:143" x14ac:dyDescent="0.25">
      <c r="B83" s="24">
        <f>$B$11+($B$10-$B$11)*72/99</f>
        <v>197.39999999999998</v>
      </c>
      <c r="C83" s="22">
        <v>26519.773298509903</v>
      </c>
      <c r="P83" s="22">
        <f>IF('Data-Plot'!C83="","",$Q$11+('Data-Plot'!C83-'Data-Plot'!D83)*$P$9)</f>
        <v>7795.6698336887812</v>
      </c>
      <c r="Q83" s="22">
        <f>IF('Data-Plot'!C83="","",MAX('Data-Plot'!$C$11:$C$1010)*(1+$Q$9/100))</f>
        <v>7796.25</v>
      </c>
      <c r="R83" s="22">
        <f>IF('Data-Plot'!C83="","",('Data-Plot'!C83-'Data-Plot'!D83)*$P$9)</f>
        <v>-0.58016631121859064</v>
      </c>
      <c r="S83" s="20">
        <v>1001.5801663112186</v>
      </c>
      <c r="T83" s="20">
        <v>2.1084094382251817E-5</v>
      </c>
      <c r="U83" s="20">
        <v>6.633454189328347E-18</v>
      </c>
      <c r="V83" s="20">
        <v>28.832623522405921</v>
      </c>
      <c r="W83" s="20">
        <v>741.26230097731514</v>
      </c>
      <c r="X83" s="20">
        <v>231.48522072740326</v>
      </c>
      <c r="AE83" s="22">
        <v>365</v>
      </c>
      <c r="AF83" s="22">
        <v>1001</v>
      </c>
      <c r="AG83" s="22">
        <v>1001.5801663112186</v>
      </c>
      <c r="AH83" s="22">
        <v>2.1084094382251817E-5</v>
      </c>
      <c r="AI83" s="22">
        <v>6.633454189328347E-18</v>
      </c>
      <c r="AJ83" s="22">
        <v>28.832623522405921</v>
      </c>
      <c r="AK83" s="22">
        <v>741.26230097731514</v>
      </c>
      <c r="AL83" s="22">
        <v>231.48522072740326</v>
      </c>
      <c r="AT83" s="22">
        <v>365</v>
      </c>
      <c r="AU83" s="22">
        <v>2130</v>
      </c>
      <c r="AV83" s="22">
        <v>2076.5321660221412</v>
      </c>
      <c r="AW83" s="22">
        <v>9.8762300113675286E-6</v>
      </c>
      <c r="AX83" s="22">
        <v>2.3344473960306517E-17</v>
      </c>
      <c r="AY83" s="22">
        <v>41.767432997455252</v>
      </c>
      <c r="AZ83" s="22">
        <v>1619.1890498805842</v>
      </c>
      <c r="BA83" s="22">
        <v>415.57567326787171</v>
      </c>
      <c r="BI83" s="22">
        <v>365</v>
      </c>
      <c r="BJ83" s="22">
        <v>3274</v>
      </c>
      <c r="BK83" s="22">
        <v>3346.5852076724623</v>
      </c>
      <c r="BL83" s="22">
        <v>1.1311319313807701E-11</v>
      </c>
      <c r="BM83" s="22">
        <v>1.0033033284702076E-7</v>
      </c>
      <c r="BN83" s="22">
        <v>3.8111908727006951</v>
      </c>
      <c r="BO83" s="22">
        <v>2545.5309131458257</v>
      </c>
      <c r="BP83" s="22">
        <v>797.24310355359444</v>
      </c>
      <c r="BX83" s="22">
        <v>365</v>
      </c>
      <c r="BY83" s="22">
        <v>4633</v>
      </c>
      <c r="BZ83" s="22">
        <v>4581.2568486503242</v>
      </c>
      <c r="CA83" s="22">
        <v>2.0620046931470022E-8</v>
      </c>
      <c r="CB83" s="22">
        <v>2.3970780294001571E-7</v>
      </c>
      <c r="CC83" s="22">
        <v>9.6577296905676224</v>
      </c>
      <c r="CD83" s="22">
        <v>3502.7361743272304</v>
      </c>
      <c r="CE83" s="22">
        <v>1068.8629443721984</v>
      </c>
      <c r="CM83" s="22">
        <v>365</v>
      </c>
      <c r="CN83" s="22">
        <v>9045</v>
      </c>
      <c r="CO83" s="22">
        <v>9044.3998680179757</v>
      </c>
      <c r="CP83" s="22">
        <v>2.0193225087180322E-3</v>
      </c>
      <c r="CQ83" s="22">
        <v>1.3614293792855682E-6</v>
      </c>
      <c r="CR83" s="22">
        <v>7.5887975358716249</v>
      </c>
      <c r="CS83" s="22">
        <v>6986.9296503210962</v>
      </c>
      <c r="CT83" s="22">
        <v>2049.8793994770699</v>
      </c>
      <c r="DB83" s="22">
        <v>365</v>
      </c>
      <c r="DC83" s="22">
        <v>14246</v>
      </c>
      <c r="DD83" s="22">
        <v>14214.263383442885</v>
      </c>
      <c r="DE83" s="22">
        <v>0.1972838480454604</v>
      </c>
      <c r="DF83" s="22">
        <v>5.187269559266771E-6</v>
      </c>
      <c r="DG83" s="22">
        <v>173.91837491763204</v>
      </c>
      <c r="DH83" s="22">
        <v>10905.150812226673</v>
      </c>
      <c r="DI83" s="22">
        <v>3134.9969072632657</v>
      </c>
      <c r="DQ83" s="22">
        <v>365</v>
      </c>
      <c r="DR83" s="22">
        <v>19449</v>
      </c>
      <c r="DS83" s="22">
        <v>19343.061207113202</v>
      </c>
      <c r="DT83" s="22">
        <v>0.48198321640488412</v>
      </c>
      <c r="DU83" s="22">
        <v>4.6682411719194898E-4</v>
      </c>
      <c r="DV83" s="22">
        <v>8.0036440086332004</v>
      </c>
      <c r="DW83" s="22">
        <v>15440.010052875823</v>
      </c>
      <c r="DX83" s="22">
        <v>3890.565060188223</v>
      </c>
      <c r="EF83" s="22">
        <v>365</v>
      </c>
      <c r="EG83" s="22">
        <v>23983</v>
      </c>
      <c r="EH83" s="22">
        <v>24360.376767111793</v>
      </c>
      <c r="EI83" s="22">
        <v>3.6570465898556344</v>
      </c>
      <c r="EJ83" s="22">
        <v>8.6225953492568468E-4</v>
      </c>
      <c r="EK83" s="22">
        <v>17.261496471232707</v>
      </c>
      <c r="EL83" s="22">
        <v>20413.575805594064</v>
      </c>
      <c r="EM83" s="22">
        <v>3925.8815561971055</v>
      </c>
    </row>
    <row r="84" spans="2:143" x14ac:dyDescent="0.25">
      <c r="B84" s="24">
        <f>$B$11+($B$10-$B$11)*73/99</f>
        <v>199.86666666666667</v>
      </c>
      <c r="C84" s="22">
        <v>26815.878470142852</v>
      </c>
      <c r="P84" s="22">
        <f>IF('Data-Plot'!C84="","",$Q$11+('Data-Plot'!C84-'Data-Plot'!D84)*$P$9)</f>
        <v>7796.2243568571957</v>
      </c>
      <c r="Q84" s="22">
        <f>IF('Data-Plot'!C84="","",MAX('Data-Plot'!$C$11:$C$1010)*(1+$Q$9/100))</f>
        <v>7796.25</v>
      </c>
      <c r="R84" s="22">
        <f>IF('Data-Plot'!C84="","",('Data-Plot'!C84-'Data-Plot'!D84)*$P$9)</f>
        <v>-2.5643142804142371E-2</v>
      </c>
      <c r="S84" s="20">
        <v>873.02564314280414</v>
      </c>
      <c r="T84" s="20">
        <v>1.4357434821732118E-5</v>
      </c>
      <c r="U84" s="20">
        <v>5.9230765607046721E-19</v>
      </c>
      <c r="V84" s="20">
        <v>23.261158835620531</v>
      </c>
      <c r="W84" s="20">
        <v>541.69425886833335</v>
      </c>
      <c r="X84" s="20">
        <v>308.07021108141544</v>
      </c>
      <c r="AE84" s="22">
        <v>370</v>
      </c>
      <c r="AF84" s="22">
        <v>873</v>
      </c>
      <c r="AG84" s="22">
        <v>873.02564314280414</v>
      </c>
      <c r="AH84" s="22">
        <v>1.4357434821732118E-5</v>
      </c>
      <c r="AI84" s="22">
        <v>5.9230765607046721E-19</v>
      </c>
      <c r="AJ84" s="22">
        <v>23.261158835620531</v>
      </c>
      <c r="AK84" s="22">
        <v>541.69425886833335</v>
      </c>
      <c r="AL84" s="22">
        <v>308.07021108141544</v>
      </c>
      <c r="AT84" s="22">
        <v>370</v>
      </c>
      <c r="AU84" s="22">
        <v>1823</v>
      </c>
      <c r="AV84" s="22">
        <v>1818.532091624726</v>
      </c>
      <c r="AW84" s="22">
        <v>6.5602802718953526E-6</v>
      </c>
      <c r="AX84" s="22">
        <v>2.1325341802561081E-18</v>
      </c>
      <c r="AY84" s="22">
        <v>33.546323166426646</v>
      </c>
      <c r="AZ84" s="22">
        <v>1233.3903411248898</v>
      </c>
      <c r="BA84" s="22">
        <v>551.59542077312938</v>
      </c>
      <c r="BI84" s="22">
        <v>370</v>
      </c>
      <c r="BJ84" s="22">
        <v>2931</v>
      </c>
      <c r="BK84" s="22">
        <v>2930.2645123032335</v>
      </c>
      <c r="BL84" s="22">
        <v>5.4649419548994451E-12</v>
      </c>
      <c r="BM84" s="22">
        <v>3.3198352193088867E-8</v>
      </c>
      <c r="BN84" s="22">
        <v>2.2601694827970902</v>
      </c>
      <c r="BO84" s="22">
        <v>1880.1691258095909</v>
      </c>
      <c r="BP84" s="22">
        <v>1047.8352169776419</v>
      </c>
      <c r="BX84" s="22">
        <v>370</v>
      </c>
      <c r="BY84" s="22">
        <v>3886</v>
      </c>
      <c r="BZ84" s="22">
        <v>3983.9289780733684</v>
      </c>
      <c r="CA84" s="22">
        <v>1.1796995637442147E-8</v>
      </c>
      <c r="CB84" s="22">
        <v>8.1908685427860328E-8</v>
      </c>
      <c r="CC84" s="22">
        <v>5.9436510207045909</v>
      </c>
      <c r="CD84" s="22">
        <v>2571.7560298728881</v>
      </c>
      <c r="CE84" s="22">
        <v>1406.2292970860699</v>
      </c>
      <c r="CM84" s="22">
        <v>370</v>
      </c>
      <c r="CN84" s="22">
        <v>7805</v>
      </c>
      <c r="CO84" s="22">
        <v>7831.8197007974559</v>
      </c>
      <c r="CP84" s="22">
        <v>1.4631350638556985E-3</v>
      </c>
      <c r="CQ84" s="22">
        <v>4.9840054594062536E-7</v>
      </c>
      <c r="CR84" s="22">
        <v>4.1740892370741109</v>
      </c>
      <c r="CS84" s="22">
        <v>5147.252293651889</v>
      </c>
      <c r="CT84" s="22">
        <v>2680.3918542750284</v>
      </c>
      <c r="DB84" s="22">
        <v>370</v>
      </c>
      <c r="DC84" s="22">
        <v>12283</v>
      </c>
      <c r="DD84" s="22">
        <v>12290.632372096354</v>
      </c>
      <c r="DE84" s="22">
        <v>0.15568831437181255</v>
      </c>
      <c r="DF84" s="22">
        <v>2.0109224755824724E-6</v>
      </c>
      <c r="DG84" s="22">
        <v>125.01261685895528</v>
      </c>
      <c r="DH84" s="22">
        <v>8078.3427979550097</v>
      </c>
      <c r="DI84" s="22">
        <v>4087.1212669570946</v>
      </c>
      <c r="DQ84" s="22">
        <v>370</v>
      </c>
      <c r="DR84" s="22">
        <v>16633</v>
      </c>
      <c r="DS84" s="22">
        <v>16667.619270501924</v>
      </c>
      <c r="DT84" s="22">
        <v>0.38478812780961313</v>
      </c>
      <c r="DU84" s="22">
        <v>2.2297176778101458E-4</v>
      </c>
      <c r="DV84" s="22">
        <v>3.9224060623435797</v>
      </c>
      <c r="DW84" s="22">
        <v>11580.548143852586</v>
      </c>
      <c r="DX84" s="22">
        <v>5078.7637094874171</v>
      </c>
      <c r="EF84" s="22">
        <v>370</v>
      </c>
      <c r="EG84" s="22">
        <v>21044</v>
      </c>
      <c r="EH84" s="22">
        <v>20886.258908411044</v>
      </c>
      <c r="EI84" s="22">
        <v>3.0240547416133481</v>
      </c>
      <c r="EJ84" s="22">
        <v>4.2204557431399823E-4</v>
      </c>
      <c r="EK84" s="22">
        <v>9.2757406578481856</v>
      </c>
      <c r="EL84" s="22">
        <v>15707.120336633259</v>
      </c>
      <c r="EM84" s="22">
        <v>5166.8383543327491</v>
      </c>
    </row>
    <row r="85" spans="2:143" x14ac:dyDescent="0.25">
      <c r="B85" s="24">
        <f>$B$11+($B$10-$B$11)*74/99</f>
        <v>202.33333333333334</v>
      </c>
      <c r="C85" s="22">
        <v>27111.094013526257</v>
      </c>
      <c r="P85" s="22">
        <f>IF('Data-Plot'!C85="","",$Q$11+('Data-Plot'!C85-'Data-Plot'!D85)*$P$9)</f>
        <v>7838.4483379654912</v>
      </c>
      <c r="Q85" s="22">
        <f>IF('Data-Plot'!C85="","",MAX('Data-Plot'!$C$11:$C$1010)*(1+$Q$9/100))</f>
        <v>7796.25</v>
      </c>
      <c r="R85" s="22">
        <f>IF('Data-Plot'!C85="","",('Data-Plot'!C85-'Data-Plot'!D85)*$P$9)</f>
        <v>42.198337965491419</v>
      </c>
      <c r="S85" s="20">
        <v>799.80166203450858</v>
      </c>
      <c r="T85" s="20">
        <v>9.8314032965507397E-6</v>
      </c>
      <c r="U85" s="20">
        <v>5.4093750281762783E-20</v>
      </c>
      <c r="V85" s="20">
        <v>18.795450558006603</v>
      </c>
      <c r="W85" s="20">
        <v>382.00842692586673</v>
      </c>
      <c r="X85" s="20">
        <v>398.99777471923187</v>
      </c>
      <c r="AE85" s="22">
        <v>375</v>
      </c>
      <c r="AF85" s="22">
        <v>842</v>
      </c>
      <c r="AG85" s="22">
        <v>799.80166203450858</v>
      </c>
      <c r="AH85" s="22">
        <v>9.8314032965507397E-6</v>
      </c>
      <c r="AI85" s="22">
        <v>5.4093750281762783E-20</v>
      </c>
      <c r="AJ85" s="22">
        <v>18.795450558006603</v>
      </c>
      <c r="AK85" s="22">
        <v>382.00842692586673</v>
      </c>
      <c r="AL85" s="22">
        <v>398.99777471923187</v>
      </c>
      <c r="AT85" s="22">
        <v>375</v>
      </c>
      <c r="AU85" s="22">
        <v>1655</v>
      </c>
      <c r="AV85" s="22">
        <v>1654.9352093927271</v>
      </c>
      <c r="AW85" s="22">
        <v>4.3835848370161239E-6</v>
      </c>
      <c r="AX85" s="22">
        <v>1.9920308623770675E-19</v>
      </c>
      <c r="AY85" s="22">
        <v>26.992519863915877</v>
      </c>
      <c r="AZ85" s="22">
        <v>916.12252183486146</v>
      </c>
      <c r="BA85" s="22">
        <v>711.82016331036493</v>
      </c>
      <c r="BI85" s="22">
        <v>375</v>
      </c>
      <c r="BJ85" s="22">
        <v>2730</v>
      </c>
      <c r="BK85" s="22">
        <v>2683.8336767457322</v>
      </c>
      <c r="BL85" s="22">
        <v>2.6684778874495791E-12</v>
      </c>
      <c r="BM85" s="22">
        <v>1.1133562298795719E-8</v>
      </c>
      <c r="BN85" s="22">
        <v>1.3393672293616301</v>
      </c>
      <c r="BO85" s="22">
        <v>1347.8378679306063</v>
      </c>
      <c r="BP85" s="22">
        <v>1334.6564415746282</v>
      </c>
      <c r="BX85" s="22">
        <v>375</v>
      </c>
      <c r="BY85" s="22">
        <v>3621</v>
      </c>
      <c r="BZ85" s="22">
        <v>3628.2250570077285</v>
      </c>
      <c r="CA85" s="22">
        <v>6.8042823230098972E-9</v>
      </c>
      <c r="CB85" s="22">
        <v>2.8358586357916452E-8</v>
      </c>
      <c r="CC85" s="22">
        <v>3.6540393884647391</v>
      </c>
      <c r="CD85" s="22">
        <v>1830.7733891886796</v>
      </c>
      <c r="CE85" s="22">
        <v>1793.7976283954215</v>
      </c>
      <c r="CM85" s="22">
        <v>375</v>
      </c>
      <c r="CN85" s="22">
        <v>7305</v>
      </c>
      <c r="CO85" s="22">
        <v>7089.007439844132</v>
      </c>
      <c r="CP85" s="22">
        <v>1.0650834492498429E-3</v>
      </c>
      <c r="CQ85" s="22">
        <v>1.8475243544026653E-7</v>
      </c>
      <c r="CR85" s="22">
        <v>2.2905471497372485</v>
      </c>
      <c r="CS85" s="22">
        <v>3694.3277921683471</v>
      </c>
      <c r="CT85" s="22">
        <v>3392.3880352578467</v>
      </c>
      <c r="DB85" s="22">
        <v>375</v>
      </c>
      <c r="DC85" s="22">
        <v>11137</v>
      </c>
      <c r="DD85" s="22">
        <v>11091.783800510835</v>
      </c>
      <c r="DE85" s="22">
        <v>0.12328062500711694</v>
      </c>
      <c r="DF85" s="22">
        <v>7.8892490337435066E-7</v>
      </c>
      <c r="DG85" s="22">
        <v>89.953478619710609</v>
      </c>
      <c r="DH85" s="22">
        <v>5847.8321568477195</v>
      </c>
      <c r="DI85" s="22">
        <v>5153.8748836294726</v>
      </c>
      <c r="DQ85" s="22">
        <v>375</v>
      </c>
      <c r="DR85" s="22">
        <v>14946</v>
      </c>
      <c r="DS85" s="22">
        <v>14945.860432402571</v>
      </c>
      <c r="DT85" s="22">
        <v>0.30818506337543805</v>
      </c>
      <c r="DU85" s="22">
        <v>1.0752838688941428E-4</v>
      </c>
      <c r="DV85" s="22">
        <v>1.9129581971082523</v>
      </c>
      <c r="DW85" s="22">
        <v>8525.0873297847611</v>
      </c>
      <c r="DX85" s="22">
        <v>6414.5518518289391</v>
      </c>
      <c r="EF85" s="22">
        <v>375</v>
      </c>
      <c r="EG85" s="22">
        <v>18522</v>
      </c>
      <c r="EH85" s="22">
        <v>18519.00391476255</v>
      </c>
      <c r="EI85" s="22">
        <v>2.5074015224425121</v>
      </c>
      <c r="EJ85" s="22">
        <v>2.0851386721293684E-4</v>
      </c>
      <c r="EK85" s="22">
        <v>4.9753153521630944</v>
      </c>
      <c r="EL85" s="22">
        <v>11917.080293324803</v>
      </c>
      <c r="EM85" s="22">
        <v>6594.4406960492724</v>
      </c>
    </row>
    <row r="86" spans="2:143" x14ac:dyDescent="0.25">
      <c r="B86" s="24">
        <f>$B$11+($B$10-$B$11)*75/99</f>
        <v>204.8</v>
      </c>
      <c r="C86" s="22">
        <v>27405.422601488863</v>
      </c>
      <c r="P86" s="22">
        <f>IF('Data-Plot'!C86="","",$Q$11+('Data-Plot'!C86-'Data-Plot'!D86)*$P$9)</f>
        <v>7830.1627912344084</v>
      </c>
      <c r="Q86" s="22">
        <f>IF('Data-Plot'!C86="","",MAX('Data-Plot'!$C$11:$C$1010)*(1+$Q$9/100))</f>
        <v>7796.25</v>
      </c>
      <c r="R86" s="22">
        <f>IF('Data-Plot'!C86="","",('Data-Plot'!C86-'Data-Plot'!D86)*$P$9)</f>
        <v>33.912791234408587</v>
      </c>
      <c r="S86" s="20">
        <v>776.08720876559141</v>
      </c>
      <c r="T86" s="20">
        <v>6.7688954065907531E-6</v>
      </c>
      <c r="U86" s="20">
        <v>5.0603835118035952E-21</v>
      </c>
      <c r="V86" s="20">
        <v>15.214129707627496</v>
      </c>
      <c r="W86" s="20">
        <v>260.86673129999519</v>
      </c>
      <c r="X86" s="20">
        <v>500.00634098907329</v>
      </c>
      <c r="AE86" s="22">
        <v>380</v>
      </c>
      <c r="AF86" s="22">
        <v>810</v>
      </c>
      <c r="AG86" s="22">
        <v>776.08720876559141</v>
      </c>
      <c r="AH86" s="22">
        <v>6.7688954065907531E-6</v>
      </c>
      <c r="AI86" s="22">
        <v>5.0603835118035952E-21</v>
      </c>
      <c r="AJ86" s="22">
        <v>15.214129707627496</v>
      </c>
      <c r="AK86" s="22">
        <v>260.86673129999519</v>
      </c>
      <c r="AL86" s="22">
        <v>500.00634098907329</v>
      </c>
      <c r="AT86" s="22">
        <v>380</v>
      </c>
      <c r="AU86" s="22">
        <v>1552</v>
      </c>
      <c r="AV86" s="22">
        <v>1575.1993800460327</v>
      </c>
      <c r="AW86" s="22">
        <v>2.9461550086654343E-6</v>
      </c>
      <c r="AX86" s="22">
        <v>1.9055684718289637E-20</v>
      </c>
      <c r="AY86" s="22">
        <v>21.762804044711064</v>
      </c>
      <c r="AZ86" s="22">
        <v>665.7129861205168</v>
      </c>
      <c r="BA86" s="22">
        <v>887.72358693464969</v>
      </c>
      <c r="BI86" s="22">
        <v>380</v>
      </c>
      <c r="BJ86" s="22">
        <v>2551</v>
      </c>
      <c r="BK86" s="22">
        <v>2578.3987343049348</v>
      </c>
      <c r="BL86" s="22">
        <v>1.3165786903747566E-12</v>
      </c>
      <c r="BM86" s="22">
        <v>3.7848223654519234E-9</v>
      </c>
      <c r="BN86" s="22">
        <v>0.79418205480957849</v>
      </c>
      <c r="BO86" s="22">
        <v>941.07762418709024</v>
      </c>
      <c r="BP86" s="22">
        <v>1636.526928059249</v>
      </c>
      <c r="BX86" s="22">
        <v>380</v>
      </c>
      <c r="BY86" s="22">
        <v>3398</v>
      </c>
      <c r="BZ86" s="22">
        <v>3474.6848975634612</v>
      </c>
      <c r="CA86" s="22">
        <v>3.9558960805205053E-9</v>
      </c>
      <c r="CB86" s="22">
        <v>9.94940067675001E-9</v>
      </c>
      <c r="CC86" s="22">
        <v>2.24700125080789</v>
      </c>
      <c r="CD86" s="22">
        <v>1268.1218790594878</v>
      </c>
      <c r="CE86" s="22">
        <v>2204.31601723926</v>
      </c>
      <c r="CM86" s="22">
        <v>380</v>
      </c>
      <c r="CN86" s="22">
        <v>6722</v>
      </c>
      <c r="CO86" s="22">
        <v>6722.2601387393879</v>
      </c>
      <c r="CP86" s="22">
        <v>7.788590520942803E-4</v>
      </c>
      <c r="CQ86" s="22">
        <v>6.9352454894148894E-8</v>
      </c>
      <c r="CR86" s="22">
        <v>1.2562396127550761</v>
      </c>
      <c r="CS86" s="22">
        <v>2592.3595584777158</v>
      </c>
      <c r="CT86" s="22">
        <v>4128.6435617205125</v>
      </c>
      <c r="DB86" s="22">
        <v>380</v>
      </c>
      <c r="DC86" s="22">
        <v>10539</v>
      </c>
      <c r="DD86" s="22">
        <v>10461.388077918695</v>
      </c>
      <c r="DE86" s="22">
        <v>9.7943492168555607E-2</v>
      </c>
      <c r="DF86" s="22">
        <v>3.1324049762589204E-7</v>
      </c>
      <c r="DG86" s="22">
        <v>64.833097754341168</v>
      </c>
      <c r="DH86" s="22">
        <v>4150.7854025281767</v>
      </c>
      <c r="DI86" s="22">
        <v>6245.6716338307679</v>
      </c>
      <c r="DQ86" s="22">
        <v>380</v>
      </c>
      <c r="DR86" s="22">
        <v>14152</v>
      </c>
      <c r="DS86" s="22">
        <v>13971.88074582105</v>
      </c>
      <c r="DT86" s="22">
        <v>0.24761158978213213</v>
      </c>
      <c r="DU86" s="22">
        <v>5.235544576202388E-5</v>
      </c>
      <c r="DV86" s="22">
        <v>0.93066350431438782</v>
      </c>
      <c r="DW86" s="22">
        <v>6178.9780590205455</v>
      </c>
      <c r="DX86" s="22">
        <v>7787.724359350962</v>
      </c>
      <c r="EF86" s="22">
        <v>380</v>
      </c>
      <c r="EG86" s="22">
        <v>17200</v>
      </c>
      <c r="EH86" s="22">
        <v>17054.319096115771</v>
      </c>
      <c r="EI86" s="22">
        <v>2.0845269172376484</v>
      </c>
      <c r="EJ86" s="22">
        <v>1.0398026762521878E-4</v>
      </c>
      <c r="EK86" s="22">
        <v>2.6684035421449797</v>
      </c>
      <c r="EL86" s="22">
        <v>8939.2292904602873</v>
      </c>
      <c r="EM86" s="22">
        <v>8110.3367712158315</v>
      </c>
    </row>
    <row r="87" spans="2:143" x14ac:dyDescent="0.25">
      <c r="B87" s="24">
        <f>$B$11+($B$10-$B$11)*76/99</f>
        <v>207.26666666666668</v>
      </c>
      <c r="C87" s="22">
        <v>27698.866898829143</v>
      </c>
      <c r="P87" s="22">
        <f>IF('Data-Plot'!C87="","",$Q$11+('Data-Plot'!C87-'Data-Plot'!D87)*$P$9)</f>
        <v>7786.2521180411986</v>
      </c>
      <c r="Q87" s="22">
        <f>IF('Data-Plot'!C87="","",MAX('Data-Plot'!$C$11:$C$1010)*(1+$Q$9/100))</f>
        <v>7796.25</v>
      </c>
      <c r="R87" s="22">
        <f>IF('Data-Plot'!C87="","",('Data-Plot'!C87-'Data-Plot'!D87)*$P$9)</f>
        <v>-9.9978819588015995</v>
      </c>
      <c r="S87" s="20">
        <v>787.9978819588016</v>
      </c>
      <c r="T87" s="20">
        <v>4.685241979777752E-6</v>
      </c>
      <c r="U87" s="20">
        <v>4.8545067410897542E-22</v>
      </c>
      <c r="V87" s="20">
        <v>12.339290710396449</v>
      </c>
      <c r="W87" s="20">
        <v>173.141581530705</v>
      </c>
      <c r="X87" s="20">
        <v>602.5170050324582</v>
      </c>
      <c r="AE87" s="22">
        <v>385</v>
      </c>
      <c r="AF87" s="22">
        <v>778</v>
      </c>
      <c r="AG87" s="22">
        <v>787.9978819588016</v>
      </c>
      <c r="AH87" s="22">
        <v>4.685241979777752E-6</v>
      </c>
      <c r="AI87" s="22">
        <v>4.8545067410897542E-22</v>
      </c>
      <c r="AJ87" s="22">
        <v>12.339290710396449</v>
      </c>
      <c r="AK87" s="22">
        <v>173.141581530705</v>
      </c>
      <c r="AL87" s="22">
        <v>602.5170050324582</v>
      </c>
      <c r="AT87" s="22">
        <v>385</v>
      </c>
      <c r="AU87" s="22">
        <v>1694</v>
      </c>
      <c r="AV87" s="22">
        <v>1555.3798796576127</v>
      </c>
      <c r="AW87" s="22">
        <v>1.9913416455310016E-6</v>
      </c>
      <c r="AX87" s="22">
        <v>1.868818920386914E-21</v>
      </c>
      <c r="AY87" s="22">
        <v>17.584120205296895</v>
      </c>
      <c r="AZ87" s="22">
        <v>474.80590532911862</v>
      </c>
      <c r="BA87" s="22">
        <v>1062.9898521318555</v>
      </c>
      <c r="BI87" s="22">
        <v>385</v>
      </c>
      <c r="BJ87" s="22">
        <v>2533</v>
      </c>
      <c r="BK87" s="22">
        <v>2561.0418668171155</v>
      </c>
      <c r="BL87" s="22">
        <v>6.5620134020581495E-13</v>
      </c>
      <c r="BM87" s="22">
        <v>1.3042999586310692E-9</v>
      </c>
      <c r="BN87" s="22">
        <v>0.47171468222278445</v>
      </c>
      <c r="BO87" s="22">
        <v>642.268445057181</v>
      </c>
      <c r="BP87" s="22">
        <v>1918.301707076407</v>
      </c>
      <c r="BX87" s="22">
        <v>385</v>
      </c>
      <c r="BY87" s="22">
        <v>3480</v>
      </c>
      <c r="BZ87" s="22">
        <v>3451.2914527399403</v>
      </c>
      <c r="CA87" s="22">
        <v>2.3178408035355467E-9</v>
      </c>
      <c r="CB87" s="22">
        <v>3.5374200595326701E-9</v>
      </c>
      <c r="CC87" s="22">
        <v>1.3835970554305086</v>
      </c>
      <c r="CD87" s="22">
        <v>857.80947903350102</v>
      </c>
      <c r="CE87" s="22">
        <v>2592.0983766451536</v>
      </c>
      <c r="CM87" s="22">
        <v>385</v>
      </c>
      <c r="CN87" s="22">
        <v>6614</v>
      </c>
      <c r="CO87" s="22">
        <v>6585.5023277845694</v>
      </c>
      <c r="CP87" s="22">
        <v>5.7209330628596054E-4</v>
      </c>
      <c r="CQ87" s="22">
        <v>2.6363235863163308E-8</v>
      </c>
      <c r="CR87" s="22">
        <v>0.68959788074759665</v>
      </c>
      <c r="CS87" s="22">
        <v>1784.664962226469</v>
      </c>
      <c r="CT87" s="22">
        <v>4800.1471955576835</v>
      </c>
      <c r="DB87" s="22">
        <v>385</v>
      </c>
      <c r="DC87" s="22">
        <v>9972</v>
      </c>
      <c r="DD87" s="22">
        <v>10173.136141692277</v>
      </c>
      <c r="DE87" s="22">
        <v>7.8066874898381225E-2</v>
      </c>
      <c r="DF87" s="22">
        <v>1.2586852388540914E-7</v>
      </c>
      <c r="DG87" s="22">
        <v>46.827021946149728</v>
      </c>
      <c r="DH87" s="22">
        <v>2898.3243649694464</v>
      </c>
      <c r="DI87" s="22">
        <v>7227.9066877759151</v>
      </c>
      <c r="DQ87" s="22">
        <v>385</v>
      </c>
      <c r="DR87" s="22">
        <v>13358</v>
      </c>
      <c r="DS87" s="22">
        <v>13457.067901412192</v>
      </c>
      <c r="DT87" s="22">
        <v>0.19955836314097086</v>
      </c>
      <c r="DU87" s="22">
        <v>2.5736017628051981E-5</v>
      </c>
      <c r="DV87" s="22">
        <v>0.45257500889190277</v>
      </c>
      <c r="DW87" s="22">
        <v>4422.2383292818404</v>
      </c>
      <c r="DX87" s="22">
        <v>9030.1774130223021</v>
      </c>
      <c r="EF87" s="22">
        <v>385</v>
      </c>
      <c r="EG87" s="22">
        <v>16160</v>
      </c>
      <c r="EH87" s="22">
        <v>16197.737919020105</v>
      </c>
      <c r="EI87" s="22">
        <v>1.7374627987198619</v>
      </c>
      <c r="EJ87" s="22">
        <v>5.2333635081717557E-5</v>
      </c>
      <c r="EK87" s="22">
        <v>1.4330636367441538</v>
      </c>
      <c r="EL87" s="22">
        <v>6645.5069927741297</v>
      </c>
      <c r="EM87" s="22">
        <v>9549.0603474768759</v>
      </c>
    </row>
    <row r="88" spans="2:143" x14ac:dyDescent="0.25">
      <c r="B88" s="24">
        <f>$B$11+($B$10-$B$11)*77/99</f>
        <v>209.73333333333332</v>
      </c>
      <c r="C88" s="22">
        <v>27991.429562339279</v>
      </c>
      <c r="P88" s="22">
        <f>IF('Data-Plot'!C88="","",$Q$11+('Data-Plot'!C88-'Data-Plot'!D88)*$P$9)</f>
        <v>7796.1282996890477</v>
      </c>
      <c r="Q88" s="22">
        <f>IF('Data-Plot'!C88="","",MAX('Data-Plot'!$C$11:$C$1010)*(1+$Q$9/100))</f>
        <v>7796.25</v>
      </c>
      <c r="R88" s="22">
        <f>IF('Data-Plot'!C88="","",('Data-Plot'!C88-'Data-Plot'!D88)*$P$9)</f>
        <v>-0.12170031095183731</v>
      </c>
      <c r="S88" s="20">
        <v>816.12170031095184</v>
      </c>
      <c r="T88" s="20">
        <v>3.259927009513639E-6</v>
      </c>
      <c r="U88" s="20">
        <v>4.7796099623849064E-23</v>
      </c>
      <c r="V88" s="20">
        <v>10.02857263882211</v>
      </c>
      <c r="W88" s="20">
        <v>112.11676786821046</v>
      </c>
      <c r="X88" s="20">
        <v>693.97635654399221</v>
      </c>
      <c r="AE88" s="22">
        <v>390</v>
      </c>
      <c r="AF88" s="22">
        <v>816</v>
      </c>
      <c r="AG88" s="22">
        <v>816.12170031095184</v>
      </c>
      <c r="AH88" s="22">
        <v>3.259927009513639E-6</v>
      </c>
      <c r="AI88" s="22">
        <v>4.7796099623849064E-23</v>
      </c>
      <c r="AJ88" s="22">
        <v>10.02857263882211</v>
      </c>
      <c r="AK88" s="22">
        <v>112.11676786821046</v>
      </c>
      <c r="AL88" s="22">
        <v>693.97635654399221</v>
      </c>
      <c r="AT88" s="22">
        <v>390</v>
      </c>
      <c r="AU88" s="22">
        <v>1531</v>
      </c>
      <c r="AV88" s="22">
        <v>1562.176801827567</v>
      </c>
      <c r="AW88" s="22">
        <v>1.3534627693006255E-6</v>
      </c>
      <c r="AX88" s="22">
        <v>1.8805389808189714E-22</v>
      </c>
      <c r="AY88" s="22">
        <v>14.239872792891394</v>
      </c>
      <c r="AZ88" s="22">
        <v>333.41974270371395</v>
      </c>
      <c r="BA88" s="22">
        <v>1214.517184977499</v>
      </c>
      <c r="BI88" s="22">
        <v>390</v>
      </c>
      <c r="BJ88" s="22">
        <v>2615</v>
      </c>
      <c r="BK88" s="22">
        <v>2565.831082723033</v>
      </c>
      <c r="BL88" s="22">
        <v>3.3032308392471518E-13</v>
      </c>
      <c r="BM88" s="22">
        <v>4.5564868947777785E-10</v>
      </c>
      <c r="BN88" s="22">
        <v>0.28090836879679298</v>
      </c>
      <c r="BO88" s="22">
        <v>429.96670774448751</v>
      </c>
      <c r="BP88" s="22">
        <v>2135.5834666092928</v>
      </c>
      <c r="BX88" s="22">
        <v>390</v>
      </c>
      <c r="BY88" s="22">
        <v>3543</v>
      </c>
      <c r="BZ88" s="22">
        <v>3468.4725711936858</v>
      </c>
      <c r="CA88" s="22">
        <v>1.3684377929547553E-9</v>
      </c>
      <c r="CB88" s="22">
        <v>1.2745251379301946E-9</v>
      </c>
      <c r="CC88" s="22">
        <v>0.85382933972247421</v>
      </c>
      <c r="CD88" s="22">
        <v>568.69814547738815</v>
      </c>
      <c r="CE88" s="22">
        <v>2898.9205963739323</v>
      </c>
      <c r="CM88" s="22">
        <v>390</v>
      </c>
      <c r="CN88" s="22">
        <v>6489</v>
      </c>
      <c r="CO88" s="22">
        <v>6510.8299288392991</v>
      </c>
      <c r="CP88" s="22">
        <v>4.2205159655277848E-4</v>
      </c>
      <c r="CQ88" s="22">
        <v>1.0148103580125607E-8</v>
      </c>
      <c r="CR88" s="22">
        <v>0.37934097437845921</v>
      </c>
      <c r="CS88" s="22">
        <v>1209.3287753746085</v>
      </c>
      <c r="CT88" s="22">
        <v>5301.1213904285678</v>
      </c>
      <c r="DB88" s="22">
        <v>390</v>
      </c>
      <c r="DC88" s="22">
        <v>9977</v>
      </c>
      <c r="DD88" s="22">
        <v>9976.910374191335</v>
      </c>
      <c r="DE88" s="22">
        <v>6.2422021640347769E-2</v>
      </c>
      <c r="DF88" s="22">
        <v>5.1183528817890506E-8</v>
      </c>
      <c r="DG88" s="22">
        <v>33.906273010999307</v>
      </c>
      <c r="DH88" s="22">
        <v>1996.9297788736587</v>
      </c>
      <c r="DI88" s="22">
        <v>7946.0119002338524</v>
      </c>
      <c r="DQ88" s="22">
        <v>390</v>
      </c>
      <c r="DR88" s="22">
        <v>12810</v>
      </c>
      <c r="DS88" s="22">
        <v>13083.706777080264</v>
      </c>
      <c r="DT88" s="22">
        <v>0.16131673428280457</v>
      </c>
      <c r="DU88" s="22">
        <v>1.2771039800492336E-5</v>
      </c>
      <c r="DV88" s="22">
        <v>0.22035675735923893</v>
      </c>
      <c r="DW88" s="22">
        <v>3133.3763035631082</v>
      </c>
      <c r="DX88" s="22">
        <v>9945.9487872544742</v>
      </c>
      <c r="EF88" s="22">
        <v>390</v>
      </c>
      <c r="EG88" s="22">
        <v>15585</v>
      </c>
      <c r="EH88" s="22">
        <v>15607.807456688641</v>
      </c>
      <c r="EI88" s="22">
        <v>1.4518561482926324</v>
      </c>
      <c r="EJ88" s="22">
        <v>2.6582059947272722E-5</v>
      </c>
      <c r="EK88" s="22">
        <v>0.77156533914370451</v>
      </c>
      <c r="EL88" s="22">
        <v>4906.4587430526999</v>
      </c>
      <c r="EM88" s="22">
        <v>10699.125265566445</v>
      </c>
    </row>
    <row r="89" spans="2:143" x14ac:dyDescent="0.25">
      <c r="B89" s="24">
        <f>$B$11+($B$10-$B$11)*78/99</f>
        <v>212.2</v>
      </c>
      <c r="C89" s="22">
        <v>28283.113240829385</v>
      </c>
      <c r="P89" s="22">
        <f>IF('Data-Plot'!C89="","",$Q$11+('Data-Plot'!C89-'Data-Plot'!D89)*$P$9)</f>
        <v>7816.7445221468224</v>
      </c>
      <c r="Q89" s="22">
        <f>IF('Data-Plot'!C89="","",MAX('Data-Plot'!$C$11:$C$1010)*(1+$Q$9/100))</f>
        <v>7796.25</v>
      </c>
      <c r="R89" s="22">
        <f>IF('Data-Plot'!C89="","",('Data-Plot'!C89-'Data-Plot'!D89)*$P$9)</f>
        <v>20.494522146822646</v>
      </c>
      <c r="S89" s="20">
        <v>839.50547785317735</v>
      </c>
      <c r="T89" s="20">
        <v>2.2797982913904665E-6</v>
      </c>
      <c r="U89" s="20">
        <v>4.83259391068987E-24</v>
      </c>
      <c r="V89" s="20">
        <v>8.1683826058575324</v>
      </c>
      <c r="W89" s="20">
        <v>71.096503079058905</v>
      </c>
      <c r="X89" s="20">
        <v>760.24058988846264</v>
      </c>
      <c r="AE89" s="22">
        <v>395</v>
      </c>
      <c r="AF89" s="22">
        <v>860</v>
      </c>
      <c r="AG89" s="22">
        <v>839.50547785317735</v>
      </c>
      <c r="AH89" s="22">
        <v>2.2797982913904665E-6</v>
      </c>
      <c r="AI89" s="22">
        <v>4.83259391068987E-24</v>
      </c>
      <c r="AJ89" s="22">
        <v>8.1683826058575324</v>
      </c>
      <c r="AK89" s="22">
        <v>71.096503079058905</v>
      </c>
      <c r="AL89" s="22">
        <v>760.24058988846264</v>
      </c>
      <c r="AT89" s="22">
        <v>395</v>
      </c>
      <c r="AU89" s="22">
        <v>1560</v>
      </c>
      <c r="AV89" s="22">
        <v>1559.96610623987</v>
      </c>
      <c r="AW89" s="22">
        <v>9.2492180954815298E-7</v>
      </c>
      <c r="AX89" s="22">
        <v>1.9427792917954979E-23</v>
      </c>
      <c r="AY89" s="22">
        <v>11.558556679154504</v>
      </c>
      <c r="AZ89" s="22">
        <v>231.1874391022142</v>
      </c>
      <c r="BA89" s="22">
        <v>1317.2201095335795</v>
      </c>
      <c r="BI89" s="22">
        <v>395</v>
      </c>
      <c r="BJ89" s="22">
        <v>2530</v>
      </c>
      <c r="BK89" s="22">
        <v>2530.0389481377783</v>
      </c>
      <c r="BL89" s="22">
        <v>1.6790328674728836E-13</v>
      </c>
      <c r="BM89" s="22">
        <v>1.6135487447487552E-10</v>
      </c>
      <c r="BN89" s="22">
        <v>0.16783678606339356</v>
      </c>
      <c r="BO89" s="22">
        <v>283.28466276333694</v>
      </c>
      <c r="BP89" s="22">
        <v>2246.5864485882166</v>
      </c>
      <c r="BX89" s="22">
        <v>395</v>
      </c>
      <c r="BY89" s="22">
        <v>3603</v>
      </c>
      <c r="BZ89" s="22">
        <v>3440.4303773468223</v>
      </c>
      <c r="CA89" s="22">
        <v>8.139500711659037E-10</v>
      </c>
      <c r="CB89" s="22">
        <v>4.6532572246217149E-10</v>
      </c>
      <c r="CC89" s="22">
        <v>0.52843689669977845</v>
      </c>
      <c r="CD89" s="22">
        <v>370.77972011755054</v>
      </c>
      <c r="CE89" s="22">
        <v>3069.1222203312927</v>
      </c>
      <c r="CM89" s="22">
        <v>395</v>
      </c>
      <c r="CN89" s="22">
        <v>6159</v>
      </c>
      <c r="CO89" s="22">
        <v>6348.6592410534195</v>
      </c>
      <c r="CP89" s="22">
        <v>3.1269000760785479E-4</v>
      </c>
      <c r="CQ89" s="22">
        <v>3.955375586105319E-9</v>
      </c>
      <c r="CR89" s="22">
        <v>0.20931336196690839</v>
      </c>
      <c r="CS89" s="22">
        <v>809.04336922916968</v>
      </c>
      <c r="CT89" s="22">
        <v>5539.4062457683194</v>
      </c>
      <c r="DB89" s="22">
        <v>395</v>
      </c>
      <c r="DC89" s="22">
        <v>9591</v>
      </c>
      <c r="DD89" s="22">
        <v>9657.3370356306477</v>
      </c>
      <c r="DE89" s="22">
        <v>5.0067846427915196E-2</v>
      </c>
      <c r="DF89" s="22">
        <v>2.1061031412777875E-8</v>
      </c>
      <c r="DG89" s="22">
        <v>24.619228072183343</v>
      </c>
      <c r="DH89" s="22">
        <v>1361.3549930445672</v>
      </c>
      <c r="DI89" s="22">
        <v>8271.3127466464084</v>
      </c>
      <c r="DQ89" s="22">
        <v>395</v>
      </c>
      <c r="DR89" s="22">
        <v>12580</v>
      </c>
      <c r="DS89" s="22">
        <v>12575.950285025256</v>
      </c>
      <c r="DT89" s="22">
        <v>0.13078898741960873</v>
      </c>
      <c r="DU89" s="22">
        <v>6.396951335986929E-6</v>
      </c>
      <c r="DV89" s="22">
        <v>0.10757175755330579</v>
      </c>
      <c r="DW89" s="22">
        <v>2203.0958374861057</v>
      </c>
      <c r="DX89" s="22">
        <v>10368.616080397225</v>
      </c>
      <c r="EF89" s="22">
        <v>395</v>
      </c>
      <c r="EG89" s="22">
        <v>14963</v>
      </c>
      <c r="EH89" s="22">
        <v>14963.08544799737</v>
      </c>
      <c r="EI89" s="22">
        <v>1.2162086203424085</v>
      </c>
      <c r="EJ89" s="22">
        <v>1.3624805313017211E-5</v>
      </c>
      <c r="EK89" s="22">
        <v>0.41685658683790638</v>
      </c>
      <c r="EL89" s="22">
        <v>3604.2055335404616</v>
      </c>
      <c r="EM89" s="22">
        <v>11357.246835624923</v>
      </c>
    </row>
    <row r="90" spans="2:143" x14ac:dyDescent="0.25">
      <c r="B90" s="24">
        <f>$B$11+($B$10-$B$11)*79/99</f>
        <v>214.66666666666666</v>
      </c>
      <c r="C90" s="22">
        <v>28573.92057515134</v>
      </c>
      <c r="P90" s="22">
        <f>IF('Data-Plot'!C90="","",$Q$11+('Data-Plot'!C90-'Data-Plot'!D90)*$P$9)</f>
        <v>7867.5443314000313</v>
      </c>
      <c r="Q90" s="22">
        <f>IF('Data-Plot'!C90="","",MAX('Data-Plot'!$C$11:$C$1010)*(1+$Q$9/100))</f>
        <v>7796.25</v>
      </c>
      <c r="R90" s="22">
        <f>IF('Data-Plot'!C90="","",('Data-Plot'!C90-'Data-Plot'!D90)*$P$9)</f>
        <v>71.294331400031183</v>
      </c>
      <c r="S90" s="20">
        <v>840.70566859996882</v>
      </c>
      <c r="T90" s="20">
        <v>1.602323050921771E-6</v>
      </c>
      <c r="U90" s="20">
        <v>5.0196916392759529E-25</v>
      </c>
      <c r="V90" s="20">
        <v>6.6682394181991853</v>
      </c>
      <c r="W90" s="20">
        <v>44.307487131895229</v>
      </c>
      <c r="X90" s="20">
        <v>789.72994044755137</v>
      </c>
      <c r="AE90" s="22">
        <v>400</v>
      </c>
      <c r="AF90" s="22">
        <v>912</v>
      </c>
      <c r="AG90" s="22">
        <v>840.70566859996882</v>
      </c>
      <c r="AH90" s="22">
        <v>1.602323050921771E-6</v>
      </c>
      <c r="AI90" s="22">
        <v>5.0196916392759529E-25</v>
      </c>
      <c r="AJ90" s="22">
        <v>6.6682394181991853</v>
      </c>
      <c r="AK90" s="22">
        <v>44.307487131895229</v>
      </c>
      <c r="AL90" s="22">
        <v>789.72994044755137</v>
      </c>
      <c r="AT90" s="22">
        <v>400</v>
      </c>
      <c r="AU90" s="22">
        <v>1610</v>
      </c>
      <c r="AV90" s="22">
        <v>1519.9503419856715</v>
      </c>
      <c r="AW90" s="22">
        <v>6.3543501780624075E-7</v>
      </c>
      <c r="AX90" s="22">
        <v>2.0613814360343648E-24</v>
      </c>
      <c r="AY90" s="22">
        <v>9.4044875348421506</v>
      </c>
      <c r="AZ90" s="22">
        <v>158.6964768357231</v>
      </c>
      <c r="BA90" s="22">
        <v>1351.8493769796712</v>
      </c>
      <c r="BI90" s="22">
        <v>400</v>
      </c>
      <c r="BJ90" s="22">
        <v>2417</v>
      </c>
      <c r="BK90" s="22">
        <v>2411.705641849373</v>
      </c>
      <c r="BL90" s="22">
        <v>8.6160327407700627E-14</v>
      </c>
      <c r="BM90" s="22">
        <v>5.7915533518850796E-11</v>
      </c>
      <c r="BN90" s="22">
        <v>0.1006687759848499</v>
      </c>
      <c r="BO90" s="22">
        <v>184.25139423205394</v>
      </c>
      <c r="BP90" s="22">
        <v>2227.3535788412764</v>
      </c>
      <c r="BX90" s="22">
        <v>400</v>
      </c>
      <c r="BY90" s="22">
        <v>3154</v>
      </c>
      <c r="BZ90" s="22">
        <v>3307.9580349663493</v>
      </c>
      <c r="CA90" s="22">
        <v>4.8767689883776694E-10</v>
      </c>
      <c r="CB90" s="22">
        <v>1.7213599866134076E-10</v>
      </c>
      <c r="CC90" s="22">
        <v>0.32818589453836639</v>
      </c>
      <c r="CD90" s="22">
        <v>238.48685672364368</v>
      </c>
      <c r="CE90" s="22">
        <v>3069.1429923475075</v>
      </c>
      <c r="CM90" s="22">
        <v>400</v>
      </c>
      <c r="CN90" s="22">
        <v>6005</v>
      </c>
      <c r="CO90" s="22">
        <v>6006.1366336622123</v>
      </c>
      <c r="CP90" s="22">
        <v>2.3263360645374659E-4</v>
      </c>
      <c r="CQ90" s="22">
        <v>1.5608508962766557E-9</v>
      </c>
      <c r="CR90" s="22">
        <v>0.11594137218609891</v>
      </c>
      <c r="CS90" s="22">
        <v>535.82392645587106</v>
      </c>
      <c r="CT90" s="22">
        <v>5470.1965331989877</v>
      </c>
      <c r="DB90" s="22">
        <v>400</v>
      </c>
      <c r="DC90" s="22">
        <v>9025</v>
      </c>
      <c r="DD90" s="22">
        <v>9086.514373546077</v>
      </c>
      <c r="DE90" s="22">
        <v>4.0281078071897757E-2</v>
      </c>
      <c r="DF90" s="22">
        <v>8.768323750027647E-9</v>
      </c>
      <c r="DG90" s="22">
        <v>17.929889131038607</v>
      </c>
      <c r="DH90" s="22">
        <v>920.51712741041752</v>
      </c>
      <c r="DI90" s="22">
        <v>8148.0270759177811</v>
      </c>
      <c r="DQ90" s="22">
        <v>400</v>
      </c>
      <c r="DR90" s="22">
        <v>11671</v>
      </c>
      <c r="DS90" s="22">
        <v>11766.619869945047</v>
      </c>
      <c r="DT90" s="22">
        <v>0.10634515928679777</v>
      </c>
      <c r="DU90" s="22">
        <v>3.2339390832109621E-6</v>
      </c>
      <c r="DV90" s="22">
        <v>5.271012894351728E-2</v>
      </c>
      <c r="DW90" s="22">
        <v>1540.2047167092649</v>
      </c>
      <c r="DX90" s="22">
        <v>10222.256094713613</v>
      </c>
      <c r="EF90" s="22">
        <v>400</v>
      </c>
      <c r="EG90" s="22">
        <v>14058</v>
      </c>
      <c r="EH90" s="22">
        <v>14038.130717545104</v>
      </c>
      <c r="EI90" s="22">
        <v>1.0212827192426668</v>
      </c>
      <c r="EJ90" s="22">
        <v>7.0462213665107611E-6</v>
      </c>
      <c r="EK90" s="22">
        <v>0.22617231924839618</v>
      </c>
      <c r="EL90" s="22">
        <v>2638.301778941564</v>
      </c>
      <c r="EM90" s="22">
        <v>11398.581476518828</v>
      </c>
    </row>
    <row r="91" spans="2:143" x14ac:dyDescent="0.25">
      <c r="B91" s="24">
        <f>$B$11+($B$10-$B$11)*80/99</f>
        <v>217.13333333333335</v>
      </c>
      <c r="C91" s="22">
        <v>28863.854198222787</v>
      </c>
      <c r="P91" s="22">
        <f>IF('Data-Plot'!C91="","",$Q$11+('Data-Plot'!C91-'Data-Plot'!D91)*$P$9)</f>
        <v>7683.9983844200569</v>
      </c>
      <c r="Q91" s="22">
        <f>IF('Data-Plot'!C91="","",MAX('Data-Plot'!$C$11:$C$1010)*(1+$Q$9/100))</f>
        <v>7796.25</v>
      </c>
      <c r="R91" s="22">
        <f>IF('Data-Plot'!C91="","",('Data-Plot'!C91-'Data-Plot'!D91)*$P$9)</f>
        <v>-112.25161557994284</v>
      </c>
      <c r="S91" s="20">
        <v>810.25161557994284</v>
      </c>
      <c r="T91" s="20">
        <v>1.1316772029066723E-6</v>
      </c>
      <c r="U91" s="20">
        <v>5.357725923884655E-26</v>
      </c>
      <c r="V91" s="20">
        <v>5.4561331692231683</v>
      </c>
      <c r="W91" s="20">
        <v>27.226084782919663</v>
      </c>
      <c r="X91" s="20">
        <v>777.56939649612275</v>
      </c>
      <c r="AE91" s="22">
        <v>405</v>
      </c>
      <c r="AF91" s="22">
        <v>698</v>
      </c>
      <c r="AG91" s="22">
        <v>810.25161557994284</v>
      </c>
      <c r="AH91" s="22">
        <v>1.1316772029066723E-6</v>
      </c>
      <c r="AI91" s="22">
        <v>5.357725923884655E-26</v>
      </c>
      <c r="AJ91" s="22">
        <v>5.4561331692231683</v>
      </c>
      <c r="AK91" s="22">
        <v>27.226084782919663</v>
      </c>
      <c r="AL91" s="22">
        <v>777.56939649612275</v>
      </c>
      <c r="AT91" s="22">
        <v>405</v>
      </c>
      <c r="AU91" s="22">
        <v>1451</v>
      </c>
      <c r="AV91" s="22">
        <v>1428.0235042766317</v>
      </c>
      <c r="AW91" s="22">
        <v>4.3882901413296336E-7</v>
      </c>
      <c r="AX91" s="22">
        <v>2.2469050925578136E-25</v>
      </c>
      <c r="AY91" s="22">
        <v>7.6703365475625276</v>
      </c>
      <c r="AZ91" s="22">
        <v>108.09482354684098</v>
      </c>
      <c r="BA91" s="22">
        <v>1312.2583437433991</v>
      </c>
      <c r="BI91" s="22">
        <v>405</v>
      </c>
      <c r="BJ91" s="22">
        <v>2168</v>
      </c>
      <c r="BK91" s="22">
        <v>2200.6871492940136</v>
      </c>
      <c r="BL91" s="22">
        <v>4.4626742254829904E-14</v>
      </c>
      <c r="BM91" s="22">
        <v>2.1067711305511235E-11</v>
      </c>
      <c r="BN91" s="22">
        <v>6.0643330153898049E-2</v>
      </c>
      <c r="BO91" s="22">
        <v>118.63033688997436</v>
      </c>
      <c r="BP91" s="22">
        <v>2081.9961690738642</v>
      </c>
      <c r="BX91" s="22">
        <v>405</v>
      </c>
      <c r="BY91" s="22">
        <v>3053</v>
      </c>
      <c r="BZ91" s="22">
        <v>3052.9901399044206</v>
      </c>
      <c r="CA91" s="22">
        <v>2.9427994990358308E-10</v>
      </c>
      <c r="CB91" s="22">
        <v>6.4511788649038573E-11</v>
      </c>
      <c r="CC91" s="22">
        <v>0.20461831618387069</v>
      </c>
      <c r="CD91" s="22">
        <v>151.76330768118342</v>
      </c>
      <c r="CE91" s="22">
        <v>2901.0222139066946</v>
      </c>
      <c r="CM91" s="22">
        <v>405</v>
      </c>
      <c r="CN91" s="22">
        <v>5521</v>
      </c>
      <c r="CO91" s="22">
        <v>5465.995586476226</v>
      </c>
      <c r="CP91" s="22">
        <v>1.7378097192544568E-4</v>
      </c>
      <c r="CQ91" s="22">
        <v>6.2351924641725226E-10</v>
      </c>
      <c r="CR91" s="22">
        <v>6.4509911380401352E-2</v>
      </c>
      <c r="CS91" s="22">
        <v>352.16054180769771</v>
      </c>
      <c r="CT91" s="22">
        <v>5113.7703609755526</v>
      </c>
      <c r="DB91" s="22">
        <v>405</v>
      </c>
      <c r="DC91" s="22">
        <v>8348</v>
      </c>
      <c r="DD91" s="22">
        <v>8245.8040387645688</v>
      </c>
      <c r="DE91" s="22">
        <v>3.2503954522305582E-2</v>
      </c>
      <c r="DF91" s="22">
        <v>3.6930356699150389E-9</v>
      </c>
      <c r="DG91" s="22">
        <v>13.099771546756042</v>
      </c>
      <c r="DH91" s="22">
        <v>618.68265927307777</v>
      </c>
      <c r="DI91" s="22">
        <v>7613.9891039865188</v>
      </c>
      <c r="DQ91" s="22">
        <v>405</v>
      </c>
      <c r="DR91" s="22">
        <v>10796</v>
      </c>
      <c r="DS91" s="22">
        <v>10627.216381592607</v>
      </c>
      <c r="DT91" s="22">
        <v>8.6714625709409576E-2</v>
      </c>
      <c r="DU91" s="22">
        <v>1.649863291954189E-6</v>
      </c>
      <c r="DV91" s="22">
        <v>2.5948259386694345E-2</v>
      </c>
      <c r="DW91" s="22">
        <v>1072.4974387570696</v>
      </c>
      <c r="DX91" s="22">
        <v>9550.6062783005782</v>
      </c>
      <c r="EF91" s="22">
        <v>405</v>
      </c>
      <c r="EG91" s="22">
        <v>12730</v>
      </c>
      <c r="EH91" s="22">
        <v>12753.606267750883</v>
      </c>
      <c r="EI91" s="22">
        <v>0.8596366882285954</v>
      </c>
      <c r="EJ91" s="22">
        <v>3.6763135719010064E-6</v>
      </c>
      <c r="EK91" s="22">
        <v>0.12330912249724432</v>
      </c>
      <c r="EL91" s="22">
        <v>1926.986237118218</v>
      </c>
      <c r="EM91" s="22">
        <v>10825.637081145625</v>
      </c>
    </row>
    <row r="92" spans="2:143" x14ac:dyDescent="0.25">
      <c r="B92" s="24">
        <f>$B$11+($B$10-$B$11)*81/99</f>
        <v>219.60000000000002</v>
      </c>
      <c r="C92" s="22">
        <v>29152.916735050938</v>
      </c>
      <c r="P92" s="22">
        <f>IF('Data-Plot'!C92="","",$Q$11+('Data-Plot'!C92-'Data-Plot'!D92)*$P$9)</f>
        <v>7668.8877808272473</v>
      </c>
      <c r="Q92" s="22">
        <f>IF('Data-Plot'!C92="","",MAX('Data-Plot'!$C$11:$C$1010)*(1+$Q$9/100))</f>
        <v>7796.25</v>
      </c>
      <c r="R92" s="22">
        <f>IF('Data-Plot'!C92="","",('Data-Plot'!C92-'Data-Plot'!D92)*$P$9)</f>
        <v>-127.36221917275293</v>
      </c>
      <c r="S92" s="20">
        <v>748.36221917275293</v>
      </c>
      <c r="T92" s="20">
        <v>8.0309862203104171E-7</v>
      </c>
      <c r="U92" s="20">
        <v>5.8766665587096968E-27</v>
      </c>
      <c r="V92" s="20">
        <v>4.4747644420647505</v>
      </c>
      <c r="W92" s="20">
        <v>16.544927519594506</v>
      </c>
      <c r="X92" s="20">
        <v>727.34252640799502</v>
      </c>
      <c r="AE92" s="22">
        <v>410</v>
      </c>
      <c r="AF92" s="22">
        <v>621</v>
      </c>
      <c r="AG92" s="22">
        <v>748.36221917275293</v>
      </c>
      <c r="AH92" s="22">
        <v>8.0309862203104171E-7</v>
      </c>
      <c r="AI92" s="22">
        <v>5.8766665587096968E-27</v>
      </c>
      <c r="AJ92" s="22">
        <v>4.4747644420647505</v>
      </c>
      <c r="AK92" s="22">
        <v>16.544927519594506</v>
      </c>
      <c r="AL92" s="22">
        <v>727.34252640799502</v>
      </c>
      <c r="AT92" s="22">
        <v>410</v>
      </c>
      <c r="AU92" s="22">
        <v>1240</v>
      </c>
      <c r="AV92" s="22">
        <v>1287.2450278790898</v>
      </c>
      <c r="AW92" s="22">
        <v>3.0459978938740951E-7</v>
      </c>
      <c r="AX92" s="22">
        <v>2.516188922310585E-26</v>
      </c>
      <c r="AY92" s="22">
        <v>6.2711702456067044</v>
      </c>
      <c r="AZ92" s="22">
        <v>73.207139388058266</v>
      </c>
      <c r="BA92" s="22">
        <v>1207.7667179408249</v>
      </c>
      <c r="BI92" s="22">
        <v>410</v>
      </c>
      <c r="BJ92" s="22">
        <v>1967</v>
      </c>
      <c r="BK92" s="22">
        <v>1916.9352704345374</v>
      </c>
      <c r="BL92" s="22">
        <v>2.3325820737671827E-14</v>
      </c>
      <c r="BM92" s="22">
        <v>7.7658115806633463E-12</v>
      </c>
      <c r="BN92" s="22">
        <v>3.670320728294111E-2</v>
      </c>
      <c r="BO92" s="22">
        <v>75.79440708324033</v>
      </c>
      <c r="BP92" s="22">
        <v>1841.1041601440063</v>
      </c>
      <c r="BX92" s="22">
        <v>410</v>
      </c>
      <c r="BY92" s="22">
        <v>2772</v>
      </c>
      <c r="BZ92" s="22">
        <v>2697.1005906450946</v>
      </c>
      <c r="CA92" s="22">
        <v>1.7882055733615014E-10</v>
      </c>
      <c r="CB92" s="22">
        <v>2.4490424844811218E-11</v>
      </c>
      <c r="CC92" s="22">
        <v>0.1281202678765094</v>
      </c>
      <c r="CD92" s="22">
        <v>95.790471849327162</v>
      </c>
      <c r="CE92" s="22">
        <v>2601.1819985276875</v>
      </c>
      <c r="CM92" s="22">
        <v>410</v>
      </c>
      <c r="CN92" s="22">
        <v>4776</v>
      </c>
      <c r="CO92" s="22">
        <v>4775.9726332354321</v>
      </c>
      <c r="CP92" s="22">
        <v>1.3033639460809327E-4</v>
      </c>
      <c r="CQ92" s="22">
        <v>2.5210938666801195E-10</v>
      </c>
      <c r="CR92" s="22">
        <v>3.6072484474830108E-2</v>
      </c>
      <c r="CS92" s="22">
        <v>230.16357584504161</v>
      </c>
      <c r="CT92" s="22">
        <v>4545.7728545692689</v>
      </c>
      <c r="DB92" s="22">
        <v>410</v>
      </c>
      <c r="DC92" s="22">
        <v>7206</v>
      </c>
      <c r="DD92" s="22">
        <v>7205.9551195323247</v>
      </c>
      <c r="DE92" s="22">
        <v>2.6304914314133416E-2</v>
      </c>
      <c r="DF92" s="22">
        <v>1.573316713982236E-9</v>
      </c>
      <c r="DG92" s="22">
        <v>9.6025725388047647</v>
      </c>
      <c r="DH92" s="22">
        <v>414.07000230720587</v>
      </c>
      <c r="DI92" s="22">
        <v>6782.2562397704269</v>
      </c>
      <c r="DQ92" s="22">
        <v>410</v>
      </c>
      <c r="DR92" s="22">
        <v>9188</v>
      </c>
      <c r="DS92" s="22">
        <v>9244.9707253394809</v>
      </c>
      <c r="DT92" s="22">
        <v>7.0903730752765654E-2</v>
      </c>
      <c r="DU92" s="22">
        <v>8.4930407571697954E-7</v>
      </c>
      <c r="DV92" s="22">
        <v>1.2842708538803834E-2</v>
      </c>
      <c r="DW92" s="22">
        <v>744.93846585551819</v>
      </c>
      <c r="DX92" s="22">
        <v>8495.9485121953676</v>
      </c>
      <c r="EF92" s="22">
        <v>410</v>
      </c>
      <c r="EG92" s="22">
        <v>11133</v>
      </c>
      <c r="EH92" s="22">
        <v>11171.608819471125</v>
      </c>
      <c r="EI92" s="22">
        <v>0.72525913478090953</v>
      </c>
      <c r="EJ92" s="22">
        <v>1.9348257059360117E-6</v>
      </c>
      <c r="EK92" s="22">
        <v>6.7586762476181214E-2</v>
      </c>
      <c r="EL92" s="22">
        <v>1405.8642310843236</v>
      </c>
      <c r="EM92" s="22">
        <v>9764.9517405547176</v>
      </c>
    </row>
    <row r="93" spans="2:143" x14ac:dyDescent="0.25">
      <c r="B93" s="24">
        <f>$B$11+($B$10-$B$11)*82/99</f>
        <v>222.06666666666666</v>
      </c>
      <c r="C93" s="22">
        <v>29441.110802756313</v>
      </c>
      <c r="P93" s="22">
        <f>IF('Data-Plot'!C93="","",$Q$11+('Data-Plot'!C93-'Data-Plot'!D93)*$P$9)</f>
        <v>7834.2005294238761</v>
      </c>
      <c r="Q93" s="22">
        <f>IF('Data-Plot'!C93="","",MAX('Data-Plot'!$C$11:$C$1010)*(1+$Q$9/100))</f>
        <v>7796.25</v>
      </c>
      <c r="R93" s="22">
        <f>IF('Data-Plot'!C93="","",('Data-Plot'!C93-'Data-Plot'!D93)*$P$9)</f>
        <v>37.950529423875764</v>
      </c>
      <c r="S93" s="20">
        <v>663.04947057612424</v>
      </c>
      <c r="T93" s="20">
        <v>5.7259197489773955E-7</v>
      </c>
      <c r="U93" s="20">
        <v>6.6240332502520338E-28</v>
      </c>
      <c r="V93" s="20">
        <v>3.6785226662213741</v>
      </c>
      <c r="W93" s="20">
        <v>9.9692896793459926</v>
      </c>
      <c r="X93" s="20">
        <v>649.40165765796485</v>
      </c>
      <c r="AE93" s="22">
        <v>415</v>
      </c>
      <c r="AF93" s="22">
        <v>701</v>
      </c>
      <c r="AG93" s="22">
        <v>663.04947057612424</v>
      </c>
      <c r="AH93" s="22">
        <v>5.7259197489773955E-7</v>
      </c>
      <c r="AI93" s="22">
        <v>6.6240332502520338E-28</v>
      </c>
      <c r="AJ93" s="22">
        <v>3.6785226662213741</v>
      </c>
      <c r="AK93" s="22">
        <v>9.9692896793459926</v>
      </c>
      <c r="AL93" s="22">
        <v>649.40165765796485</v>
      </c>
      <c r="AT93" s="22">
        <v>415</v>
      </c>
      <c r="AU93" s="22">
        <v>993</v>
      </c>
      <c r="AV93" s="22">
        <v>1113.637635447102</v>
      </c>
      <c r="AW93" s="22">
        <v>2.1248450770403105E-7</v>
      </c>
      <c r="AX93" s="22">
        <v>2.8948651156198418E-27</v>
      </c>
      <c r="AY93" s="22">
        <v>5.1397208827388283</v>
      </c>
      <c r="AZ93" s="22">
        <v>49.381819867795521</v>
      </c>
      <c r="BA93" s="22">
        <v>1059.1160944840831</v>
      </c>
      <c r="BI93" s="22">
        <v>415</v>
      </c>
      <c r="BJ93" s="22">
        <v>1698</v>
      </c>
      <c r="BK93" s="22">
        <v>1597.4614831080726</v>
      </c>
      <c r="BL93" s="22">
        <v>1.2301246188375287E-14</v>
      </c>
      <c r="BM93" s="22">
        <v>2.9002358807740573E-12</v>
      </c>
      <c r="BN93" s="22">
        <v>2.2324108743552385E-2</v>
      </c>
      <c r="BO93" s="22">
        <v>48.156742383424508</v>
      </c>
      <c r="BP93" s="22">
        <v>1549.2824166159016</v>
      </c>
      <c r="BX93" s="22">
        <v>415</v>
      </c>
      <c r="BY93" s="22">
        <v>2279</v>
      </c>
      <c r="BZ93" s="22">
        <v>2285.6002806105107</v>
      </c>
      <c r="CA93" s="22">
        <v>1.0940533660332447E-10</v>
      </c>
      <c r="CB93" s="22">
        <v>9.4161444924751158E-12</v>
      </c>
      <c r="CC93" s="22">
        <v>8.0585345843669387E-2</v>
      </c>
      <c r="CD93" s="22">
        <v>60.102232724545516</v>
      </c>
      <c r="CE93" s="22">
        <v>2225.4174625400028</v>
      </c>
      <c r="CM93" s="22">
        <v>415</v>
      </c>
      <c r="CN93" s="22">
        <v>4117</v>
      </c>
      <c r="CO93" s="22">
        <v>4016.8757196841962</v>
      </c>
      <c r="CP93" s="22">
        <v>9.8135544006864426E-5</v>
      </c>
      <c r="CQ93" s="22">
        <v>1.0315938946295364E-10</v>
      </c>
      <c r="CR93" s="22">
        <v>2.027939422864123E-2</v>
      </c>
      <c r="CS93" s="22">
        <v>149.86137624498116</v>
      </c>
      <c r="CT93" s="22">
        <v>3866.9939659093393</v>
      </c>
      <c r="DB93" s="22">
        <v>415</v>
      </c>
      <c r="DC93" s="22">
        <v>6351</v>
      </c>
      <c r="DD93" s="22">
        <v>6080.2574017601537</v>
      </c>
      <c r="DE93" s="22">
        <v>2.1348951176617458E-2</v>
      </c>
      <c r="DF93" s="22">
        <v>6.7786813313005547E-10</v>
      </c>
      <c r="DG93" s="22">
        <v>7.0629861107255181</v>
      </c>
      <c r="DH93" s="22">
        <v>276.39106838582359</v>
      </c>
      <c r="DI93" s="22">
        <v>5796.7819983117497</v>
      </c>
      <c r="DQ93" s="22">
        <v>415</v>
      </c>
      <c r="DR93" s="22">
        <v>7829</v>
      </c>
      <c r="DS93" s="22">
        <v>7763.6516986274682</v>
      </c>
      <c r="DT93" s="22">
        <v>5.8132991298971752E-2</v>
      </c>
      <c r="DU93" s="22">
        <v>4.4107943402433022E-7</v>
      </c>
      <c r="DV93" s="22">
        <v>6.3942496485707521E-3</v>
      </c>
      <c r="DW93" s="22">
        <v>516.75141001784414</v>
      </c>
      <c r="DX93" s="22">
        <v>7242.8357609275972</v>
      </c>
      <c r="EF93" s="22">
        <v>415</v>
      </c>
      <c r="EG93" s="22">
        <v>9463</v>
      </c>
      <c r="EH93" s="22">
        <v>9440.6615244157274</v>
      </c>
      <c r="EI93" s="22">
        <v>0.61328117234420199</v>
      </c>
      <c r="EJ93" s="22">
        <v>1.0270335495820411E-6</v>
      </c>
      <c r="EK93" s="22">
        <v>3.7256306486672677E-2</v>
      </c>
      <c r="EL93" s="22">
        <v>1025.4352377246819</v>
      </c>
      <c r="EM93" s="22">
        <v>8414.5757481851815</v>
      </c>
    </row>
    <row r="94" spans="2:143" x14ac:dyDescent="0.25">
      <c r="B94" s="24">
        <f>$B$11+($B$10-$B$11)*83/99</f>
        <v>224.53333333333333</v>
      </c>
      <c r="C94" s="22">
        <v>29728.43901059655</v>
      </c>
      <c r="P94" s="22">
        <f>IF('Data-Plot'!C94="","",$Q$11+('Data-Plot'!C94-'Data-Plot'!D94)*$P$9)</f>
        <v>7688.3352508000416</v>
      </c>
      <c r="Q94" s="22">
        <f>IF('Data-Plot'!C94="","",MAX('Data-Plot'!$C$11:$C$1010)*(1+$Q$9/100))</f>
        <v>7796.25</v>
      </c>
      <c r="R94" s="22">
        <f>IF('Data-Plot'!C94="","",('Data-Plot'!C94-'Data-Plot'!D94)*$P$9)</f>
        <v>-107.91474919995812</v>
      </c>
      <c r="S94" s="20">
        <v>565.91474919995812</v>
      </c>
      <c r="T94" s="20">
        <v>4.1011828844991013E-7</v>
      </c>
      <c r="U94" s="20">
        <v>7.67204280220792E-29</v>
      </c>
      <c r="V94" s="20">
        <v>3.0310731468421519</v>
      </c>
      <c r="W94" s="20">
        <v>5.9701779430714463</v>
      </c>
      <c r="X94" s="20">
        <v>556.91349769992621</v>
      </c>
      <c r="AE94" s="22">
        <v>420</v>
      </c>
      <c r="AF94" s="22">
        <v>458</v>
      </c>
      <c r="AG94" s="22">
        <v>565.91474919995812</v>
      </c>
      <c r="AH94" s="22">
        <v>4.1011828844991013E-7</v>
      </c>
      <c r="AI94" s="22">
        <v>7.67204280220792E-29</v>
      </c>
      <c r="AJ94" s="22">
        <v>3.0310731468421519</v>
      </c>
      <c r="AK94" s="22">
        <v>5.9701779430714463</v>
      </c>
      <c r="AL94" s="22">
        <v>556.91349769992621</v>
      </c>
      <c r="AT94" s="22">
        <v>420</v>
      </c>
      <c r="AU94" s="22">
        <v>987</v>
      </c>
      <c r="AV94" s="22">
        <v>928.17394850920471</v>
      </c>
      <c r="AW94" s="22">
        <v>1.4895084437979288E-7</v>
      </c>
      <c r="AX94" s="22">
        <v>3.4213463354224144E-28</v>
      </c>
      <c r="AY94" s="22">
        <v>4.2226489804149185</v>
      </c>
      <c r="AZ94" s="22">
        <v>33.226715698085364</v>
      </c>
      <c r="BA94" s="22">
        <v>890.72458368175353</v>
      </c>
      <c r="BI94" s="22">
        <v>420</v>
      </c>
      <c r="BJ94" s="22">
        <v>1259</v>
      </c>
      <c r="BK94" s="22">
        <v>1280.2660852486827</v>
      </c>
      <c r="BL94" s="22">
        <v>6.5441085814545025E-15</v>
      </c>
      <c r="BM94" s="22">
        <v>1.0971863712887492E-12</v>
      </c>
      <c r="BN94" s="22">
        <v>1.3648361857997685E-2</v>
      </c>
      <c r="BO94" s="22">
        <v>30.482318944108936</v>
      </c>
      <c r="BP94" s="22">
        <v>1249.7701179427147</v>
      </c>
      <c r="BX94" s="22">
        <v>420</v>
      </c>
      <c r="BY94" s="22">
        <v>1809</v>
      </c>
      <c r="BZ94" s="22">
        <v>1867.3096290027534</v>
      </c>
      <c r="CA94" s="22">
        <v>6.7384750406087745E-11</v>
      </c>
      <c r="CB94" s="22">
        <v>3.6660091950161201E-12</v>
      </c>
      <c r="CC94" s="22">
        <v>5.092685367615226E-2</v>
      </c>
      <c r="CD94" s="22">
        <v>37.557622955172796</v>
      </c>
      <c r="CE94" s="22">
        <v>1829.7010791938333</v>
      </c>
      <c r="CM94" s="22">
        <v>420</v>
      </c>
      <c r="CN94" s="22">
        <v>3260</v>
      </c>
      <c r="CO94" s="22">
        <v>3268.5676964702593</v>
      </c>
      <c r="CP94" s="22">
        <v>7.4173463981354473E-5</v>
      </c>
      <c r="CQ94" s="22">
        <v>4.2710480791478605E-11</v>
      </c>
      <c r="CR94" s="22">
        <v>1.1465469330052578E-2</v>
      </c>
      <c r="CS94" s="22">
        <v>97.355758598718197</v>
      </c>
      <c r="CT94" s="22">
        <v>3171.2003982287042</v>
      </c>
      <c r="DB94" s="22">
        <v>420</v>
      </c>
      <c r="DC94" s="22">
        <v>4974</v>
      </c>
      <c r="DD94" s="22">
        <v>4978.0308791180587</v>
      </c>
      <c r="DE94" s="22">
        <v>1.7375178865491982E-2</v>
      </c>
      <c r="DF94" s="22">
        <v>2.9532324591276997E-10</v>
      </c>
      <c r="DG94" s="22">
        <v>5.2130562742328364</v>
      </c>
      <c r="DH94" s="22">
        <v>184.24085527996937</v>
      </c>
      <c r="DI94" s="22">
        <v>4788.5595923846959</v>
      </c>
      <c r="DQ94" s="22">
        <v>420</v>
      </c>
      <c r="DR94" s="22">
        <v>6305</v>
      </c>
      <c r="DS94" s="22">
        <v>6323.0796510160635</v>
      </c>
      <c r="DT94" s="22">
        <v>4.778906638813267E-2</v>
      </c>
      <c r="DU94" s="22">
        <v>2.3107141880389335E-7</v>
      </c>
      <c r="DV94" s="22">
        <v>3.2040767690847453E-3</v>
      </c>
      <c r="DW94" s="22">
        <v>358.36110793966213</v>
      </c>
      <c r="DX94" s="22">
        <v>5960.6675497021724</v>
      </c>
      <c r="EF94" s="22">
        <v>420</v>
      </c>
      <c r="EG94" s="22">
        <v>7790</v>
      </c>
      <c r="EH94" s="22">
        <v>7724.8941752479632</v>
      </c>
      <c r="EI94" s="22">
        <v>0.51974898666578428</v>
      </c>
      <c r="EJ94" s="22">
        <v>5.4976840126017311E-7</v>
      </c>
      <c r="EK94" s="22">
        <v>2.0660092157555574E-2</v>
      </c>
      <c r="EL94" s="22">
        <v>748.32880421319919</v>
      </c>
      <c r="EM94" s="22">
        <v>6976.0249614061722</v>
      </c>
    </row>
    <row r="95" spans="2:143" x14ac:dyDescent="0.25">
      <c r="B95" s="24">
        <f>$B$11+($B$10-$B$11)*84/99</f>
        <v>227</v>
      </c>
      <c r="C95" s="22">
        <v>30014.903959989861</v>
      </c>
      <c r="P95" s="22">
        <f>IF('Data-Plot'!C95="","",$Q$11+('Data-Plot'!C95-'Data-Plot'!D95)*$P$9)</f>
        <v>7796.2486902440069</v>
      </c>
      <c r="Q95" s="22">
        <f>IF('Data-Plot'!C95="","",MAX('Data-Plot'!$C$11:$C$1010)*(1+$Q$9/100))</f>
        <v>7796.25</v>
      </c>
      <c r="R95" s="22">
        <f>IF('Data-Plot'!C95="","",('Data-Plot'!C95-'Data-Plot'!D95)*$P$9)</f>
        <v>-1.3097559926791291E-3</v>
      </c>
      <c r="S95" s="20">
        <v>468.00130975599268</v>
      </c>
      <c r="T95" s="20">
        <v>2.9506597169546763E-7</v>
      </c>
      <c r="U95" s="20">
        <v>9.1289850355295938E-30</v>
      </c>
      <c r="V95" s="20">
        <v>2.5034382919699554</v>
      </c>
      <c r="W95" s="20">
        <v>3.5604153781260104</v>
      </c>
      <c r="X95" s="20">
        <v>461.93745579083077</v>
      </c>
      <c r="AE95" s="22">
        <v>425</v>
      </c>
      <c r="AF95" s="22">
        <v>468</v>
      </c>
      <c r="AG95" s="22">
        <v>468.00130975599268</v>
      </c>
      <c r="AH95" s="22">
        <v>2.9506597169546763E-7</v>
      </c>
      <c r="AI95" s="22">
        <v>9.1289850355295938E-30</v>
      </c>
      <c r="AJ95" s="22">
        <v>2.5034382919699554</v>
      </c>
      <c r="AK95" s="22">
        <v>3.5604153781260104</v>
      </c>
      <c r="AL95" s="22">
        <v>461.93745579083077</v>
      </c>
      <c r="AT95" s="22">
        <v>425</v>
      </c>
      <c r="AU95" s="22">
        <v>639</v>
      </c>
      <c r="AV95" s="22">
        <v>749.46236298409337</v>
      </c>
      <c r="AW95" s="22">
        <v>1.049137860104914E-7</v>
      </c>
      <c r="AX95" s="22">
        <v>4.1531380663585824E-29</v>
      </c>
      <c r="AY95" s="22">
        <v>3.4775979931326249</v>
      </c>
      <c r="AZ95" s="22">
        <v>22.328254493924955</v>
      </c>
      <c r="BA95" s="22">
        <v>723.65651039212196</v>
      </c>
      <c r="BI95" s="22">
        <v>425</v>
      </c>
      <c r="BJ95" s="22">
        <v>991</v>
      </c>
      <c r="BK95" s="22">
        <v>993.30664009244504</v>
      </c>
      <c r="BL95" s="22">
        <v>3.5112526127561928E-15</v>
      </c>
      <c r="BM95" s="22">
        <v>4.2038492092188037E-13</v>
      </c>
      <c r="BN95" s="22">
        <v>8.3885406674386459E-3</v>
      </c>
      <c r="BO95" s="22">
        <v>19.252330586772949</v>
      </c>
      <c r="BP95" s="22">
        <v>974.04592096500426</v>
      </c>
      <c r="BX95" s="22">
        <v>425</v>
      </c>
      <c r="BY95" s="22">
        <v>1480</v>
      </c>
      <c r="BZ95" s="22">
        <v>1480.0397943792366</v>
      </c>
      <c r="CA95" s="22">
        <v>4.1775942954652253E-11</v>
      </c>
      <c r="CB95" s="22">
        <v>1.4450322459641002E-12</v>
      </c>
      <c r="CC95" s="22">
        <v>3.2341072032356331E-2</v>
      </c>
      <c r="CD95" s="22">
        <v>23.412539877618308</v>
      </c>
      <c r="CE95" s="22">
        <v>1456.5949134295427</v>
      </c>
      <c r="CM95" s="22">
        <v>425</v>
      </c>
      <c r="CN95" s="22">
        <v>2612</v>
      </c>
      <c r="CO95" s="22">
        <v>2588.7961337906027</v>
      </c>
      <c r="CP95" s="22">
        <v>5.6272707469463789E-5</v>
      </c>
      <c r="CQ95" s="22">
        <v>1.7889086565871554E-11</v>
      </c>
      <c r="CR95" s="22">
        <v>6.5205329879344763E-3</v>
      </c>
      <c r="CS95" s="22">
        <v>63.184153079724922</v>
      </c>
      <c r="CT95" s="22">
        <v>2525.6054039051646</v>
      </c>
      <c r="DB95" s="22">
        <v>425</v>
      </c>
      <c r="DC95" s="22">
        <v>3948</v>
      </c>
      <c r="DD95" s="22">
        <v>3977.2215219447489</v>
      </c>
      <c r="DE95" s="22">
        <v>1.4179794893319626E-2</v>
      </c>
      <c r="DF95" s="22">
        <v>1.3007615422328691E-10</v>
      </c>
      <c r="DG95" s="22">
        <v>3.8611435171170863</v>
      </c>
      <c r="DH95" s="22">
        <v>122.78133652605938</v>
      </c>
      <c r="DI95" s="22">
        <v>3850.5648621065493</v>
      </c>
      <c r="DQ95" s="22">
        <v>425</v>
      </c>
      <c r="DR95" s="22">
        <v>5023</v>
      </c>
      <c r="DS95" s="22">
        <v>5022.7338524079469</v>
      </c>
      <c r="DT95" s="22">
        <v>3.938790040892088E-2</v>
      </c>
      <c r="DU95" s="22">
        <v>1.220921738575334E-7</v>
      </c>
      <c r="DV95" s="22">
        <v>1.6163940554538559E-3</v>
      </c>
      <c r="DW95" s="22">
        <v>248.65726331149762</v>
      </c>
      <c r="DX95" s="22">
        <v>4770.035584679893</v>
      </c>
      <c r="EF95" s="22">
        <v>425</v>
      </c>
      <c r="EG95" s="22">
        <v>6207</v>
      </c>
      <c r="EH95" s="22">
        <v>6152.4307746429295</v>
      </c>
      <c r="EI95" s="22">
        <v>0.44144364043679146</v>
      </c>
      <c r="EJ95" s="22">
        <v>2.9673255363542467E-7</v>
      </c>
      <c r="EK95" s="22">
        <v>1.1527895034603842E-2</v>
      </c>
      <c r="EL95" s="22">
        <v>546.70860225231706</v>
      </c>
      <c r="EM95" s="22">
        <v>5605.2692005584086</v>
      </c>
    </row>
    <row r="96" spans="2:143" x14ac:dyDescent="0.25">
      <c r="B96" s="24">
        <f>$B$11+($B$10-$B$11)*85/99</f>
        <v>229.46666666666667</v>
      </c>
      <c r="C96" s="22">
        <v>30300.508244538702</v>
      </c>
      <c r="P96" s="22">
        <f>IF('Data-Plot'!C96="","",$Q$11+('Data-Plot'!C96-'Data-Plot'!D96)*$P$9)</f>
        <v>7744.9163503421423</v>
      </c>
      <c r="Q96" s="22">
        <f>IF('Data-Plot'!C96="","",MAX('Data-Plot'!$C$11:$C$1010)*(1+$Q$9/100))</f>
        <v>7796.25</v>
      </c>
      <c r="R96" s="22">
        <f>IF('Data-Plot'!C96="","",('Data-Plot'!C96-'Data-Plot'!D96)*$P$9)</f>
        <v>-51.333649657857336</v>
      </c>
      <c r="S96" s="20">
        <v>377.33364965785734</v>
      </c>
      <c r="T96" s="20">
        <v>2.1322345340454027E-7</v>
      </c>
      <c r="U96" s="20">
        <v>1.1157288531728289E-30</v>
      </c>
      <c r="V96" s="20">
        <v>2.0724761082848411</v>
      </c>
      <c r="W96" s="20">
        <v>2.1180883868222269</v>
      </c>
      <c r="X96" s="20">
        <v>373.14308494952684</v>
      </c>
      <c r="AE96" s="22">
        <v>430</v>
      </c>
      <c r="AF96" s="22">
        <v>326</v>
      </c>
      <c r="AG96" s="22">
        <v>377.33364965785734</v>
      </c>
      <c r="AH96" s="22">
        <v>2.1322345340454027E-7</v>
      </c>
      <c r="AI96" s="22">
        <v>1.1157288531728289E-30</v>
      </c>
      <c r="AJ96" s="22">
        <v>2.0724761082848411</v>
      </c>
      <c r="AK96" s="22">
        <v>2.1180883868222269</v>
      </c>
      <c r="AL96" s="22">
        <v>373.14308494952684</v>
      </c>
      <c r="AT96" s="22">
        <v>430</v>
      </c>
      <c r="AU96" s="22">
        <v>616</v>
      </c>
      <c r="AV96" s="22">
        <v>589.89302237652419</v>
      </c>
      <c r="AW96" s="22">
        <v>7.4242590329577562E-8</v>
      </c>
      <c r="AX96" s="22">
        <v>5.1768944704406999E-30</v>
      </c>
      <c r="AY96" s="22">
        <v>2.8708770363846381</v>
      </c>
      <c r="AZ96" s="22">
        <v>15.001005590436332</v>
      </c>
      <c r="BA96" s="22">
        <v>572.02113967546063</v>
      </c>
      <c r="BI96" s="22">
        <v>430</v>
      </c>
      <c r="BJ96" s="22">
        <v>648</v>
      </c>
      <c r="BK96" s="22">
        <v>751.14215728960971</v>
      </c>
      <c r="BL96" s="22">
        <v>1.8997959957446186E-15</v>
      </c>
      <c r="BM96" s="22">
        <v>1.6309820901991726E-13</v>
      </c>
      <c r="BN96" s="22">
        <v>5.183647301469225E-3</v>
      </c>
      <c r="BO96" s="22">
        <v>12.148702945085111</v>
      </c>
      <c r="BP96" s="22">
        <v>738.98827069722302</v>
      </c>
      <c r="BX96" s="22">
        <v>430</v>
      </c>
      <c r="BY96" s="22">
        <v>1040</v>
      </c>
      <c r="BZ96" s="22">
        <v>1145.3845030760504</v>
      </c>
      <c r="CA96" s="22">
        <v>2.6065948665148209E-11</v>
      </c>
      <c r="CB96" s="22">
        <v>5.7655666921505212E-13</v>
      </c>
      <c r="CC96" s="22">
        <v>2.064067684661456E-2</v>
      </c>
      <c r="CD96" s="22">
        <v>14.579255388930312</v>
      </c>
      <c r="CE96" s="22">
        <v>1130.7846070102469</v>
      </c>
      <c r="CM96" s="22">
        <v>430</v>
      </c>
      <c r="CN96" s="22">
        <v>1925</v>
      </c>
      <c r="CO96" s="22">
        <v>2007.7626019296463</v>
      </c>
      <c r="CP96" s="22">
        <v>4.2848977020019393E-5</v>
      </c>
      <c r="CQ96" s="22">
        <v>7.5786114244176246E-12</v>
      </c>
      <c r="CR96" s="22">
        <v>3.7307730825483633E-3</v>
      </c>
      <c r="CS96" s="22">
        <v>41.010230372786125</v>
      </c>
      <c r="CT96" s="22">
        <v>1966.748597934793</v>
      </c>
      <c r="DB96" s="22">
        <v>430</v>
      </c>
      <c r="DC96" s="22">
        <v>3427</v>
      </c>
      <c r="DD96" s="22">
        <v>3118.2379588071331</v>
      </c>
      <c r="DE96" s="22">
        <v>1.1603100840176114E-2</v>
      </c>
      <c r="DF96" s="22">
        <v>5.7911908462045532E-11</v>
      </c>
      <c r="DG96" s="22">
        <v>2.8699005231889818</v>
      </c>
      <c r="DH96" s="22">
        <v>81.875530494963556</v>
      </c>
      <c r="DI96" s="22">
        <v>3033.4809246880823</v>
      </c>
      <c r="DQ96" s="22">
        <v>430</v>
      </c>
      <c r="DR96" s="22">
        <v>4000</v>
      </c>
      <c r="DS96" s="22">
        <v>3913.2185980865534</v>
      </c>
      <c r="DT96" s="22">
        <v>3.2546350532932165E-2</v>
      </c>
      <c r="DU96" s="22">
        <v>6.5054499628170227E-8</v>
      </c>
      <c r="DV96" s="22">
        <v>8.2117544564228799E-4</v>
      </c>
      <c r="DW96" s="22">
        <v>172.75056313037956</v>
      </c>
      <c r="DX96" s="22">
        <v>3736.4346673651407</v>
      </c>
      <c r="EF96" s="22">
        <v>430</v>
      </c>
      <c r="EG96" s="22">
        <v>4791</v>
      </c>
      <c r="EH96" s="22">
        <v>4795.9953826260198</v>
      </c>
      <c r="EI96" s="22">
        <v>0.37573791292819764</v>
      </c>
      <c r="EJ96" s="22">
        <v>1.6146496864176318E-7</v>
      </c>
      <c r="EK96" s="22">
        <v>6.4731876846742436E-3</v>
      </c>
      <c r="EL96" s="22">
        <v>400.04471335099089</v>
      </c>
      <c r="EM96" s="22">
        <v>4395.5684580129509</v>
      </c>
    </row>
    <row r="97" spans="2:143" x14ac:dyDescent="0.25">
      <c r="B97" s="24">
        <f>$B$11+($B$10-$B$11)*86/99</f>
        <v>231.93333333333337</v>
      </c>
      <c r="C97" s="22">
        <v>30585.254450053249</v>
      </c>
      <c r="P97" s="22">
        <f>IF('Data-Plot'!C97="","",$Q$11+('Data-Plot'!C97-'Data-Plot'!D97)*$P$9)</f>
        <v>7822.9035086210479</v>
      </c>
      <c r="Q97" s="22">
        <f>IF('Data-Plot'!C97="","",MAX('Data-Plot'!$C$11:$C$1010)*(1+$Q$9/100))</f>
        <v>7796.25</v>
      </c>
      <c r="R97" s="22">
        <f>IF('Data-Plot'!C97="","",('Data-Plot'!C97-'Data-Plot'!D97)*$P$9)</f>
        <v>26.653508621047422</v>
      </c>
      <c r="S97" s="20">
        <v>298.34649137895258</v>
      </c>
      <c r="T97" s="20">
        <v>1.5474531603950189E-7</v>
      </c>
      <c r="U97" s="20">
        <v>1.4002386813187836E-31</v>
      </c>
      <c r="V97" s="20">
        <v>1.7196757994013976</v>
      </c>
      <c r="W97" s="20">
        <v>1.2587595645666516</v>
      </c>
      <c r="X97" s="20">
        <v>295.36805586023922</v>
      </c>
      <c r="AE97" s="22">
        <v>435</v>
      </c>
      <c r="AF97" s="22">
        <v>325</v>
      </c>
      <c r="AG97" s="22">
        <v>298.34649137895258</v>
      </c>
      <c r="AH97" s="22">
        <v>1.5474531603950189E-7</v>
      </c>
      <c r="AI97" s="22">
        <v>1.4002386813187836E-31</v>
      </c>
      <c r="AJ97" s="22">
        <v>1.7196757994013976</v>
      </c>
      <c r="AK97" s="22">
        <v>1.2587595645666516</v>
      </c>
      <c r="AL97" s="22">
        <v>295.36805586023922</v>
      </c>
      <c r="AT97" s="22">
        <v>435</v>
      </c>
      <c r="AU97" s="22">
        <v>308</v>
      </c>
      <c r="AV97" s="22">
        <v>455.24694794744619</v>
      </c>
      <c r="AW97" s="22">
        <v>5.2779209953887758E-8</v>
      </c>
      <c r="AX97" s="22">
        <v>6.624602224430631E-31</v>
      </c>
      <c r="AY97" s="22">
        <v>2.3756392124489696</v>
      </c>
      <c r="AZ97" s="22">
        <v>10.084585502797511</v>
      </c>
      <c r="BA97" s="22">
        <v>442.78672317942051</v>
      </c>
      <c r="BI97" s="22">
        <v>435</v>
      </c>
      <c r="BJ97" s="22">
        <v>616</v>
      </c>
      <c r="BK97" s="22">
        <v>557.08488763011871</v>
      </c>
      <c r="BL97" s="22">
        <v>1.0363593587168675E-15</v>
      </c>
      <c r="BM97" s="22">
        <v>6.406192339173397E-14</v>
      </c>
      <c r="BN97" s="22">
        <v>3.2207377415302118E-3</v>
      </c>
      <c r="BO97" s="22">
        <v>7.6676272558101664</v>
      </c>
      <c r="BP97" s="22">
        <v>549.41403963656694</v>
      </c>
      <c r="BX97" s="22">
        <v>435</v>
      </c>
      <c r="BY97" s="22">
        <v>788</v>
      </c>
      <c r="BZ97" s="22">
        <v>870.54184610610969</v>
      </c>
      <c r="CA97" s="22">
        <v>1.6366136364836746E-11</v>
      </c>
      <c r="CB97" s="22">
        <v>2.3281009842831211E-13</v>
      </c>
      <c r="CC97" s="22">
        <v>1.3239909329585117E-2</v>
      </c>
      <c r="CD97" s="22">
        <v>9.0793484324239042</v>
      </c>
      <c r="CE97" s="22">
        <v>861.44925776433956</v>
      </c>
      <c r="CM97" s="22">
        <v>435</v>
      </c>
      <c r="CN97" s="22">
        <v>1708</v>
      </c>
      <c r="CO97" s="22">
        <v>1532.962048511959</v>
      </c>
      <c r="CP97" s="22">
        <v>3.2744909677765783E-5</v>
      </c>
      <c r="CQ97" s="22">
        <v>3.2468120877076372E-12</v>
      </c>
      <c r="CR97" s="22">
        <v>2.1477688292777467E-3</v>
      </c>
      <c r="CS97" s="22">
        <v>26.643811405418976</v>
      </c>
      <c r="CT97" s="22">
        <v>1506.3160565927978</v>
      </c>
      <c r="DB97" s="22">
        <v>435</v>
      </c>
      <c r="DC97" s="22">
        <v>2586</v>
      </c>
      <c r="DD97" s="22">
        <v>2410.9580051372432</v>
      </c>
      <c r="DE97" s="22">
        <v>9.5195810021579761E-3</v>
      </c>
      <c r="DF97" s="22">
        <v>2.6057311113028774E-11</v>
      </c>
      <c r="DG97" s="22">
        <v>2.140653431354099</v>
      </c>
      <c r="DH97" s="22">
        <v>54.672887380481399</v>
      </c>
      <c r="DI97" s="22">
        <v>2354.1349447443795</v>
      </c>
      <c r="DQ97" s="22">
        <v>435</v>
      </c>
      <c r="DR97" s="22">
        <v>3114</v>
      </c>
      <c r="DS97" s="22">
        <v>3005.3396584516754</v>
      </c>
      <c r="DT97" s="22">
        <v>2.6960277101213199E-2</v>
      </c>
      <c r="DU97" s="22">
        <v>3.4950253039351936E-8</v>
      </c>
      <c r="DV97" s="22">
        <v>4.201958299127306E-4</v>
      </c>
      <c r="DW97" s="22">
        <v>120.23112559185284</v>
      </c>
      <c r="DX97" s="22">
        <v>2881.081152351941</v>
      </c>
      <c r="EF97" s="22">
        <v>435</v>
      </c>
      <c r="EG97" s="22">
        <v>3549</v>
      </c>
      <c r="EH97" s="22">
        <v>3678.2805988225764</v>
      </c>
      <c r="EI97" s="22">
        <v>0.32048225659021978</v>
      </c>
      <c r="EJ97" s="22">
        <v>8.8563840861674759E-8</v>
      </c>
      <c r="EK97" s="22">
        <v>3.6583124209907986E-3</v>
      </c>
      <c r="EL97" s="22">
        <v>293.3044914811997</v>
      </c>
      <c r="EM97" s="22">
        <v>3384.6519666838017</v>
      </c>
    </row>
    <row r="98" spans="2:143" x14ac:dyDescent="0.25">
      <c r="B98" s="24">
        <f>$B$11+($B$10-$B$11)*87/99</f>
        <v>234.39999999999998</v>
      </c>
      <c r="C98" s="22">
        <v>30869.145154574733</v>
      </c>
      <c r="P98" s="22">
        <f>IF('Data-Plot'!C98="","",$Q$11+('Data-Plot'!C98-'Data-Plot'!D98)*$P$9)</f>
        <v>7833.7398402140661</v>
      </c>
      <c r="Q98" s="22">
        <f>IF('Data-Plot'!C98="","",MAX('Data-Plot'!$C$11:$C$1010)*(1+$Q$9/100))</f>
        <v>7796.25</v>
      </c>
      <c r="R98" s="22">
        <f>IF('Data-Plot'!C98="","",('Data-Plot'!C98-'Data-Plot'!D98)*$P$9)</f>
        <v>37.489840214066504</v>
      </c>
      <c r="S98" s="20">
        <v>232.5101597859335</v>
      </c>
      <c r="T98" s="20">
        <v>1.1277910646577669E-7</v>
      </c>
      <c r="U98" s="20">
        <v>1.8039321267265731E-32</v>
      </c>
      <c r="V98" s="20">
        <v>1.4302052292495304</v>
      </c>
      <c r="W98" s="20">
        <v>0.74820542555922509</v>
      </c>
      <c r="X98" s="20">
        <v>230.33174901834565</v>
      </c>
      <c r="AE98" s="22">
        <v>440</v>
      </c>
      <c r="AF98" s="22">
        <v>270</v>
      </c>
      <c r="AG98" s="22">
        <v>232.5101597859335</v>
      </c>
      <c r="AH98" s="22">
        <v>1.1277910646577669E-7</v>
      </c>
      <c r="AI98" s="22">
        <v>1.8039321267265731E-32</v>
      </c>
      <c r="AJ98" s="22">
        <v>1.4302052292495304</v>
      </c>
      <c r="AK98" s="22">
        <v>0.74820542555922509</v>
      </c>
      <c r="AL98" s="22">
        <v>230.33174901834565</v>
      </c>
      <c r="AT98" s="22">
        <v>440</v>
      </c>
      <c r="AU98" s="22">
        <v>346</v>
      </c>
      <c r="AV98" s="22">
        <v>346.26563059995664</v>
      </c>
      <c r="AW98" s="22">
        <v>3.7689575666071137E-8</v>
      </c>
      <c r="AX98" s="22">
        <v>8.6999512286027678E-32</v>
      </c>
      <c r="AY98" s="22">
        <v>1.9704497478894401</v>
      </c>
      <c r="AZ98" s="22">
        <v>6.7885230836150781</v>
      </c>
      <c r="BA98" s="22">
        <v>337.50665773076253</v>
      </c>
      <c r="BI98" s="22">
        <v>440</v>
      </c>
      <c r="BJ98" s="22">
        <v>710</v>
      </c>
      <c r="BK98" s="22">
        <v>407.37910910157598</v>
      </c>
      <c r="BL98" s="22">
        <v>5.6990111668723902E-16</v>
      </c>
      <c r="BM98" s="22">
        <v>2.5468969327460927E-14</v>
      </c>
      <c r="BN98" s="22">
        <v>2.0121529477695496E-3</v>
      </c>
      <c r="BO98" s="22">
        <v>4.8447177781736466</v>
      </c>
      <c r="BP98" s="22">
        <v>402.53237917045453</v>
      </c>
      <c r="BX98" s="22">
        <v>440</v>
      </c>
      <c r="BY98" s="22">
        <v>943</v>
      </c>
      <c r="BZ98" s="22">
        <v>653.06101687344096</v>
      </c>
      <c r="CA98" s="22">
        <v>1.0339235387631286E-11</v>
      </c>
      <c r="CB98" s="22">
        <v>9.5119725719453472E-14</v>
      </c>
      <c r="CC98" s="22">
        <v>8.5360033912720134E-3</v>
      </c>
      <c r="CD98" s="22">
        <v>5.6600220681921778</v>
      </c>
      <c r="CE98" s="22">
        <v>647.39245880184706</v>
      </c>
      <c r="CM98" s="22">
        <v>440</v>
      </c>
      <c r="CN98" s="22">
        <v>1029</v>
      </c>
      <c r="CO98" s="22">
        <v>1157.4765111085208</v>
      </c>
      <c r="CP98" s="22">
        <v>2.5111694079022884E-5</v>
      </c>
      <c r="CQ98" s="22">
        <v>1.406397663882215E-12</v>
      </c>
      <c r="CR98" s="22">
        <v>1.244170928749935E-3</v>
      </c>
      <c r="CS98" s="22">
        <v>17.339415755626039</v>
      </c>
      <c r="CT98" s="22">
        <v>1140.1358260702705</v>
      </c>
      <c r="DB98" s="22">
        <v>440</v>
      </c>
      <c r="DC98" s="22">
        <v>1952</v>
      </c>
      <c r="DD98" s="22">
        <v>1845.8917019348683</v>
      </c>
      <c r="DE98" s="22">
        <v>7.8302944552726926E-3</v>
      </c>
      <c r="DF98" s="22">
        <v>1.1846872533193792E-11</v>
      </c>
      <c r="DG98" s="22">
        <v>1.6023243232539666</v>
      </c>
      <c r="DH98" s="22">
        <v>36.58030364838563</v>
      </c>
      <c r="DI98" s="22">
        <v>1807.7012436687614</v>
      </c>
      <c r="DQ98" s="22">
        <v>440</v>
      </c>
      <c r="DR98" s="22">
        <v>2100</v>
      </c>
      <c r="DS98" s="22">
        <v>2284.8391930444864</v>
      </c>
      <c r="DT98" s="22">
        <v>2.238757290880691E-2</v>
      </c>
      <c r="DU98" s="22">
        <v>1.8929644525277414E-8</v>
      </c>
      <c r="DV98" s="22">
        <v>2.1659683275303189E-4</v>
      </c>
      <c r="DW98" s="22">
        <v>83.86634110016665</v>
      </c>
      <c r="DX98" s="22">
        <v>2196.9502477556484</v>
      </c>
      <c r="EF98" s="22">
        <v>440</v>
      </c>
      <c r="EG98" s="22">
        <v>2882</v>
      </c>
      <c r="EH98" s="22">
        <v>2788.002265804309</v>
      </c>
      <c r="EI98" s="22">
        <v>0.27391370847576174</v>
      </c>
      <c r="EJ98" s="22">
        <v>4.8959513080315456E-8</v>
      </c>
      <c r="EK98" s="22">
        <v>2.0809638386925572E-3</v>
      </c>
      <c r="EL98" s="22">
        <v>215.53624478832629</v>
      </c>
      <c r="EM98" s="22">
        <v>2572.1900262947088</v>
      </c>
    </row>
    <row r="99" spans="2:143" x14ac:dyDescent="0.25">
      <c r="B99" s="24">
        <f>$B$11+($B$10-$B$11)*88/99</f>
        <v>236.86666666666667</v>
      </c>
      <c r="C99" s="22">
        <v>31152.182928398877</v>
      </c>
      <c r="P99" s="22">
        <f>IF('Data-Plot'!C99="","",$Q$11+('Data-Plot'!C99-'Data-Plot'!D99)*$P$9)</f>
        <v>7797.8942575822484</v>
      </c>
      <c r="Q99" s="22">
        <f>IF('Data-Plot'!C99="","",MAX('Data-Plot'!$C$11:$C$1010)*(1+$Q$9/100))</f>
        <v>7796.25</v>
      </c>
      <c r="R99" s="22">
        <f>IF('Data-Plot'!C99="","",('Data-Plot'!C99-'Data-Plot'!D99)*$P$9)</f>
        <v>1.6442575822482866</v>
      </c>
      <c r="S99" s="20">
        <v>179.35574241775171</v>
      </c>
      <c r="T99" s="20">
        <v>8.2533700625623141E-8</v>
      </c>
      <c r="U99" s="20">
        <v>2.3848925715341858E-33</v>
      </c>
      <c r="V99" s="20">
        <v>1.1921577617164107</v>
      </c>
      <c r="W99" s="20">
        <v>0.44526046769452454</v>
      </c>
      <c r="X99" s="20">
        <v>177.71832410580708</v>
      </c>
      <c r="AE99" s="22">
        <v>445</v>
      </c>
      <c r="AF99" s="22">
        <v>181</v>
      </c>
      <c r="AG99" s="22">
        <v>179.35574241775171</v>
      </c>
      <c r="AH99" s="22">
        <v>8.2533700625623141E-8</v>
      </c>
      <c r="AI99" s="22">
        <v>2.3848925715341858E-33</v>
      </c>
      <c r="AJ99" s="22">
        <v>1.1921577617164107</v>
      </c>
      <c r="AK99" s="22">
        <v>0.44526046769452454</v>
      </c>
      <c r="AL99" s="22">
        <v>177.71832410580708</v>
      </c>
      <c r="AT99" s="22">
        <v>445</v>
      </c>
      <c r="AU99" s="22">
        <v>647</v>
      </c>
      <c r="AV99" s="22">
        <v>260.68828196155653</v>
      </c>
      <c r="AW99" s="22">
        <v>2.7032653959005313E-8</v>
      </c>
      <c r="AX99" s="22">
        <v>1.1721891549454367E-32</v>
      </c>
      <c r="AY99" s="22">
        <v>1.6381601132907799</v>
      </c>
      <c r="AZ99" s="22">
        <v>4.5785000162734075</v>
      </c>
      <c r="BA99" s="22">
        <v>254.47162180495971</v>
      </c>
      <c r="BI99" s="22">
        <v>445</v>
      </c>
      <c r="BJ99" s="22">
        <v>295</v>
      </c>
      <c r="BK99" s="22">
        <v>295.01719317916348</v>
      </c>
      <c r="BL99" s="22">
        <v>3.1586648141607019E-16</v>
      </c>
      <c r="BM99" s="22">
        <v>1.0246946265120174E-14</v>
      </c>
      <c r="BN99" s="22">
        <v>1.2640279455616141E-3</v>
      </c>
      <c r="BO99" s="22">
        <v>3.066723720323369</v>
      </c>
      <c r="BP99" s="22">
        <v>291.94920543089455</v>
      </c>
      <c r="BX99" s="22">
        <v>445</v>
      </c>
      <c r="BY99" s="22">
        <v>553</v>
      </c>
      <c r="BZ99" s="22">
        <v>485.51778807826764</v>
      </c>
      <c r="CA99" s="22">
        <v>6.5712211623523634E-12</v>
      </c>
      <c r="CB99" s="22">
        <v>3.9315271612216713E-14</v>
      </c>
      <c r="CC99" s="22">
        <v>5.531454046127841E-3</v>
      </c>
      <c r="CD99" s="22">
        <v>3.5347978502244</v>
      </c>
      <c r="CE99" s="22">
        <v>481.97745877399052</v>
      </c>
      <c r="CM99" s="22">
        <v>445</v>
      </c>
      <c r="CN99" s="22">
        <v>853</v>
      </c>
      <c r="CO99" s="22">
        <v>867.41842571082964</v>
      </c>
      <c r="CP99" s="22">
        <v>1.932440583269345E-5</v>
      </c>
      <c r="CQ99" s="22">
        <v>6.1582837612284021E-13</v>
      </c>
      <c r="CR99" s="22">
        <v>7.2525856979151486E-4</v>
      </c>
      <c r="CS99" s="22">
        <v>11.309987875413372</v>
      </c>
      <c r="CT99" s="22">
        <v>856.10769325244007</v>
      </c>
      <c r="DB99" s="22">
        <v>445</v>
      </c>
      <c r="DC99" s="22">
        <v>1308</v>
      </c>
      <c r="DD99" s="22">
        <v>1404.058673260743</v>
      </c>
      <c r="DE99" s="22">
        <v>6.4570227673704525E-3</v>
      </c>
      <c r="DF99" s="22">
        <v>5.4414044597431189E-12</v>
      </c>
      <c r="DG99" s="22">
        <v>1.2035682270244634</v>
      </c>
      <c r="DH99" s="22">
        <v>24.53529409423988</v>
      </c>
      <c r="DI99" s="22">
        <v>1378.3133539167059</v>
      </c>
      <c r="DQ99" s="22">
        <v>445</v>
      </c>
      <c r="DR99" s="22">
        <v>1623</v>
      </c>
      <c r="DS99" s="22">
        <v>1725.4523865444851</v>
      </c>
      <c r="DT99" s="22">
        <v>1.8634978525614122E-2</v>
      </c>
      <c r="DU99" s="22">
        <v>1.0334508211261829E-8</v>
      </c>
      <c r="DV99" s="22">
        <v>1.1247964210965203E-4</v>
      </c>
      <c r="DW99" s="22">
        <v>58.652562494961167</v>
      </c>
      <c r="DX99" s="22">
        <v>1662.7810765810216</v>
      </c>
      <c r="EF99" s="22">
        <v>445</v>
      </c>
      <c r="EG99" s="22">
        <v>2096</v>
      </c>
      <c r="EH99" s="22">
        <v>2096.1388046194061</v>
      </c>
      <c r="EI99" s="22">
        <v>0.23458294739693711</v>
      </c>
      <c r="EJ99" s="22">
        <v>2.7274587444171781E-8</v>
      </c>
      <c r="EK99" s="22">
        <v>1.1914673681522499E-3</v>
      </c>
      <c r="EL99" s="22">
        <v>158.78837763607518</v>
      </c>
      <c r="EM99" s="22">
        <v>1937.1146525412912</v>
      </c>
    </row>
    <row r="100" spans="2:143" x14ac:dyDescent="0.25">
      <c r="B100" s="24">
        <f>$B$11+($B$10-$B$11)*89/99</f>
        <v>239.33333333333334</v>
      </c>
      <c r="C100" s="22">
        <v>31434.370334099098</v>
      </c>
      <c r="P100" s="22">
        <f>IF('Data-Plot'!C100="","",$Q$11+('Data-Plot'!C100-'Data-Plot'!D100)*$P$9)</f>
        <v>8020.8465782390831</v>
      </c>
      <c r="Q100" s="22">
        <f>IF('Data-Plot'!C100="","",MAX('Data-Plot'!$C$11:$C$1010)*(1+$Q$9/100))</f>
        <v>7796.25</v>
      </c>
      <c r="R100" s="22">
        <f>IF('Data-Plot'!C100="","",('Data-Plot'!C100-'Data-Plot'!D100)*$P$9)</f>
        <v>224.59657823908276</v>
      </c>
      <c r="S100" s="20">
        <v>137.40342176091724</v>
      </c>
      <c r="T100" s="20">
        <v>6.0644225039662641E-8</v>
      </c>
      <c r="U100" s="20">
        <v>3.2344082122691397E-34</v>
      </c>
      <c r="V100" s="20">
        <v>0.99595658371091222</v>
      </c>
      <c r="W100" s="20">
        <v>0.26551096623132392</v>
      </c>
      <c r="X100" s="20">
        <v>136.14195415033078</v>
      </c>
      <c r="AE100" s="22">
        <v>450</v>
      </c>
      <c r="AF100" s="22">
        <v>362</v>
      </c>
      <c r="AG100" s="22">
        <v>137.40342176091724</v>
      </c>
      <c r="AH100" s="22">
        <v>6.0644225039662641E-8</v>
      </c>
      <c r="AI100" s="22">
        <v>3.2344082122691397E-34</v>
      </c>
      <c r="AJ100" s="22">
        <v>0.99595658371091222</v>
      </c>
      <c r="AK100" s="22">
        <v>0.26551096623132392</v>
      </c>
      <c r="AL100" s="22">
        <v>136.14195415033078</v>
      </c>
      <c r="AT100" s="22">
        <v>450</v>
      </c>
      <c r="AU100" s="22">
        <v>341</v>
      </c>
      <c r="AV100" s="22">
        <v>194.92754884282726</v>
      </c>
      <c r="AW100" s="22">
        <v>1.9472725473831399E-8</v>
      </c>
      <c r="AX100" s="22">
        <v>1.6197610084105427E-33</v>
      </c>
      <c r="AY100" s="22">
        <v>1.365022053870846</v>
      </c>
      <c r="AZ100" s="22">
        <v>3.0953186589160882</v>
      </c>
      <c r="BA100" s="22">
        <v>190.46720811056761</v>
      </c>
      <c r="BI100" s="22">
        <v>450</v>
      </c>
      <c r="BJ100" s="22">
        <v>213</v>
      </c>
      <c r="BK100" s="22">
        <v>212.30576093869709</v>
      </c>
      <c r="BL100" s="22">
        <v>1.7642232680144808E-16</v>
      </c>
      <c r="BM100" s="22">
        <v>4.1711905907428464E-15</v>
      </c>
      <c r="BN100" s="22">
        <v>7.9843270808207763E-4</v>
      </c>
      <c r="BO100" s="22">
        <v>1.945998737708303</v>
      </c>
      <c r="BP100" s="22">
        <v>210.35896376828069</v>
      </c>
      <c r="BX100" s="22">
        <v>450</v>
      </c>
      <c r="BY100" s="22">
        <v>672</v>
      </c>
      <c r="BZ100" s="22">
        <v>358.86422119809004</v>
      </c>
      <c r="CA100" s="22">
        <v>4.2011325452303822E-12</v>
      </c>
      <c r="CB100" s="22">
        <v>1.6435642621765341E-14</v>
      </c>
      <c r="CC100" s="22">
        <v>3.6027785357488737E-3</v>
      </c>
      <c r="CD100" s="22">
        <v>2.2129474622891796</v>
      </c>
      <c r="CE100" s="22">
        <v>356.64767095726091</v>
      </c>
      <c r="CM100" s="22">
        <v>450</v>
      </c>
      <c r="CN100" s="22">
        <v>671</v>
      </c>
      <c r="CO100" s="22">
        <v>647.00613798205677</v>
      </c>
      <c r="CP100" s="22">
        <v>1.4921211615921933E-5</v>
      </c>
      <c r="CQ100" s="22">
        <v>2.7253924176471249E-13</v>
      </c>
      <c r="CR100" s="22">
        <v>4.2543265583860803E-4</v>
      </c>
      <c r="CS100" s="22">
        <v>7.3975164455547535</v>
      </c>
      <c r="CT100" s="22">
        <v>639.60818118263433</v>
      </c>
      <c r="DB100" s="22">
        <v>450</v>
      </c>
      <c r="DC100" s="22">
        <v>1258</v>
      </c>
      <c r="DD100" s="22">
        <v>1063.7351418483943</v>
      </c>
      <c r="DE100" s="22">
        <v>5.3377543375560518E-3</v>
      </c>
      <c r="DF100" s="22">
        <v>2.5244834546368685E-12</v>
      </c>
      <c r="DG100" s="22">
        <v>0.90718432012613659</v>
      </c>
      <c r="DH100" s="22">
        <v>16.503394286842649</v>
      </c>
      <c r="DI100" s="22">
        <v>1046.3192254870853</v>
      </c>
      <c r="DQ100" s="22">
        <v>450</v>
      </c>
      <c r="DR100" s="22">
        <v>1115</v>
      </c>
      <c r="DS100" s="22">
        <v>1297.7766676671488</v>
      </c>
      <c r="DT100" s="22">
        <v>1.5547808802592872E-2</v>
      </c>
      <c r="DU100" s="22">
        <v>5.6862906981069132E-9</v>
      </c>
      <c r="DV100" s="22">
        <v>5.8848749591068669E-5</v>
      </c>
      <c r="DW100" s="22">
        <v>41.137468346666211</v>
      </c>
      <c r="DX100" s="22">
        <v>1252.623592657244</v>
      </c>
      <c r="EF100" s="22">
        <v>450</v>
      </c>
      <c r="EG100" s="22">
        <v>1487</v>
      </c>
      <c r="EH100" s="22">
        <v>1567.7894636115952</v>
      </c>
      <c r="EI100" s="22">
        <v>0.2012957333237462</v>
      </c>
      <c r="EJ100" s="22">
        <v>1.5309404559060643E-8</v>
      </c>
      <c r="EK100" s="22">
        <v>6.8664935019631293E-4</v>
      </c>
      <c r="EL100" s="22">
        <v>117.29941354463735</v>
      </c>
      <c r="EM100" s="22">
        <v>1450.2880676689745</v>
      </c>
    </row>
    <row r="101" spans="2:143" x14ac:dyDescent="0.25">
      <c r="B101" s="24">
        <f>$B$11+($B$10-$B$11)*90/99</f>
        <v>241.8</v>
      </c>
      <c r="C101" s="22">
        <v>31715.709926549742</v>
      </c>
      <c r="P101" s="22" t="str">
        <f>IF('Data-Plot'!C101="","",$Q$11+('Data-Plot'!C101-'Data-Plot'!D101)*$P$9)</f>
        <v/>
      </c>
      <c r="Q101" s="22" t="str">
        <f>IF('Data-Plot'!C101="","",MAX('Data-Plot'!$C$11:$C$1010)*(1+$Q$9/100))</f>
        <v/>
      </c>
      <c r="R101" s="22" t="str">
        <f>IF('Data-Plot'!C101="","",('Data-Plot'!C101-'Data-Plot'!D101)*$P$9)</f>
        <v/>
      </c>
      <c r="S101" s="20">
        <v>81.865202883272616</v>
      </c>
      <c r="T101" s="20">
        <v>78.834754901793247</v>
      </c>
      <c r="U101" s="20">
        <v>2.7425763448262317</v>
      </c>
      <c r="V101" s="20">
        <v>0.2840212142413458</v>
      </c>
      <c r="W101" s="20">
        <v>3.8504224117842266E-3</v>
      </c>
      <c r="X101" s="20"/>
    </row>
    <row r="102" spans="2:143" x14ac:dyDescent="0.25">
      <c r="B102" s="24">
        <f>$B$11+($B$10-$B$11)*91/99</f>
        <v>244.26666666666668</v>
      </c>
      <c r="C102" s="22">
        <v>31996.204252949206</v>
      </c>
      <c r="P102" s="22" t="str">
        <f>IF('Data-Plot'!C102="","",$Q$11+('Data-Plot'!C102-'Data-Plot'!D102)*$P$9)</f>
        <v/>
      </c>
      <c r="Q102" s="22" t="str">
        <f>IF('Data-Plot'!C102="","",MAX('Data-Plot'!$C$11:$C$1010)*(1+$Q$9/100))</f>
        <v/>
      </c>
      <c r="R102" s="22" t="str">
        <f>IF('Data-Plot'!C102="","",('Data-Plot'!C102-'Data-Plot'!D102)*$P$9)</f>
        <v/>
      </c>
      <c r="S102" s="20">
        <v>90.287947156844709</v>
      </c>
      <c r="T102" s="20">
        <v>86.892958410635032</v>
      </c>
      <c r="U102" s="20">
        <v>3.0701047635698164</v>
      </c>
      <c r="V102" s="20">
        <v>0.32039884489265208</v>
      </c>
      <c r="W102" s="20">
        <v>4.4851377472130008E-3</v>
      </c>
      <c r="X102" s="20"/>
    </row>
    <row r="103" spans="2:143" x14ac:dyDescent="0.25">
      <c r="B103" s="24">
        <f>$B$11+($B$10-$B$11)*92/99</f>
        <v>246.73333333333332</v>
      </c>
      <c r="C103" s="22">
        <v>32275.855852842986</v>
      </c>
      <c r="P103" s="22" t="str">
        <f>IF('Data-Plot'!C103="","",$Q$11+('Data-Plot'!C103-'Data-Plot'!D103)*$P$9)</f>
        <v/>
      </c>
      <c r="Q103" s="22" t="str">
        <f>IF('Data-Plot'!C103="","",MAX('Data-Plot'!$C$11:$C$1010)*(1+$Q$9/100))</f>
        <v/>
      </c>
      <c r="R103" s="22" t="str">
        <f>IF('Data-Plot'!C103="","",('Data-Plot'!C103-'Data-Plot'!D103)*$P$9)</f>
        <v/>
      </c>
      <c r="S103" s="20">
        <v>99.344614565249344</v>
      </c>
      <c r="T103" s="20">
        <v>95.547735854318447</v>
      </c>
      <c r="U103" s="20">
        <v>3.4308817739564121</v>
      </c>
      <c r="V103" s="20">
        <v>0.36078436418095061</v>
      </c>
      <c r="W103" s="20">
        <v>5.2125727935401203E-3</v>
      </c>
      <c r="X103" s="20"/>
    </row>
    <row r="104" spans="2:143" x14ac:dyDescent="0.25">
      <c r="B104" s="24">
        <f>$B$11+($B$10-$B$11)*93/99</f>
        <v>249.2</v>
      </c>
      <c r="C104" s="22">
        <v>32554.667258146677</v>
      </c>
      <c r="P104" s="22" t="str">
        <f>IF('Data-Plot'!C104="","",$Q$11+('Data-Plot'!C104-'Data-Plot'!D104)*$P$9)</f>
        <v/>
      </c>
      <c r="Q104" s="22" t="str">
        <f>IF('Data-Plot'!C104="","",MAX('Data-Plot'!$C$11:$C$1010)*(1+$Q$9/100))</f>
        <v/>
      </c>
      <c r="R104" s="22" t="str">
        <f>IF('Data-Plot'!C104="","",('Data-Plot'!C104-'Data-Plot'!D104)*$P$9)</f>
        <v/>
      </c>
      <c r="S104" s="20">
        <v>109.25395183336833</v>
      </c>
      <c r="T104" s="20">
        <v>105.00536227327923</v>
      </c>
      <c r="U104" s="20">
        <v>3.8360330987226194</v>
      </c>
      <c r="V104" s="20">
        <v>0.40649404801844208</v>
      </c>
      <c r="W104" s="20">
        <v>6.0624133480276536E-3</v>
      </c>
      <c r="X104" s="20"/>
    </row>
    <row r="105" spans="2:143" x14ac:dyDescent="0.25">
      <c r="B105" s="24">
        <f>$B$11+($B$10-$B$11)*94/99</f>
        <v>251.66666666666666</v>
      </c>
      <c r="C105" s="22">
        <v>32832.640993168956</v>
      </c>
      <c r="P105" s="22" t="str">
        <f>IF('Data-Plot'!C105="","",$Q$11+('Data-Plot'!C105-'Data-Plot'!D105)*$P$9)</f>
        <v/>
      </c>
      <c r="Q105" s="22" t="str">
        <f>IF('Data-Plot'!C105="","",MAX('Data-Plot'!$C$11:$C$1010)*(1+$Q$9/100))</f>
        <v/>
      </c>
      <c r="R105" s="22" t="str">
        <f>IF('Data-Plot'!C105="","",('Data-Plot'!C105-'Data-Plot'!D105)*$P$9)</f>
        <v/>
      </c>
      <c r="S105" s="20">
        <v>119.96372049327944</v>
      </c>
      <c r="T105" s="20">
        <v>115.21248800403312</v>
      </c>
      <c r="U105" s="20">
        <v>4.2864717864107469</v>
      </c>
      <c r="V105" s="20">
        <v>0.45771532725306274</v>
      </c>
      <c r="W105" s="20">
        <v>7.0453755825115533E-3</v>
      </c>
      <c r="X105" s="20"/>
    </row>
    <row r="106" spans="2:143" x14ac:dyDescent="0.25">
      <c r="B106" s="24">
        <f>$B$11+($B$10-$B$11)*95/99</f>
        <v>254.13333333333335</v>
      </c>
      <c r="C106" s="22">
        <v>33109.779574634304</v>
      </c>
      <c r="P106" s="22" t="str">
        <f>IF('Data-Plot'!C106="","",$Q$11+('Data-Plot'!C106-'Data-Plot'!D106)*$P$9)</f>
        <v/>
      </c>
      <c r="Q106" s="22" t="str">
        <f>IF('Data-Plot'!C106="","",MAX('Data-Plot'!$C$11:$C$1010)*(1+$Q$9/100))</f>
        <v/>
      </c>
      <c r="R106" s="22" t="str">
        <f>IF('Data-Plot'!C106="","",('Data-Plot'!C106-'Data-Plot'!D106)*$P$9)</f>
        <v/>
      </c>
      <c r="S106" s="20">
        <v>131.50386843278309</v>
      </c>
      <c r="T106" s="20">
        <v>126.19365438215083</v>
      </c>
      <c r="U106" s="20">
        <v>4.7869541048710538</v>
      </c>
      <c r="V106" s="20">
        <v>0.51507849167890074</v>
      </c>
      <c r="W106" s="20">
        <v>8.1814540823085119E-3</v>
      </c>
      <c r="X106" s="20"/>
    </row>
    <row r="107" spans="2:143" x14ac:dyDescent="0.25">
      <c r="B107" s="24">
        <f>$B$11+($B$10-$B$11)*96/99</f>
        <v>256.59999999999997</v>
      </c>
      <c r="C107" s="22">
        <v>33386.085511705925</v>
      </c>
      <c r="P107" s="22" t="str">
        <f>IF('Data-Plot'!C107="","",$Q$11+('Data-Plot'!C107-'Data-Plot'!D107)*$P$9)</f>
        <v/>
      </c>
      <c r="Q107" s="22" t="str">
        <f>IF('Data-Plot'!C107="","",MAX('Data-Plot'!$C$11:$C$1010)*(1+$Q$9/100))</f>
        <v/>
      </c>
      <c r="R107" s="22" t="str">
        <f>IF('Data-Plot'!C107="","",('Data-Plot'!C107-'Data-Plot'!D107)*$P$9)</f>
        <v/>
      </c>
      <c r="S107" s="20">
        <v>143.8979018332351</v>
      </c>
      <c r="T107" s="20">
        <v>137.96642686038078</v>
      </c>
      <c r="U107" s="20">
        <v>5.3426995506270636</v>
      </c>
      <c r="V107" s="20">
        <v>0.57928190514130506</v>
      </c>
      <c r="W107" s="20">
        <v>9.4935170859484878E-3</v>
      </c>
      <c r="X107" s="20"/>
    </row>
    <row r="108" spans="2:143" x14ac:dyDescent="0.25">
      <c r="B108" s="24">
        <f>$B$11+($B$10-$B$11)*97/99</f>
        <v>259.06666666666666</v>
      </c>
      <c r="C108" s="22">
        <v>33661.561306008414</v>
      </c>
      <c r="P108" s="22" t="str">
        <f>IF('Data-Plot'!C108="","",$Q$11+('Data-Plot'!C108-'Data-Plot'!D108)*$P$9)</f>
        <v/>
      </c>
      <c r="Q108" s="22" t="str">
        <f>IF('Data-Plot'!C108="","",MAX('Data-Plot'!$C$11:$C$1010)*(1+$Q$9/100))</f>
        <v/>
      </c>
      <c r="R108" s="22" t="str">
        <f>IF('Data-Plot'!C108="","",('Data-Plot'!C108-'Data-Plot'!D108)*$P$9)</f>
        <v/>
      </c>
      <c r="S108" s="20">
        <v>157.02530782490967</v>
      </c>
      <c r="T108" s="20">
        <v>150.41096300382688</v>
      </c>
      <c r="U108" s="20">
        <v>5.9530053530617018</v>
      </c>
      <c r="V108" s="20">
        <v>0.65034784520750077</v>
      </c>
      <c r="W108" s="20">
        <v>1.0991622813587731E-2</v>
      </c>
      <c r="X108" s="20"/>
    </row>
    <row r="109" spans="2:143" x14ac:dyDescent="0.25">
      <c r="B109" s="24">
        <f>$B$11+($B$10-$B$11)*98/99</f>
        <v>261.5333333333333</v>
      </c>
      <c r="C109" s="22">
        <v>33936.209451650349</v>
      </c>
      <c r="P109" s="22" t="str">
        <f>IF('Data-Plot'!C109="","",$Q$11+('Data-Plot'!C109-'Data-Plot'!D109)*$P$9)</f>
        <v/>
      </c>
      <c r="Q109" s="22" t="str">
        <f>IF('Data-Plot'!C109="","",MAX('Data-Plot'!$C$11:$C$1010)*(1+$Q$9/100))</f>
        <v/>
      </c>
      <c r="R109" s="22" t="str">
        <f>IF('Data-Plot'!C109="","",('Data-Plot'!C109-'Data-Plot'!D109)*$P$9)</f>
        <v/>
      </c>
      <c r="S109" s="20">
        <v>171.15305015482309</v>
      </c>
      <c r="T109" s="20">
        <v>163.77347657000976</v>
      </c>
      <c r="U109" s="20">
        <v>6.6362923024638887</v>
      </c>
      <c r="V109" s="20">
        <v>0.73054596700032959</v>
      </c>
      <c r="W109" s="20">
        <v>1.2735315349116793E-2</v>
      </c>
      <c r="X109" s="20"/>
    </row>
    <row r="110" spans="2:143" x14ac:dyDescent="0.25">
      <c r="B110" s="24">
        <f>$B$11+($B$10-$B$11)*99/99</f>
        <v>264</v>
      </c>
      <c r="C110" s="22">
        <v>34210.032435246991</v>
      </c>
      <c r="P110" s="22" t="str">
        <f>IF('Data-Plot'!C110="","",$Q$11+('Data-Plot'!C110-'Data-Plot'!D110)*$P$9)</f>
        <v/>
      </c>
      <c r="Q110" s="22" t="str">
        <f>IF('Data-Plot'!C110="","",MAX('Data-Plot'!$C$11:$C$1010)*(1+$Q$9/100))</f>
        <v/>
      </c>
      <c r="R110" s="22" t="str">
        <f>IF('Data-Plot'!C110="","",('Data-Plot'!C110-'Data-Plot'!D110)*$P$9)</f>
        <v/>
      </c>
      <c r="S110" s="20">
        <v>186.14542690590963</v>
      </c>
      <c r="T110" s="20">
        <v>177.91690736223171</v>
      </c>
      <c r="U110" s="20">
        <v>7.3936245276195729</v>
      </c>
      <c r="V110" s="20">
        <v>0.82015033856393638</v>
      </c>
      <c r="W110" s="20">
        <v>1.4744677494408234E-2</v>
      </c>
      <c r="X110" s="20"/>
    </row>
    <row r="111" spans="2:143" x14ac:dyDescent="0.25">
      <c r="P111" s="22" t="str">
        <f>IF('Data-Plot'!C111="","",$Q$11+('Data-Plot'!C111-'Data-Plot'!D111)*$P$9)</f>
        <v/>
      </c>
      <c r="Q111" s="22" t="str">
        <f>IF('Data-Plot'!C111="","",MAX('Data-Plot'!$C$11:$C$1010)*(1+$Q$9/100))</f>
        <v/>
      </c>
      <c r="R111" s="22" t="str">
        <f>IF('Data-Plot'!C111="","",('Data-Plot'!C111-'Data-Plot'!D111)*$P$9)</f>
        <v/>
      </c>
      <c r="S111" s="20">
        <v>201.97760120991671</v>
      </c>
      <c r="T111" s="20">
        <v>192.80783704488036</v>
      </c>
      <c r="U111" s="20">
        <v>8.2324993131480468</v>
      </c>
      <c r="V111" s="20">
        <v>0.9202063467521574</v>
      </c>
      <c r="W111" s="20">
        <v>1.7058505136124422E-2</v>
      </c>
      <c r="X111" s="20"/>
    </row>
    <row r="112" spans="2:143" x14ac:dyDescent="0.25">
      <c r="B112" s="22">
        <f>COUNTIF(C112:L112,"&lt;&gt;1")</f>
        <v>5</v>
      </c>
      <c r="C112" s="22">
        <v>0</v>
      </c>
      <c r="D112" s="22">
        <v>0</v>
      </c>
      <c r="E112" s="22">
        <v>0</v>
      </c>
      <c r="F112" s="22">
        <v>0</v>
      </c>
      <c r="G112" s="22">
        <v>0</v>
      </c>
      <c r="H112" s="22">
        <v>1</v>
      </c>
      <c r="I112" s="22">
        <v>1</v>
      </c>
      <c r="J112" s="22">
        <v>1</v>
      </c>
      <c r="K112" s="22">
        <v>1</v>
      </c>
      <c r="L112" s="22">
        <v>1</v>
      </c>
      <c r="P112" s="22" t="str">
        <f>IF('Data-Plot'!C112="","",$Q$11+('Data-Plot'!C112-'Data-Plot'!D112)*$P$9)</f>
        <v/>
      </c>
      <c r="Q112" s="22" t="str">
        <f>IF('Data-Plot'!C112="","",MAX('Data-Plot'!$C$11:$C$1010)*(1+$Q$9/100))</f>
        <v/>
      </c>
      <c r="R112" s="22" t="str">
        <f>IF('Data-Plot'!C112="","",('Data-Plot'!C112-'Data-Plot'!D112)*$P$9)</f>
        <v/>
      </c>
      <c r="S112" s="20">
        <v>218.60555104132391</v>
      </c>
      <c r="T112" s="20">
        <v>208.39285369719192</v>
      </c>
      <c r="U112" s="20">
        <v>9.161107411609656</v>
      </c>
      <c r="V112" s="20">
        <v>1.031868921400424</v>
      </c>
      <c r="W112" s="20">
        <v>1.9721011121908993E-2</v>
      </c>
      <c r="X112" s="20"/>
    </row>
    <row r="113" spans="2:24" x14ac:dyDescent="0.25">
      <c r="C113" s="22" t="s">
        <v>97</v>
      </c>
      <c r="D113" s="22" t="s">
        <v>97</v>
      </c>
      <c r="E113" s="22" t="s">
        <v>63</v>
      </c>
      <c r="F113" s="22" t="s">
        <v>61</v>
      </c>
      <c r="G113" s="22" t="s">
        <v>64</v>
      </c>
      <c r="P113" s="22" t="str">
        <f>IF('Data-Plot'!C113="","",$Q$11+('Data-Plot'!C113-'Data-Plot'!D113)*$P$9)</f>
        <v/>
      </c>
      <c r="Q113" s="22" t="str">
        <f>IF('Data-Plot'!C113="","",MAX('Data-Plot'!$C$11:$C$1010)*(1+$Q$9/100))</f>
        <v/>
      </c>
      <c r="R113" s="22" t="str">
        <f>IF('Data-Plot'!C113="","",('Data-Plot'!C113-'Data-Plot'!D113)*$P$9)</f>
        <v/>
      </c>
      <c r="S113" s="20">
        <v>235.78762964567991</v>
      </c>
      <c r="T113" s="20">
        <v>224.43206452529182</v>
      </c>
      <c r="U113" s="20">
        <v>10.177702423505504</v>
      </c>
      <c r="V113" s="20">
        <v>1.1551125973769054</v>
      </c>
      <c r="W113" s="20">
        <v>2.2750099505676209E-2</v>
      </c>
      <c r="X113" s="20"/>
    </row>
    <row r="114" spans="2:24" x14ac:dyDescent="0.25">
      <c r="C114" s="22">
        <v>125075.853</v>
      </c>
      <c r="D114" s="22">
        <v>141954.12599999999</v>
      </c>
      <c r="E114" s="22">
        <v>340.90100000000001</v>
      </c>
      <c r="F114" s="22">
        <v>287.58499999999998</v>
      </c>
      <c r="G114" s="22">
        <v>21893.93</v>
      </c>
      <c r="P114" s="22" t="str">
        <f>IF('Data-Plot'!C114="","",$Q$11+('Data-Plot'!C114-'Data-Plot'!D114)*$P$9)</f>
        <v/>
      </c>
      <c r="Q114" s="22" t="str">
        <f>IF('Data-Plot'!C114="","",MAX('Data-Plot'!$C$11:$C$1010)*(1+$Q$9/100))</f>
        <v/>
      </c>
      <c r="R114" s="22" t="str">
        <f>IF('Data-Plot'!C114="","",('Data-Plot'!C114-'Data-Plot'!D114)*$P$9)</f>
        <v/>
      </c>
      <c r="S114" s="20">
        <v>253.77607052939007</v>
      </c>
      <c r="T114" s="20">
        <v>241.14373148255905</v>
      </c>
      <c r="U114" s="20">
        <v>11.312278644289055</v>
      </c>
      <c r="V114" s="20">
        <v>1.2937972561982027</v>
      </c>
      <c r="W114" s="20">
        <v>2.6263146343786795E-2</v>
      </c>
      <c r="X114" s="20"/>
    </row>
    <row r="115" spans="2:24" x14ac:dyDescent="0.25">
      <c r="C115" s="22">
        <v>-2.052</v>
      </c>
      <c r="D115" s="22">
        <v>-12.225</v>
      </c>
      <c r="E115" s="22">
        <v>2.931</v>
      </c>
      <c r="F115" s="22">
        <v>-5695.134</v>
      </c>
      <c r="G115" s="22">
        <v>190.58799999999999</v>
      </c>
      <c r="P115" s="22" t="str">
        <f>IF('Data-Plot'!C115="","",$Q$11+('Data-Plot'!C115-'Data-Plot'!D115)*$P$9)</f>
        <v/>
      </c>
      <c r="Q115" s="22" t="str">
        <f>IF('Data-Plot'!C115="","",MAX('Data-Plot'!$C$11:$C$1010)*(1+$Q$9/100))</f>
        <v/>
      </c>
      <c r="R115" s="22" t="str">
        <f>IF('Data-Plot'!C115="","",('Data-Plot'!C115-'Data-Plot'!D115)*$P$9)</f>
        <v/>
      </c>
      <c r="S115" s="20">
        <v>272.28136563781982</v>
      </c>
      <c r="T115" s="20">
        <v>258.23698219681609</v>
      </c>
      <c r="U115" s="20">
        <v>12.565779505179254</v>
      </c>
      <c r="V115" s="20">
        <v>1.448306926292344</v>
      </c>
      <c r="W115" s="20">
        <v>3.0297009532163726E-2</v>
      </c>
      <c r="X115" s="20"/>
    </row>
    <row r="116" spans="2:24" x14ac:dyDescent="0.25">
      <c r="C116" s="22">
        <v>819.77499999999998</v>
      </c>
      <c r="D116" s="22">
        <v>167.92500000000001</v>
      </c>
      <c r="E116" s="22">
        <v>0.58399999999999996</v>
      </c>
      <c r="G116" s="22">
        <v>-36.780999999999999</v>
      </c>
      <c r="P116" s="22" t="str">
        <f>IF('Data-Plot'!C116="","",$Q$11+('Data-Plot'!C116-'Data-Plot'!D116)*$P$9)</f>
        <v/>
      </c>
      <c r="Q116" s="22" t="str">
        <f>IF('Data-Plot'!C116="","",MAX('Data-Plot'!$C$11:$C$1010)*(1+$Q$9/100))</f>
        <v/>
      </c>
      <c r="R116" s="22" t="str">
        <f>IF('Data-Plot'!C116="","",('Data-Plot'!C116-'Data-Plot'!D116)*$P$9)</f>
        <v/>
      </c>
      <c r="S116" s="20">
        <v>291.15012128485051</v>
      </c>
      <c r="T116" s="20">
        <v>275.54510259371182</v>
      </c>
      <c r="U116" s="20">
        <v>13.949742291006491</v>
      </c>
      <c r="V116" s="20">
        <v>1.6203507385147895</v>
      </c>
      <c r="W116" s="20">
        <v>3.4925661617430402E-2</v>
      </c>
      <c r="X116" s="20"/>
    </row>
    <row r="117" spans="2:24" x14ac:dyDescent="0.25">
      <c r="E117" s="22">
        <v>-1.24E-3</v>
      </c>
      <c r="P117" s="22" t="str">
        <f>IF('Data-Plot'!C117="","",$Q$11+('Data-Plot'!C117-'Data-Plot'!D117)*$P$9)</f>
        <v/>
      </c>
      <c r="Q117" s="22" t="str">
        <f>IF('Data-Plot'!C117="","",MAX('Data-Plot'!$C$11:$C$1010)*(1+$Q$9/100))</f>
        <v/>
      </c>
      <c r="R117" s="22" t="str">
        <f>IF('Data-Plot'!C117="","",('Data-Plot'!C117-'Data-Plot'!D117)*$P$9)</f>
        <v/>
      </c>
      <c r="S117" s="20">
        <v>310.19407477286092</v>
      </c>
      <c r="T117" s="20">
        <v>292.86532877790415</v>
      </c>
      <c r="U117" s="20">
        <v>15.47670136295449</v>
      </c>
      <c r="V117" s="20">
        <v>1.8118115161263075</v>
      </c>
      <c r="W117" s="20">
        <v>4.0233115876008377E-2</v>
      </c>
      <c r="X117" s="20"/>
    </row>
    <row r="118" spans="2:24" x14ac:dyDescent="0.25">
      <c r="C118" s="22">
        <v>25912.43</v>
      </c>
      <c r="D118" s="22">
        <v>3484.64</v>
      </c>
      <c r="E118" s="22">
        <v>523.49599999999998</v>
      </c>
      <c r="F118" s="22">
        <v>6.9566083335440601</v>
      </c>
      <c r="G118" s="22">
        <v>1196.9749999999999</v>
      </c>
      <c r="P118" s="22" t="str">
        <f>IF('Data-Plot'!C118="","",$Q$11+('Data-Plot'!C118-'Data-Plot'!D118)*$P$9)</f>
        <v/>
      </c>
      <c r="Q118" s="22" t="str">
        <f>IF('Data-Plot'!C118="","",MAX('Data-Plot'!$C$11:$C$1010)*(1+$Q$9/100))</f>
        <v/>
      </c>
      <c r="R118" s="22" t="str">
        <f>IF('Data-Plot'!C118="","",('Data-Plot'!C118-'Data-Plot'!D118)*$P$9)</f>
        <v/>
      </c>
      <c r="S118" s="20">
        <v>329.00122886707612</v>
      </c>
      <c r="T118" s="20">
        <v>309.78966437141679</v>
      </c>
      <c r="U118" s="20">
        <v>17.142772962920915</v>
      </c>
      <c r="V118" s="20">
        <v>2.0225411550925174</v>
      </c>
      <c r="W118" s="20">
        <v>4.6250377645918633E-2</v>
      </c>
      <c r="X118" s="20"/>
    </row>
    <row r="119" spans="2:24" x14ac:dyDescent="0.25">
      <c r="C119" s="22">
        <v>1.792</v>
      </c>
      <c r="D119" s="22">
        <v>0.89500000000000002</v>
      </c>
      <c r="E119" s="22">
        <v>17.699000000000002</v>
      </c>
      <c r="F119" s="22">
        <v>976.67659398053149</v>
      </c>
      <c r="G119" s="22">
        <v>17.853999999999999</v>
      </c>
      <c r="P119" s="22" t="str">
        <f>IF('Data-Plot'!C119="","",$Q$11+('Data-Plot'!C119-'Data-Plot'!D119)*$P$9)</f>
        <v/>
      </c>
      <c r="Q119" s="22" t="str">
        <f>IF('Data-Plot'!C119="","",MAX('Data-Plot'!$C$11:$C$1010)*(1+$Q$9/100))</f>
        <v/>
      </c>
      <c r="R119" s="22" t="str">
        <f>IF('Data-Plot'!C119="","",('Data-Plot'!C119-'Data-Plot'!D119)*$P$9)</f>
        <v/>
      </c>
      <c r="S119" s="20">
        <v>347.68749863154989</v>
      </c>
      <c r="T119" s="20">
        <v>326.37939263624571</v>
      </c>
      <c r="U119" s="20">
        <v>18.995885667491272</v>
      </c>
      <c r="V119" s="20">
        <v>2.2590153405546967</v>
      </c>
      <c r="W119" s="20">
        <v>5.3204987258194676E-2</v>
      </c>
      <c r="X119" s="20"/>
    </row>
    <row r="120" spans="2:24" x14ac:dyDescent="0.25">
      <c r="C120" s="22">
        <v>199.81399999999999</v>
      </c>
      <c r="D120" s="22">
        <v>8.1219999999999999</v>
      </c>
      <c r="E120" s="22">
        <v>0.14599999999999999</v>
      </c>
      <c r="G120" s="22">
        <v>6.2389999999999999</v>
      </c>
      <c r="P120" s="22" t="str">
        <f>IF('Data-Plot'!C120="","",$Q$11+('Data-Plot'!C120-'Data-Plot'!D120)*$P$9)</f>
        <v/>
      </c>
      <c r="Q120" s="22" t="str">
        <f>IF('Data-Plot'!C120="","",MAX('Data-Plot'!$C$11:$C$1010)*(1+$Q$9/100))</f>
        <v/>
      </c>
      <c r="R120" s="22" t="str">
        <f>IF('Data-Plot'!C120="","",('Data-Plot'!C120-'Data-Plot'!D120)*$P$9)</f>
        <v/>
      </c>
      <c r="S120" s="20">
        <v>365.76516345630961</v>
      </c>
      <c r="T120" s="20">
        <v>342.14615478366272</v>
      </c>
      <c r="U120" s="20">
        <v>21.036102816324394</v>
      </c>
      <c r="V120" s="20">
        <v>2.5217426516197841</v>
      </c>
      <c r="W120" s="20">
        <v>6.1163204702728846E-2</v>
      </c>
      <c r="X120" s="20"/>
    </row>
    <row r="121" spans="2:24" x14ac:dyDescent="0.25">
      <c r="E121" s="25">
        <v>3.39E-4</v>
      </c>
      <c r="P121" s="22" t="str">
        <f>IF('Data-Plot'!C121="","",$Q$11+('Data-Plot'!C121-'Data-Plot'!D121)*$P$9)</f>
        <v/>
      </c>
      <c r="Q121" s="22" t="str">
        <f>IF('Data-Plot'!C121="","",MAX('Data-Plot'!$C$11:$C$1010)*(1+$Q$9/100))</f>
        <v/>
      </c>
      <c r="R121" s="22" t="str">
        <f>IF('Data-Plot'!C121="","",('Data-Plot'!C121-'Data-Plot'!D121)*$P$9)</f>
        <v/>
      </c>
      <c r="S121" s="20">
        <v>382.90111252639571</v>
      </c>
      <c r="T121" s="20">
        <v>356.73674607752815</v>
      </c>
      <c r="U121" s="20">
        <v>23.280625315951472</v>
      </c>
      <c r="V121" s="20">
        <v>2.8134774110408856</v>
      </c>
      <c r="W121" s="20">
        <v>7.0263721875224713E-2</v>
      </c>
      <c r="X121" s="20"/>
    </row>
    <row r="122" spans="2:24" x14ac:dyDescent="0.25">
      <c r="B122" s="22">
        <f>COUNTIF(C122:L122,"&lt;&gt;1")</f>
        <v>0</v>
      </c>
      <c r="C122" s="22">
        <v>1</v>
      </c>
      <c r="D122" s="22">
        <v>1</v>
      </c>
      <c r="E122" s="22">
        <v>1</v>
      </c>
      <c r="F122" s="22">
        <v>1</v>
      </c>
      <c r="G122" s="22">
        <v>1</v>
      </c>
      <c r="H122" s="22">
        <v>1</v>
      </c>
      <c r="I122" s="22">
        <v>1</v>
      </c>
      <c r="J122" s="22">
        <v>1</v>
      </c>
      <c r="K122" s="22">
        <v>1</v>
      </c>
      <c r="L122" s="22">
        <v>1</v>
      </c>
      <c r="P122" s="22" t="str">
        <f>IF('Data-Plot'!C122="","",$Q$11+('Data-Plot'!C122-'Data-Plot'!D122)*$P$9)</f>
        <v/>
      </c>
      <c r="Q122" s="22" t="str">
        <f>IF('Data-Plot'!C122="","",MAX('Data-Plot'!$C$11:$C$1010)*(1+$Q$9/100))</f>
        <v/>
      </c>
      <c r="R122" s="22" t="str">
        <f>IF('Data-Plot'!C122="","",('Data-Plot'!C122-'Data-Plot'!D122)*$P$9)</f>
        <v/>
      </c>
      <c r="S122" s="20">
        <v>398.7332013057291</v>
      </c>
      <c r="T122" s="20">
        <v>369.76729870938203</v>
      </c>
      <c r="U122" s="20">
        <v>25.74799434416116</v>
      </c>
      <c r="V122" s="20">
        <v>3.1372447123829943</v>
      </c>
      <c r="W122" s="20">
        <v>8.0663539802891746E-2</v>
      </c>
      <c r="X122" s="20"/>
    </row>
    <row r="123" spans="2:24" x14ac:dyDescent="0.25">
      <c r="C123" s="22" t="s">
        <v>61</v>
      </c>
      <c r="D123" s="22" t="s">
        <v>62</v>
      </c>
      <c r="E123" s="22" t="s">
        <v>63</v>
      </c>
      <c r="F123" s="22" t="s">
        <v>63</v>
      </c>
      <c r="G123" s="22" t="s">
        <v>63</v>
      </c>
      <c r="P123" s="22" t="str">
        <f>IF('Data-Plot'!C123="","",$Q$11+('Data-Plot'!C123-'Data-Plot'!D123)*$P$9)</f>
        <v/>
      </c>
      <c r="Q123" s="22" t="str">
        <f>IF('Data-Plot'!C123="","",MAX('Data-Plot'!$C$11:$C$1010)*(1+$Q$9/100))</f>
        <v/>
      </c>
      <c r="R123" s="22" t="str">
        <f>IF('Data-Plot'!C123="","",('Data-Plot'!C123-'Data-Plot'!D123)*$P$9)</f>
        <v/>
      </c>
      <c r="S123" s="20">
        <v>412.74784770529243</v>
      </c>
      <c r="T123" s="20">
        <v>380.73274032191898</v>
      </c>
      <c r="U123" s="20">
        <v>28.430067504203066</v>
      </c>
      <c r="V123" s="20">
        <v>3.4926250788803679</v>
      </c>
      <c r="W123" s="20">
        <v>9.241480028997745E-2</v>
      </c>
      <c r="X123" s="20"/>
    </row>
    <row r="124" spans="2:24" x14ac:dyDescent="0.25">
      <c r="C124" s="22">
        <v>7590.3689999999997</v>
      </c>
      <c r="D124" s="22">
        <v>21195648.260000002</v>
      </c>
      <c r="E124" s="22">
        <v>44374.845000000001</v>
      </c>
      <c r="F124" s="22">
        <v>-151747.617</v>
      </c>
      <c r="G124" s="22">
        <v>-6866.9440000000004</v>
      </c>
      <c r="P124" s="22" t="str">
        <f>IF('Data-Plot'!C124="","",$Q$11+('Data-Plot'!C124-'Data-Plot'!D124)*$P$9)</f>
        <v/>
      </c>
      <c r="Q124" s="22" t="str">
        <f>IF('Data-Plot'!C124="","",MAX('Data-Plot'!$C$11:$C$1010)*(1+$Q$9/100))</f>
        <v/>
      </c>
      <c r="R124" s="22" t="str">
        <f>IF('Data-Plot'!C124="","",('Data-Plot'!C124-'Data-Plot'!D124)*$P$9)</f>
        <v/>
      </c>
      <c r="S124" s="20">
        <v>424.83582411508002</v>
      </c>
      <c r="T124" s="20">
        <v>389.43781470739066</v>
      </c>
      <c r="U124" s="20">
        <v>31.401720102112439</v>
      </c>
      <c r="V124" s="20">
        <v>3.8903377567355717</v>
      </c>
      <c r="W124" s="20">
        <v>0.10595154884134629</v>
      </c>
      <c r="X124" s="20"/>
    </row>
    <row r="125" spans="2:24" x14ac:dyDescent="0.25">
      <c r="C125" s="22">
        <v>-31976.707999999999</v>
      </c>
      <c r="D125" s="22">
        <v>-8.0649999999999995</v>
      </c>
      <c r="E125" s="22">
        <v>-249.33199999999999</v>
      </c>
      <c r="F125" s="22">
        <v>13335.4</v>
      </c>
      <c r="G125" s="22">
        <v>2567.2310000000002</v>
      </c>
      <c r="P125" s="22" t="str">
        <f>IF('Data-Plot'!C125="","",$Q$11+('Data-Plot'!C125-'Data-Plot'!D125)*$P$9)</f>
        <v/>
      </c>
      <c r="Q125" s="22" t="str">
        <f>IF('Data-Plot'!C125="","",MAX('Data-Plot'!$C$11:$C$1010)*(1+$Q$9/100))</f>
        <v/>
      </c>
      <c r="R125" s="22" t="str">
        <f>IF('Data-Plot'!C125="","",('Data-Plot'!C125-'Data-Plot'!D125)*$P$9)</f>
        <v/>
      </c>
      <c r="S125" s="20">
        <v>434.46031543669329</v>
      </c>
      <c r="T125" s="20">
        <v>395.34763409978007</v>
      </c>
      <c r="U125" s="20">
        <v>34.660290446449835</v>
      </c>
      <c r="V125" s="20">
        <v>4.3310004077416746</v>
      </c>
      <c r="W125" s="20">
        <v>0.12139048272171908</v>
      </c>
      <c r="X125" s="20"/>
    </row>
    <row r="126" spans="2:24" x14ac:dyDescent="0.25">
      <c r="D126" s="22">
        <v>330.97199999999998</v>
      </c>
      <c r="E126" s="22">
        <v>37.075000000000003</v>
      </c>
      <c r="F126" s="22">
        <v>42.07</v>
      </c>
      <c r="G126" s="22">
        <v>7.7759999999999998</v>
      </c>
      <c r="P126" s="22" t="str">
        <f>IF('Data-Plot'!C126="","",$Q$11+('Data-Plot'!C126-'Data-Plot'!D126)*$P$9)</f>
        <v/>
      </c>
      <c r="Q126" s="22" t="str">
        <f>IF('Data-Plot'!C126="","",MAX('Data-Plot'!$C$11:$C$1010)*(1+$Q$9/100))</f>
        <v/>
      </c>
      <c r="R126" s="22" t="str">
        <f>IF('Data-Plot'!C126="","",('Data-Plot'!C126-'Data-Plot'!D126)*$P$9)</f>
        <v/>
      </c>
      <c r="S126" s="20">
        <v>441.25701289380595</v>
      </c>
      <c r="T126" s="20">
        <v>398.06877175388064</v>
      </c>
      <c r="U126" s="20">
        <v>38.230267859479724</v>
      </c>
      <c r="V126" s="20">
        <v>4.8189858321212142</v>
      </c>
      <c r="W126" s="20">
        <v>0.13898744832435486</v>
      </c>
      <c r="X126" s="20"/>
    </row>
    <row r="127" spans="2:24" x14ac:dyDescent="0.25">
      <c r="D127" s="22">
        <v>-19707.454000000002</v>
      </c>
      <c r="E127" s="22">
        <v>-7.6999999999999999E-2</v>
      </c>
      <c r="F127" s="22">
        <v>-4.2999999999999997E-2</v>
      </c>
      <c r="G127" s="22">
        <v>-0.03</v>
      </c>
      <c r="P127" s="22" t="str">
        <f>IF('Data-Plot'!C127="","",$Q$11+('Data-Plot'!C127-'Data-Plot'!D127)*$P$9)</f>
        <v/>
      </c>
      <c r="Q127" s="22" t="str">
        <f>IF('Data-Plot'!C127="","",MAX('Data-Plot'!$C$11:$C$1010)*(1+$Q$9/100))</f>
        <v/>
      </c>
      <c r="R127" s="22" t="str">
        <f>IF('Data-Plot'!C127="","",('Data-Plot'!C127-'Data-Plot'!D127)*$P$9)</f>
        <v/>
      </c>
      <c r="S127" s="20">
        <v>444.90661419788285</v>
      </c>
      <c r="T127" s="20">
        <v>397.25076040466814</v>
      </c>
      <c r="U127" s="20">
        <v>42.137740407920482</v>
      </c>
      <c r="V127" s="20">
        <v>5.3590822367075548</v>
      </c>
      <c r="W127" s="20">
        <v>0.159031148586667</v>
      </c>
      <c r="X127" s="20"/>
    </row>
    <row r="128" spans="2:24" x14ac:dyDescent="0.25">
      <c r="C128" s="22">
        <v>67.752799056184784</v>
      </c>
      <c r="D128" s="22">
        <v>25349054.997000001</v>
      </c>
      <c r="E128" s="22">
        <v>15983.591</v>
      </c>
      <c r="F128" s="22">
        <v>40311.760999999999</v>
      </c>
      <c r="G128" s="22">
        <v>9357.8179999999993</v>
      </c>
      <c r="P128" s="22" t="str">
        <f>IF('Data-Plot'!C128="","",$Q$11+('Data-Plot'!C128-'Data-Plot'!D128)*$P$9)</f>
        <v/>
      </c>
      <c r="Q128" s="22" t="str">
        <f>IF('Data-Plot'!C128="","",MAX('Data-Plot'!$C$11:$C$1010)*(1+$Q$9/100))</f>
        <v/>
      </c>
      <c r="R128" s="22" t="str">
        <f>IF('Data-Plot'!C128="","",('Data-Plot'!C128-'Data-Plot'!D128)*$P$9)</f>
        <v/>
      </c>
      <c r="S128" s="20">
        <v>445.17376957870783</v>
      </c>
      <c r="T128" s="20">
        <v>392.67562963362104</v>
      </c>
      <c r="U128" s="20">
        <v>46.366218495924365</v>
      </c>
      <c r="V128" s="20">
        <v>5.9503149412020564</v>
      </c>
      <c r="W128" s="20">
        <v>0.18160650796032279</v>
      </c>
      <c r="X128" s="20"/>
    </row>
    <row r="129" spans="2:23" x14ac:dyDescent="0.25">
      <c r="C129" s="22">
        <v>9512.1889636598462</v>
      </c>
      <c r="D129" s="22">
        <v>4.6980000000000004</v>
      </c>
      <c r="E129" s="22">
        <v>540.39800000000002</v>
      </c>
      <c r="F129" s="22">
        <v>1362.923</v>
      </c>
      <c r="G129" s="22">
        <v>316.38400000000001</v>
      </c>
      <c r="P129" s="22" t="str">
        <f>IF('Data-Plot'!C129="","",$Q$11+('Data-Plot'!C129-'Data-Plot'!D129)*$P$9)</f>
        <v/>
      </c>
      <c r="Q129" s="22" t="str">
        <f>IF('Data-Plot'!C129="","",MAX('Data-Plot'!$C$11:$C$1010)*(1+$Q$9/100))</f>
        <v/>
      </c>
      <c r="R129" s="22" t="str">
        <f>IF('Data-Plot'!C129="","",('Data-Plot'!C129-'Data-Plot'!D129)*$P$9)</f>
        <v/>
      </c>
      <c r="S129" s="22">
        <v>441.90926740568727</v>
      </c>
      <c r="T129" s="22">
        <v>384.06221840092104</v>
      </c>
      <c r="U129" s="22">
        <v>51.029331368484122</v>
      </c>
      <c r="V129" s="22">
        <v>6.610188918120314</v>
      </c>
      <c r="W129" s="22">
        <v>0.20752871816181476</v>
      </c>
    </row>
    <row r="130" spans="2:23" x14ac:dyDescent="0.25">
      <c r="D130" s="22">
        <v>240.82900000000001</v>
      </c>
      <c r="E130" s="22">
        <v>4.468</v>
      </c>
      <c r="F130" s="22">
        <v>11.269</v>
      </c>
      <c r="G130" s="22">
        <v>2.6160000000000001</v>
      </c>
      <c r="P130" s="22" t="str">
        <f>IF('Data-Plot'!C130="","",$Q$11+('Data-Plot'!C130-'Data-Plot'!D130)*$P$9)</f>
        <v/>
      </c>
      <c r="Q130" s="22" t="str">
        <f>IF('Data-Plot'!C130="","",MAX('Data-Plot'!$C$11:$C$1010)*(1+$Q$9/100))</f>
        <v/>
      </c>
      <c r="R130" s="22" t="str">
        <f>IF('Data-Plot'!C130="","",('Data-Plot'!C130-'Data-Plot'!D130)*$P$9)</f>
        <v/>
      </c>
      <c r="S130" s="22">
        <v>435.05670878856853</v>
      </c>
      <c r="T130" s="22">
        <v>371.3628524649028</v>
      </c>
      <c r="U130" s="22">
        <v>56.117516310523982</v>
      </c>
      <c r="V130" s="22">
        <v>7.3393409279304871</v>
      </c>
      <c r="W130" s="22">
        <v>0.23699908521126364</v>
      </c>
    </row>
    <row r="131" spans="2:23" x14ac:dyDescent="0.25">
      <c r="D131" s="22">
        <v>31477.635999999999</v>
      </c>
      <c r="E131" s="22">
        <v>0.01</v>
      </c>
      <c r="F131" s="22">
        <v>2.5999999999999999E-2</v>
      </c>
      <c r="G131" s="25">
        <v>6.0600000000000003E-3</v>
      </c>
      <c r="P131" s="22" t="str">
        <f>IF('Data-Plot'!C131="","",$Q$11+('Data-Plot'!C131-'Data-Plot'!D131)*$P$9)</f>
        <v/>
      </c>
      <c r="Q131" s="22" t="str">
        <f>IF('Data-Plot'!C131="","",MAX('Data-Plot'!$C$11:$C$1010)*(1+$Q$9/100))</f>
        <v/>
      </c>
      <c r="R131" s="22" t="str">
        <f>IF('Data-Plot'!C131="","",('Data-Plot'!C131-'Data-Plot'!D131)*$P$9)</f>
        <v/>
      </c>
      <c r="S131" s="22">
        <v>424.72194715725169</v>
      </c>
      <c r="T131" s="22">
        <v>354.64370801965089</v>
      </c>
      <c r="U131" s="22">
        <v>61.663153616677491</v>
      </c>
      <c r="V131" s="22">
        <v>8.1446032688858505</v>
      </c>
      <c r="W131" s="22">
        <v>0.27048225203743953</v>
      </c>
    </row>
    <row r="132" spans="2:23" x14ac:dyDescent="0.25">
      <c r="B132" s="22">
        <f>COUNTIF(C132:L132,"&lt;&gt;1")</f>
        <v>0</v>
      </c>
      <c r="C132" s="22">
        <v>1</v>
      </c>
      <c r="D132" s="22">
        <v>1</v>
      </c>
      <c r="E132" s="22">
        <v>1</v>
      </c>
      <c r="F132" s="22">
        <v>1</v>
      </c>
      <c r="G132" s="22">
        <v>1</v>
      </c>
      <c r="H132" s="22">
        <v>1</v>
      </c>
      <c r="I132" s="22">
        <v>1</v>
      </c>
      <c r="J132" s="22">
        <v>1</v>
      </c>
      <c r="K132" s="22">
        <v>1</v>
      </c>
      <c r="L132" s="22">
        <v>1</v>
      </c>
      <c r="P132" s="22" t="str">
        <f>IF('Data-Plot'!C132="","",$Q$11+('Data-Plot'!C132-'Data-Plot'!D132)*$P$9)</f>
        <v/>
      </c>
      <c r="Q132" s="22" t="str">
        <f>IF('Data-Plot'!C132="","",MAX('Data-Plot'!$C$11:$C$1010)*(1+$Q$9/100))</f>
        <v/>
      </c>
      <c r="R132" s="22" t="str">
        <f>IF('Data-Plot'!C132="","",('Data-Plot'!C132-'Data-Plot'!D132)*$P$9)</f>
        <v/>
      </c>
      <c r="S132" s="22">
        <v>411.17064450925847</v>
      </c>
      <c r="T132" s="22">
        <v>334.1286768143035</v>
      </c>
      <c r="U132" s="22">
        <v>67.70003502599522</v>
      </c>
      <c r="V132" s="22">
        <v>9.0334317552014696</v>
      </c>
      <c r="W132" s="22">
        <v>0.30850091375824218</v>
      </c>
    </row>
    <row r="133" spans="2:23" x14ac:dyDescent="0.25">
      <c r="C133" s="22" t="s">
        <v>61</v>
      </c>
      <c r="P133" s="22" t="str">
        <f>IF('Data-Plot'!C133="","",$Q$11+('Data-Plot'!C133-'Data-Plot'!D133)*$P$9)</f>
        <v/>
      </c>
      <c r="Q133" s="22" t="str">
        <f>IF('Data-Plot'!C133="","",MAX('Data-Plot'!$C$11:$C$1010)*(1+$Q$9/100))</f>
        <v/>
      </c>
      <c r="R133" s="22" t="str">
        <f>IF('Data-Plot'!C133="","",('Data-Plot'!C133-'Data-Plot'!D133)*$P$9)</f>
        <v/>
      </c>
      <c r="S133" s="22">
        <v>395.01093030312785</v>
      </c>
      <c r="T133" s="22">
        <v>310.46043201244288</v>
      </c>
      <c r="U133" s="22">
        <v>74.195538919893465</v>
      </c>
      <c r="V133" s="22">
        <v>10.003771000046354</v>
      </c>
      <c r="W133" s="22">
        <v>0.35118837074513143</v>
      </c>
    </row>
    <row r="134" spans="2:23" x14ac:dyDescent="0.25">
      <c r="C134" s="22">
        <v>-3.01E-5</v>
      </c>
      <c r="P134" s="22" t="str">
        <f>IF('Data-Plot'!C134="","",$Q$11+('Data-Plot'!C134-'Data-Plot'!D134)*$P$9)</f>
        <v/>
      </c>
      <c r="Q134" s="22" t="str">
        <f>IF('Data-Plot'!C134="","",MAX('Data-Plot'!$C$11:$C$1010)*(1+$Q$9/100))</f>
        <v/>
      </c>
      <c r="R134" s="22" t="str">
        <f>IF('Data-Plot'!C134="","",('Data-Plot'!C134-'Data-Plot'!D134)*$P$9)</f>
        <v/>
      </c>
      <c r="S134" s="22">
        <v>376.51552684162465</v>
      </c>
      <c r="T134" s="22">
        <v>283.71628362496125</v>
      </c>
      <c r="U134" s="22">
        <v>81.31538106540691</v>
      </c>
      <c r="V134" s="22">
        <v>11.083809318727974</v>
      </c>
      <c r="W134" s="22">
        <v>0.40005283252851009</v>
      </c>
    </row>
    <row r="135" spans="2:23" x14ac:dyDescent="0.25">
      <c r="C135" s="22">
        <v>1.018</v>
      </c>
      <c r="P135" s="22" t="str">
        <f>IF('Data-Plot'!C135="","",$Q$11+('Data-Plot'!C135-'Data-Plot'!D135)*$P$9)</f>
        <v/>
      </c>
      <c r="Q135" s="22" t="str">
        <f>IF('Data-Plot'!C135="","",MAX('Data-Plot'!$C$11:$C$1010)*(1+$Q$9/100))</f>
        <v/>
      </c>
      <c r="R135" s="22" t="str">
        <f>IF('Data-Plot'!C135="","",('Data-Plot'!C135-'Data-Plot'!D135)*$P$9)</f>
        <v/>
      </c>
      <c r="S135" s="22">
        <v>356.58520455815477</v>
      </c>
      <c r="T135" s="22">
        <v>254.82166226831529</v>
      </c>
      <c r="U135" s="22">
        <v>89.034160306989378</v>
      </c>
      <c r="V135" s="22">
        <v>12.273947617522948</v>
      </c>
      <c r="W135" s="22">
        <v>0.4554343653271497</v>
      </c>
    </row>
    <row r="136" spans="2:23" x14ac:dyDescent="0.25">
      <c r="P136" s="22" t="str">
        <f>IF('Data-Plot'!C136="","",$Q$11+('Data-Plot'!C136-'Data-Plot'!D136)*$P$9)</f>
        <v/>
      </c>
      <c r="Q136" s="22" t="str">
        <f>IF('Data-Plot'!C136="","",MAX('Data-Plot'!$C$11:$C$1010)*(1+$Q$9/100))</f>
        <v/>
      </c>
      <c r="R136" s="22" t="str">
        <f>IF('Data-Plot'!C136="","",('Data-Plot'!C136-'Data-Plot'!D136)*$P$9)</f>
        <v/>
      </c>
      <c r="S136" s="22">
        <v>336.09446167224843</v>
      </c>
      <c r="T136" s="22">
        <v>224.60242448761704</v>
      </c>
      <c r="U136" s="22">
        <v>97.389204941509959</v>
      </c>
      <c r="V136" s="22">
        <v>13.5846681483089</v>
      </c>
      <c r="W136" s="22">
        <v>0.51816409481255521</v>
      </c>
    </row>
    <row r="137" spans="2:23" x14ac:dyDescent="0.25">
      <c r="P137" s="22" t="str">
        <f>IF('Data-Plot'!C137="","",$Q$11+('Data-Plot'!C137-'Data-Plot'!D137)*$P$9)</f>
        <v/>
      </c>
      <c r="Q137" s="22" t="str">
        <f>IF('Data-Plot'!C137="","",MAX('Data-Plot'!$C$11:$C$1010)*(1+$Q$9/100))</f>
        <v/>
      </c>
      <c r="R137" s="22" t="str">
        <f>IF('Data-Plot'!C137="","",('Data-Plot'!C137-'Data-Plot'!D137)*$P$9)</f>
        <v/>
      </c>
      <c r="S137" s="22">
        <v>315.99637330713256</v>
      </c>
      <c r="T137" s="22">
        <v>193.96199165915738</v>
      </c>
      <c r="U137" s="22">
        <v>106.41784381733697</v>
      </c>
      <c r="V137" s="22">
        <v>15.027363640488083</v>
      </c>
      <c r="W137" s="22">
        <v>0.58917419015012751</v>
      </c>
    </row>
    <row r="138" spans="2:23" x14ac:dyDescent="0.25">
      <c r="C138" s="22">
        <v>1.9261534735419038E-5</v>
      </c>
      <c r="P138" s="22" t="str">
        <f>IF('Data-Plot'!C138="","",$Q$11+('Data-Plot'!C138-'Data-Plot'!D138)*$P$9)</f>
        <v/>
      </c>
      <c r="Q138" s="22" t="str">
        <f>IF('Data-Plot'!C138="","",MAX('Data-Plot'!$C$11:$C$1010)*(1+$Q$9/100))</f>
        <v/>
      </c>
      <c r="R138" s="22" t="str">
        <f>IF('Data-Plot'!C138="","",('Data-Plot'!C138-'Data-Plot'!D138)*$P$9)</f>
        <v/>
      </c>
      <c r="S138" s="22">
        <v>297.4424592415516</v>
      </c>
      <c r="T138" s="22">
        <v>164.11901910241241</v>
      </c>
      <c r="U138" s="22">
        <v>116.05683419808811</v>
      </c>
      <c r="V138" s="22">
        <v>16.597941177237381</v>
      </c>
      <c r="W138" s="22">
        <v>0.66866476381371109</v>
      </c>
    </row>
    <row r="139" spans="2:23" x14ac:dyDescent="0.25">
      <c r="C139" s="22">
        <v>2.7042330455080829E-3</v>
      </c>
      <c r="P139" s="22" t="str">
        <f>IF('Data-Plot'!C139="","",$Q$11+('Data-Plot'!C139-'Data-Plot'!D139)*$P$9)</f>
        <v/>
      </c>
      <c r="Q139" s="22" t="str">
        <f>IF('Data-Plot'!C139="","",MAX('Data-Plot'!$C$11:$C$1010)*(1+$Q$9/100))</f>
        <v/>
      </c>
      <c r="R139" s="22" t="str">
        <f>IF('Data-Plot'!C139="","",('Data-Plot'!C139-'Data-Plot'!D139)*$P$9)</f>
        <v/>
      </c>
      <c r="S139" s="22">
        <v>280.98990334498757</v>
      </c>
      <c r="T139" s="22">
        <v>135.35514545540872</v>
      </c>
      <c r="U139" s="22">
        <v>126.53425582489653</v>
      </c>
      <c r="V139" s="22">
        <v>18.341116194268253</v>
      </c>
      <c r="W139" s="22">
        <v>0.75938587041403871</v>
      </c>
    </row>
    <row r="140" spans="2:23" x14ac:dyDescent="0.25">
      <c r="P140" s="22" t="str">
        <f>IF('Data-Plot'!C140="","",$Q$11+('Data-Plot'!C140-'Data-Plot'!D140)*$P$9)</f>
        <v/>
      </c>
      <c r="Q140" s="22" t="str">
        <f>IF('Data-Plot'!C140="","",MAX('Data-Plot'!$C$11:$C$1010)*(1+$Q$9/100))</f>
        <v/>
      </c>
      <c r="R140" s="22" t="str">
        <f>IF('Data-Plot'!C140="","",('Data-Plot'!C140-'Data-Plot'!D140)*$P$9)</f>
        <v/>
      </c>
      <c r="S140" s="22">
        <v>267.66487971048753</v>
      </c>
      <c r="T140" s="22">
        <v>108.7556376560925</v>
      </c>
      <c r="U140" s="22">
        <v>137.79089357143752</v>
      </c>
      <c r="V140" s="22">
        <v>20.256448784309569</v>
      </c>
      <c r="W140" s="22">
        <v>0.86189969864796545</v>
      </c>
    </row>
    <row r="141" spans="2:23" x14ac:dyDescent="0.25">
      <c r="P141" s="22" t="str">
        <f>IF('Data-Plot'!C141="","",$Q$11+('Data-Plot'!C141-'Data-Plot'!D141)*$P$9)</f>
        <v/>
      </c>
      <c r="Q141" s="22" t="str">
        <f>IF('Data-Plot'!C141="","",MAX('Data-Plot'!$C$11:$C$1010)*(1+$Q$9/100))</f>
        <v/>
      </c>
      <c r="R141" s="22" t="str">
        <f>IF('Data-Plot'!C141="","",('Data-Plot'!C141-'Data-Plot'!D141)*$P$9)</f>
        <v/>
      </c>
      <c r="S141" s="22">
        <v>258.13794953932182</v>
      </c>
      <c r="T141" s="22">
        <v>84.943195183548923</v>
      </c>
      <c r="U141" s="22">
        <v>149.85741481874604</v>
      </c>
      <c r="V141" s="22">
        <v>22.359668412021311</v>
      </c>
      <c r="W141" s="22">
        <v>0.97767112500551945</v>
      </c>
    </row>
    <row r="142" spans="2:23" x14ac:dyDescent="0.25">
      <c r="B142" s="22">
        <f>COUNTIF(C142:L142,"&lt;&gt;1")</f>
        <v>0</v>
      </c>
      <c r="C142" s="22">
        <v>1</v>
      </c>
      <c r="D142" s="22">
        <v>1</v>
      </c>
      <c r="E142" s="22">
        <v>1</v>
      </c>
      <c r="F142" s="22">
        <v>1</v>
      </c>
      <c r="G142" s="22">
        <v>1</v>
      </c>
      <c r="H142" s="22">
        <v>1</v>
      </c>
      <c r="I142" s="22">
        <v>1</v>
      </c>
      <c r="J142" s="22">
        <v>1</v>
      </c>
      <c r="K142" s="22">
        <v>1</v>
      </c>
      <c r="L142" s="22">
        <v>1</v>
      </c>
      <c r="P142" s="22" t="str">
        <f>IF('Data-Plot'!C142="","",$Q$11+('Data-Plot'!C142-'Data-Plot'!D142)*$P$9)</f>
        <v/>
      </c>
      <c r="Q142" s="22" t="str">
        <f>IF('Data-Plot'!C142="","",MAX('Data-Plot'!$C$11:$C$1010)*(1+$Q$9/100))</f>
        <v/>
      </c>
      <c r="R142" s="22" t="str">
        <f>IF('Data-Plot'!C142="","",('Data-Plot'!C142-'Data-Plot'!D142)*$P$9)</f>
        <v/>
      </c>
      <c r="S142" s="22">
        <v>252.87433226243618</v>
      </c>
      <c r="T142" s="22">
        <v>64.33777563564783</v>
      </c>
      <c r="U142" s="22">
        <v>162.76043647646895</v>
      </c>
      <c r="V142" s="22">
        <v>24.66778181243086</v>
      </c>
      <c r="W142" s="22">
        <v>1.1083383378885365</v>
      </c>
    </row>
    <row r="143" spans="2:23" x14ac:dyDescent="0.25">
      <c r="C143" s="22" t="s">
        <v>61</v>
      </c>
      <c r="D143" s="22" t="s">
        <v>61</v>
      </c>
      <c r="E143" s="22" t="s">
        <v>61</v>
      </c>
      <c r="F143" s="22" t="s">
        <v>61</v>
      </c>
      <c r="G143" s="22" t="s">
        <v>61</v>
      </c>
      <c r="P143" s="22" t="str">
        <f>IF('Data-Plot'!C143="","",$Q$11+('Data-Plot'!C143-'Data-Plot'!D143)*$P$9)</f>
        <v/>
      </c>
      <c r="Q143" s="22" t="str">
        <f>IF('Data-Plot'!C143="","",MAX('Data-Plot'!$C$11:$C$1010)*(1+$Q$9/100))</f>
        <v/>
      </c>
      <c r="R143" s="22" t="str">
        <f>IF('Data-Plot'!C143="","",('Data-Plot'!C143-'Data-Plot'!D143)*$P$9)</f>
        <v/>
      </c>
      <c r="S143" s="22">
        <v>252.09618133040951</v>
      </c>
      <c r="T143" s="22">
        <v>47.288325384676909</v>
      </c>
      <c r="U143" s="22">
        <v>176.38073597896951</v>
      </c>
      <c r="V143" s="22">
        <v>27.17293542177649</v>
      </c>
      <c r="W143" s="22">
        <v>1.2541845449865958</v>
      </c>
    </row>
    <row r="144" spans="2:23" x14ac:dyDescent="0.25">
      <c r="C144" s="22">
        <v>2.3E-2</v>
      </c>
      <c r="D144" s="22">
        <v>-1.0999999999999999E-2</v>
      </c>
      <c r="E144" s="22">
        <v>1.4E-2</v>
      </c>
      <c r="F144" s="22">
        <v>-3.5000000000000003E-2</v>
      </c>
      <c r="G144" s="22">
        <v>-0.01</v>
      </c>
      <c r="P144" s="22" t="str">
        <f>IF('Data-Plot'!C144="","",$Q$11+('Data-Plot'!C144-'Data-Plot'!D144)*$P$9)</f>
        <v/>
      </c>
      <c r="Q144" s="22" t="str">
        <f>IF('Data-Plot'!C144="","",MAX('Data-Plot'!$C$11:$C$1010)*(1+$Q$9/100))</f>
        <v/>
      </c>
      <c r="R144" s="22" t="str">
        <f>IF('Data-Plot'!C144="","",('Data-Plot'!C144-'Data-Plot'!D144)*$P$9)</f>
        <v/>
      </c>
      <c r="S144" s="22">
        <v>255.79851973496346</v>
      </c>
      <c r="T144" s="22">
        <v>33.428413721317199</v>
      </c>
      <c r="U144" s="22">
        <v>191.00508372278773</v>
      </c>
      <c r="V144" s="22">
        <v>29.94486836788991</v>
      </c>
      <c r="W144" s="22">
        <v>1.4201539229686151</v>
      </c>
    </row>
    <row r="145" spans="2:23" x14ac:dyDescent="0.25">
      <c r="C145" s="22">
        <v>157.77799999999999</v>
      </c>
      <c r="D145" s="22">
        <v>216.44800000000001</v>
      </c>
      <c r="E145" s="22">
        <v>273.024</v>
      </c>
      <c r="F145" s="22">
        <v>328.95100000000002</v>
      </c>
      <c r="G145" s="22">
        <v>398.791</v>
      </c>
      <c r="P145" s="22" t="str">
        <f>IF('Data-Plot'!C145="","",$Q$11+('Data-Plot'!C145-'Data-Plot'!D145)*$P$9)</f>
        <v/>
      </c>
      <c r="Q145" s="22" t="str">
        <f>IF('Data-Plot'!C145="","",MAX('Data-Plot'!$C$11:$C$1010)*(1+$Q$9/100))</f>
        <v/>
      </c>
      <c r="R145" s="22" t="str">
        <f>IF('Data-Plot'!C145="","",('Data-Plot'!C145-'Data-Plot'!D145)*$P$9)</f>
        <v/>
      </c>
      <c r="S145" s="22">
        <v>263.82088601827547</v>
      </c>
      <c r="T145" s="22">
        <v>22.725152358696128</v>
      </c>
      <c r="U145" s="22">
        <v>206.50759640582316</v>
      </c>
      <c r="V145" s="22">
        <v>32.980982501493429</v>
      </c>
      <c r="W145" s="22">
        <v>1.6071547522627923</v>
      </c>
    </row>
    <row r="146" spans="2:23" x14ac:dyDescent="0.25">
      <c r="P146" s="22" t="str">
        <f>IF('Data-Plot'!C146="","",$Q$11+('Data-Plot'!C146-'Data-Plot'!D146)*$P$9)</f>
        <v/>
      </c>
      <c r="Q146" s="22" t="str">
        <f>IF('Data-Plot'!C146="","",MAX('Data-Plot'!$C$11:$C$1010)*(1+$Q$9/100))</f>
        <v/>
      </c>
      <c r="R146" s="22" t="str">
        <f>IF('Data-Plot'!C146="","",('Data-Plot'!C146-'Data-Plot'!D146)*$P$9)</f>
        <v/>
      </c>
      <c r="S146" s="22">
        <v>275.81447632812581</v>
      </c>
      <c r="T146" s="22">
        <v>14.80863520028543</v>
      </c>
      <c r="U146" s="22">
        <v>222.88391116695743</v>
      </c>
      <c r="V146" s="22">
        <v>36.304198168428698</v>
      </c>
      <c r="W146" s="22">
        <v>1.8177317924542682</v>
      </c>
    </row>
    <row r="147" spans="2:23" x14ac:dyDescent="0.25">
      <c r="P147" s="22" t="str">
        <f>IF('Data-Plot'!C147="","",$Q$11+('Data-Plot'!C147-'Data-Plot'!D147)*$P$9)</f>
        <v/>
      </c>
      <c r="Q147" s="22" t="str">
        <f>IF('Data-Plot'!C147="","",MAX('Data-Plot'!$C$11:$C$1010)*(1+$Q$9/100))</f>
        <v/>
      </c>
      <c r="R147" s="22" t="str">
        <f>IF('Data-Plot'!C147="","",('Data-Plot'!C147-'Data-Plot'!D147)*$P$9)</f>
        <v/>
      </c>
      <c r="S147" s="22">
        <v>291.32860984875322</v>
      </c>
      <c r="T147" s="22">
        <v>9.2175836005125174</v>
      </c>
      <c r="U147" s="22">
        <v>240.1171781549651</v>
      </c>
      <c r="V147" s="22">
        <v>39.939125373817951</v>
      </c>
      <c r="W147" s="22">
        <v>2.054722719457617</v>
      </c>
    </row>
    <row r="148" spans="2:23" x14ac:dyDescent="0.25">
      <c r="C148" s="22">
        <v>3.8365043542233869E-3</v>
      </c>
      <c r="D148" s="22">
        <v>1.3635856892184434E-3</v>
      </c>
      <c r="E148" s="22">
        <v>1.3215718281147799E-2</v>
      </c>
      <c r="F148" s="22">
        <v>1.4309340352145379E-3</v>
      </c>
      <c r="G148" s="22">
        <v>6.9758217202812566E-3</v>
      </c>
      <c r="P148" s="22" t="str">
        <f>IF('Data-Plot'!C148="","",$Q$11+('Data-Plot'!C148-'Data-Plot'!D148)*$P$9)</f>
        <v/>
      </c>
      <c r="Q148" s="22" t="str">
        <f>IF('Data-Plot'!C148="","",MAX('Data-Plot'!$C$11:$C$1010)*(1+$Q$9/100))</f>
        <v/>
      </c>
      <c r="R148" s="22" t="str">
        <f>IF('Data-Plot'!C148="","",('Data-Plot'!C148-'Data-Plot'!D148)*$P$9)</f>
        <v/>
      </c>
      <c r="S148" s="22">
        <v>309.67210292505695</v>
      </c>
      <c r="T148" s="22">
        <v>5.489507146466992</v>
      </c>
      <c r="U148" s="22">
        <v>257.99305218976303</v>
      </c>
      <c r="V148" s="22">
        <v>43.871048935858902</v>
      </c>
      <c r="W148" s="22">
        <v>2.3184946529679911</v>
      </c>
    </row>
    <row r="149" spans="2:23" x14ac:dyDescent="0.25">
      <c r="C149" s="22">
        <v>0.53862799597421729</v>
      </c>
      <c r="D149" s="22">
        <v>0.1914413120147567</v>
      </c>
      <c r="E149" s="22">
        <v>1.8554275444255075</v>
      </c>
      <c r="F149" s="22">
        <v>0.20089671758366234</v>
      </c>
      <c r="G149" s="22">
        <v>0.97937406726314147</v>
      </c>
      <c r="P149" s="22" t="str">
        <f>IF('Data-Plot'!C149="","",$Q$11+('Data-Plot'!C149-'Data-Plot'!D149)*$P$9)</f>
        <v/>
      </c>
      <c r="Q149" s="22" t="str">
        <f>IF('Data-Plot'!C149="","",MAX('Data-Plot'!$C$11:$C$1010)*(1+$Q$9/100))</f>
        <v/>
      </c>
      <c r="R149" s="22" t="str">
        <f>IF('Data-Plot'!C149="","",('Data-Plot'!C149-'Data-Plot'!D149)*$P$9)</f>
        <v/>
      </c>
      <c r="S149" s="22">
        <v>330.72826000034814</v>
      </c>
      <c r="T149" s="22">
        <v>3.0832330891338793</v>
      </c>
      <c r="U149" s="22">
        <v>276.82064154907749</v>
      </c>
      <c r="V149" s="22">
        <v>48.206570834844022</v>
      </c>
      <c r="W149" s="22">
        <v>2.6178145272927407</v>
      </c>
    </row>
    <row r="150" spans="2:23" x14ac:dyDescent="0.25">
      <c r="P150" s="22" t="str">
        <f>IF('Data-Plot'!C150="","",$Q$11+('Data-Plot'!C150-'Data-Plot'!D150)*$P$9)</f>
        <v/>
      </c>
      <c r="Q150" s="22" t="str">
        <f>IF('Data-Plot'!C150="","",MAX('Data-Plot'!$C$11:$C$1010)*(1+$Q$9/100))</f>
        <v/>
      </c>
      <c r="R150" s="22" t="str">
        <f>IF('Data-Plot'!C150="","",('Data-Plot'!C150-'Data-Plot'!D150)*$P$9)</f>
        <v/>
      </c>
      <c r="S150" s="22">
        <v>353.88296700633418</v>
      </c>
      <c r="T150" s="22">
        <v>1.6340691581234223</v>
      </c>
      <c r="U150" s="22">
        <v>296.35661177855155</v>
      </c>
      <c r="V150" s="22">
        <v>52.938172784853684</v>
      </c>
      <c r="W150" s="22">
        <v>2.9541132848055578</v>
      </c>
    </row>
    <row r="151" spans="2:23" x14ac:dyDescent="0.25">
      <c r="P151" s="22" t="str">
        <f>IF('Data-Plot'!C151="","",$Q$11+('Data-Plot'!C151-'Data-Plot'!D151)*$P$9)</f>
        <v/>
      </c>
      <c r="Q151" s="22" t="str">
        <f>IF('Data-Plot'!C151="","",MAX('Data-Plot'!$C$11:$C$1010)*(1+$Q$9/100))</f>
        <v/>
      </c>
      <c r="R151" s="22" t="str">
        <f>IF('Data-Plot'!C151="","",('Data-Plot'!C151-'Data-Plot'!D151)*$P$9)</f>
        <v/>
      </c>
      <c r="S151" s="22">
        <v>378.75278420747151</v>
      </c>
      <c r="T151" s="22">
        <v>0.81333820458890627</v>
      </c>
      <c r="U151" s="22">
        <v>316.50980983293817</v>
      </c>
      <c r="V151" s="22">
        <v>58.097887718696725</v>
      </c>
      <c r="W151" s="22">
        <v>3.33174845124775</v>
      </c>
    </row>
    <row r="152" spans="2:23" x14ac:dyDescent="0.25">
      <c r="B152" s="22">
        <f>COUNTIF(C152:L152,"&lt;&gt;1")</f>
        <v>0</v>
      </c>
      <c r="C152" s="22">
        <v>1</v>
      </c>
      <c r="D152" s="22">
        <v>1</v>
      </c>
      <c r="E152" s="22">
        <v>1</v>
      </c>
      <c r="F152" s="22">
        <v>1</v>
      </c>
      <c r="G152" s="22">
        <v>1</v>
      </c>
      <c r="H152" s="22">
        <v>1</v>
      </c>
      <c r="I152" s="22">
        <v>1</v>
      </c>
      <c r="J152" s="22">
        <v>1</v>
      </c>
      <c r="K152" s="22">
        <v>1</v>
      </c>
      <c r="L152" s="22">
        <v>1</v>
      </c>
      <c r="P152" s="22" t="str">
        <f>IF('Data-Plot'!C152="","",$Q$11+('Data-Plot'!C152-'Data-Plot'!D152)*$P$9)</f>
        <v/>
      </c>
      <c r="Q152" s="22" t="str">
        <f>IF('Data-Plot'!C152="","",MAX('Data-Plot'!$C$11:$C$1010)*(1+$Q$9/100))</f>
        <v/>
      </c>
      <c r="R152" s="22" t="str">
        <f>IF('Data-Plot'!C152="","",('Data-Plot'!C152-'Data-Plot'!D152)*$P$9)</f>
        <v/>
      </c>
      <c r="S152" s="22">
        <v>405.01740865704107</v>
      </c>
      <c r="T152" s="22">
        <v>0.3782651561271958</v>
      </c>
      <c r="U152" s="22">
        <v>337.16384077641794</v>
      </c>
      <c r="V152" s="22">
        <v>63.719737620294062</v>
      </c>
      <c r="W152" s="22">
        <v>3.7555651042018656</v>
      </c>
    </row>
    <row r="153" spans="2:23" x14ac:dyDescent="0.25">
      <c r="P153" s="22" t="str">
        <f>IF('Data-Plot'!C153="","",$Q$11+('Data-Plot'!C153-'Data-Plot'!D153)*$P$9)</f>
        <v/>
      </c>
      <c r="Q153" s="22" t="str">
        <f>IF('Data-Plot'!C153="","",MAX('Data-Plot'!$C$11:$C$1010)*(1+$Q$9/100))</f>
        <v/>
      </c>
      <c r="R153" s="22" t="str">
        <f>IF('Data-Plot'!C153="","",('Data-Plot'!C153-'Data-Plot'!D153)*$P$9)</f>
        <v/>
      </c>
      <c r="S153" s="22">
        <v>432.13263942442927</v>
      </c>
      <c r="T153" s="22">
        <v>0.16490587839336301</v>
      </c>
      <c r="U153" s="22">
        <v>357.96516973808292</v>
      </c>
      <c r="V153" s="22">
        <v>69.776595275990275</v>
      </c>
      <c r="W153" s="22">
        <v>4.2259685319627529</v>
      </c>
    </row>
    <row r="154" spans="2:23" x14ac:dyDescent="0.25">
      <c r="P154" s="22" t="str">
        <f>IF('Data-Plot'!C154="","",$Q$11+('Data-Plot'!C154-'Data-Plot'!D154)*$P$9)</f>
        <v/>
      </c>
      <c r="Q154" s="22" t="str">
        <f>IF('Data-Plot'!C154="","",MAX('Data-Plot'!$C$11:$C$1010)*(1+$Q$9/100))</f>
        <v/>
      </c>
      <c r="R154" s="22" t="str">
        <f>IF('Data-Plot'!C154="","",('Data-Plot'!C154-'Data-Plot'!D154)*$P$9)</f>
        <v/>
      </c>
      <c r="S154" s="22">
        <v>460.40838856016734</v>
      </c>
      <c r="T154" s="22">
        <v>6.5892940980149889E-2</v>
      </c>
      <c r="U154" s="22">
        <v>379.15688815656716</v>
      </c>
      <c r="V154" s="22">
        <v>76.427313982249331</v>
      </c>
      <c r="W154" s="22">
        <v>4.7582934803707229</v>
      </c>
    </row>
    <row r="155" spans="2:23" x14ac:dyDescent="0.25">
      <c r="P155" s="22" t="str">
        <f>IF('Data-Plot'!C155="","",$Q$11+('Data-Plot'!C155-'Data-Plot'!D155)*$P$9)</f>
        <v/>
      </c>
      <c r="Q155" s="22" t="str">
        <f>IF('Data-Plot'!C155="","",MAX('Data-Plot'!$C$11:$C$1010)*(1+$Q$9/100))</f>
        <v/>
      </c>
      <c r="R155" s="22" t="str">
        <f>IF('Data-Plot'!C155="","",('Data-Plot'!C155-'Data-Plot'!D155)*$P$9)</f>
        <v/>
      </c>
      <c r="S155" s="22">
        <v>489.35878028905535</v>
      </c>
      <c r="T155" s="22">
        <v>2.4170969411204578E-2</v>
      </c>
      <c r="U155" s="22">
        <v>400.32602826135548</v>
      </c>
      <c r="V155" s="22">
        <v>83.65385169958715</v>
      </c>
      <c r="W155" s="22">
        <v>5.3547293587014879</v>
      </c>
    </row>
    <row r="156" spans="2:23" x14ac:dyDescent="0.25">
      <c r="P156" s="22" t="str">
        <f>IF('Data-Plot'!C156="","",$Q$11+('Data-Plot'!C156-'Data-Plot'!D156)*$P$9)</f>
        <v/>
      </c>
      <c r="Q156" s="22" t="str">
        <f>IF('Data-Plot'!C156="","",MAX('Data-Plot'!$C$11:$C$1010)*(1+$Q$9/100))</f>
        <v/>
      </c>
      <c r="R156" s="22" t="str">
        <f>IF('Data-Plot'!C156="","",('Data-Plot'!C156-'Data-Plot'!D156)*$P$9)</f>
        <v/>
      </c>
      <c r="S156" s="22">
        <v>518.76132400761355</v>
      </c>
      <c r="T156" s="22">
        <v>8.0842520769935679E-3</v>
      </c>
      <c r="U156" s="22">
        <v>421.23248818753342</v>
      </c>
      <c r="V156" s="22">
        <v>91.498122501616322</v>
      </c>
      <c r="W156" s="22">
        <v>6.0226290663867443</v>
      </c>
    </row>
    <row r="157" spans="2:23" x14ac:dyDescent="0.25">
      <c r="P157" s="22" t="str">
        <f>IF('Data-Plot'!C157="","",$Q$11+('Data-Plot'!C157-'Data-Plot'!D157)*$P$9)</f>
        <v/>
      </c>
      <c r="Q157" s="22" t="str">
        <f>IF('Data-Plot'!C157="","",MAX('Data-Plot'!$C$11:$C$1010)*(1+$Q$9/100))</f>
        <v/>
      </c>
      <c r="R157" s="22" t="str">
        <f>IF('Data-Plot'!C157="","",('Data-Plot'!C157-'Data-Plot'!D157)*$P$9)</f>
        <v/>
      </c>
      <c r="S157" s="22">
        <v>548.37841530037224</v>
      </c>
      <c r="T157" s="22">
        <v>2.4473296648710417E-3</v>
      </c>
      <c r="U157" s="22">
        <v>441.60197133396952</v>
      </c>
      <c r="V157" s="22">
        <v>100.00385321006743</v>
      </c>
      <c r="W157" s="22">
        <v>6.7701434266703675</v>
      </c>
    </row>
    <row r="158" spans="2:23" x14ac:dyDescent="0.25">
      <c r="P158" s="22" t="str">
        <f>IF('Data-Plot'!C158="","",$Q$11+('Data-Plot'!C158-'Data-Plot'!D158)*$P$9)</f>
        <v/>
      </c>
      <c r="Q158" s="22" t="str">
        <f>IF('Data-Plot'!C158="","",MAX('Data-Plot'!$C$11:$C$1010)*(1+$Q$9/100))</f>
        <v/>
      </c>
      <c r="R158" s="22" t="str">
        <f>IF('Data-Plot'!C158="","",('Data-Plot'!C158-'Data-Plot'!D158)*$P$9)</f>
        <v/>
      </c>
      <c r="S158" s="22">
        <v>577.65819283225801</v>
      </c>
      <c r="T158" s="22">
        <v>6.7432956603072456E-4</v>
      </c>
      <c r="U158" s="22">
        <v>460.93836396803647</v>
      </c>
      <c r="V158" s="22">
        <v>109.12159757592636</v>
      </c>
      <c r="W158" s="22">
        <v>7.5975569587290996</v>
      </c>
    </row>
    <row r="159" spans="2:23" x14ac:dyDescent="0.25">
      <c r="P159" s="22" t="str">
        <f>IF('Data-Plot'!C159="","",$Q$11+('Data-Plot'!C159-'Data-Plot'!D159)*$P$9)</f>
        <v/>
      </c>
      <c r="Q159" s="22" t="str">
        <f>IF('Data-Plot'!C159="","",MAX('Data-Plot'!$C$11:$C$1010)*(1+$Q$9/100))</f>
        <v/>
      </c>
      <c r="R159" s="22" t="str">
        <f>IF('Data-Plot'!C159="","",('Data-Plot'!C159-'Data-Plot'!D159)*$P$9)</f>
        <v/>
      </c>
      <c r="S159" s="22">
        <v>606.90311858512484</v>
      </c>
      <c r="T159" s="22">
        <v>1.634328554697049E-4</v>
      </c>
      <c r="U159" s="22">
        <v>479.29148022783352</v>
      </c>
      <c r="V159" s="22">
        <v>119.08014769737852</v>
      </c>
      <c r="W159" s="22">
        <v>8.5313272270572647</v>
      </c>
    </row>
    <row r="160" spans="2:23" x14ac:dyDescent="0.25">
      <c r="P160" s="22" t="str">
        <f>IF('Data-Plot'!C160="","",$Q$11+('Data-Plot'!C160-'Data-Plot'!D160)*$P$9)</f>
        <v/>
      </c>
      <c r="Q160" s="22" t="str">
        <f>IF('Data-Plot'!C160="","",MAX('Data-Plot'!$C$11:$C$1010)*(1+$Q$9/100))</f>
        <v/>
      </c>
      <c r="R160" s="22" t="str">
        <f>IF('Data-Plot'!C160="","",('Data-Plot'!C160-'Data-Plot'!D160)*$P$9)</f>
        <v/>
      </c>
      <c r="S160" s="22">
        <v>635.50997003264706</v>
      </c>
      <c r="T160" s="22">
        <v>3.495521172782024E-5</v>
      </c>
      <c r="U160" s="22">
        <v>496.0953652156378</v>
      </c>
      <c r="V160" s="22">
        <v>129.83988697558479</v>
      </c>
      <c r="W160" s="22">
        <v>9.5746828862126652</v>
      </c>
    </row>
    <row r="161" spans="2:23" x14ac:dyDescent="0.25">
      <c r="P161" s="22" t="str">
        <f>IF('Data-Plot'!C161="","",$Q$11+('Data-Plot'!C161-'Data-Plot'!D161)*$P$9)</f>
        <v/>
      </c>
      <c r="Q161" s="22" t="str">
        <f>IF('Data-Plot'!C161="","",MAX('Data-Plot'!$C$11:$C$1010)*(1+$Q$9/100))</f>
        <v/>
      </c>
      <c r="R161" s="22" t="str">
        <f>IF('Data-Plot'!C161="","",('Data-Plot'!C161-'Data-Plot'!D161)*$P$9)</f>
        <v/>
      </c>
      <c r="S161" s="22">
        <v>663.14875187457324</v>
      </c>
      <c r="T161" s="22">
        <v>6.5336680412122752E-6</v>
      </c>
      <c r="U161" s="22">
        <v>510.95930890086328</v>
      </c>
      <c r="V161" s="22">
        <v>141.44959639416749</v>
      </c>
      <c r="W161" s="22">
        <v>10.739840045874431</v>
      </c>
    </row>
    <row r="162" spans="2:23" x14ac:dyDescent="0.25">
      <c r="B162" s="22">
        <f>COUNTIF(C162:L162,"&lt;&gt;1")</f>
        <v>1</v>
      </c>
      <c r="C162" s="22">
        <v>0</v>
      </c>
      <c r="D162" s="22">
        <v>1</v>
      </c>
      <c r="E162" s="22">
        <v>1</v>
      </c>
      <c r="F162" s="22">
        <v>1</v>
      </c>
      <c r="G162" s="22">
        <v>1</v>
      </c>
      <c r="H162" s="22">
        <v>1</v>
      </c>
      <c r="I162" s="22">
        <v>1</v>
      </c>
      <c r="J162" s="22">
        <v>1</v>
      </c>
      <c r="K162" s="22">
        <v>1</v>
      </c>
      <c r="L162" s="22">
        <v>1</v>
      </c>
      <c r="P162" s="22" t="str">
        <f>IF('Data-Plot'!C162="","",$Q$11+('Data-Plot'!C162-'Data-Plot'!D162)*$P$9)</f>
        <v/>
      </c>
      <c r="Q162" s="22" t="str">
        <f>IF('Data-Plot'!C162="","",MAX('Data-Plot'!$C$11:$C$1010)*(1+$Q$9/100))</f>
        <v/>
      </c>
      <c r="R162" s="22" t="str">
        <f>IF('Data-Plot'!C162="","",('Data-Plot'!C162-'Data-Plot'!D162)*$P$9)</f>
        <v/>
      </c>
      <c r="S162" s="22">
        <v>689.47617192510745</v>
      </c>
      <c r="T162" s="22">
        <v>1.0561670034757977E-6</v>
      </c>
      <c r="U162" s="22">
        <v>523.4774502059721</v>
      </c>
      <c r="V162" s="22">
        <v>153.95842516237249</v>
      </c>
      <c r="W162" s="22">
        <v>12.04029550059586</v>
      </c>
    </row>
    <row r="163" spans="2:23" x14ac:dyDescent="0.25">
      <c r="C163" s="22" t="s">
        <v>63</v>
      </c>
      <c r="D163" s="22" t="s">
        <v>61</v>
      </c>
      <c r="E163" s="22" t="s">
        <v>61</v>
      </c>
      <c r="F163" s="22" t="s">
        <v>61</v>
      </c>
      <c r="G163" s="22" t="s">
        <v>98</v>
      </c>
      <c r="P163" s="22" t="str">
        <f>IF('Data-Plot'!C163="","",$Q$11+('Data-Plot'!C163-'Data-Plot'!D163)*$P$9)</f>
        <v/>
      </c>
      <c r="Q163" s="22" t="str">
        <f>IF('Data-Plot'!C163="","",MAX('Data-Plot'!$C$11:$C$1010)*(1+$Q$9/100))</f>
        <v/>
      </c>
      <c r="R163" s="22" t="str">
        <f>IF('Data-Plot'!C163="","",('Data-Plot'!C163-'Data-Plot'!D163)*$P$9)</f>
        <v/>
      </c>
      <c r="S163" s="22">
        <v>713.91023035650653</v>
      </c>
      <c r="T163" s="22">
        <v>1.490130763901425E-7</v>
      </c>
      <c r="U163" s="22">
        <v>533.15717703827238</v>
      </c>
      <c r="V163" s="22">
        <v>167.27725374851121</v>
      </c>
      <c r="W163" s="22">
        <v>13.475799420709873</v>
      </c>
    </row>
    <row r="164" spans="2:23" x14ac:dyDescent="0.25">
      <c r="C164" s="22">
        <v>160732416258.10001</v>
      </c>
      <c r="D164" s="22">
        <v>3567163.5989999999</v>
      </c>
      <c r="E164" s="22">
        <v>-4916314.6050000004</v>
      </c>
      <c r="F164" s="22">
        <v>23952204.324000001</v>
      </c>
      <c r="G164" s="22">
        <v>6.0062566644557299E+17</v>
      </c>
      <c r="P164" s="22" t="str">
        <f>IF('Data-Plot'!C164="","",$Q$11+('Data-Plot'!C164-'Data-Plot'!D164)*$P$9)</f>
        <v/>
      </c>
      <c r="Q164" s="22" t="str">
        <f>IF('Data-Plot'!C164="","",MAX('Data-Plot'!$C$11:$C$1010)*(1+$Q$9/100))</f>
        <v/>
      </c>
      <c r="R164" s="22" t="str">
        <f>IF('Data-Plot'!C164="","",('Data-Plot'!C164-'Data-Plot'!D164)*$P$9)</f>
        <v/>
      </c>
      <c r="S164" s="22">
        <v>736.60364225941544</v>
      </c>
      <c r="T164" s="22">
        <v>1.7435809311623355E-8</v>
      </c>
      <c r="U164" s="22">
        <v>539.79218053645354</v>
      </c>
      <c r="V164" s="22">
        <v>181.7201028455558</v>
      </c>
      <c r="W164" s="22">
        <v>15.091358859970381</v>
      </c>
    </row>
    <row r="165" spans="2:23" x14ac:dyDescent="0.25">
      <c r="C165" s="22">
        <v>850285240.96000004</v>
      </c>
      <c r="D165" s="22">
        <v>6075612267.7519999</v>
      </c>
      <c r="E165" s="22">
        <v>8351184398.651</v>
      </c>
      <c r="F165" s="22">
        <v>12608525338.757999</v>
      </c>
      <c r="G165" s="22">
        <v>3668952763127620</v>
      </c>
      <c r="P165" s="22" t="str">
        <f>IF('Data-Plot'!C165="","",$Q$11+('Data-Plot'!C165-'Data-Plot'!D165)*$P$9)</f>
        <v/>
      </c>
      <c r="Q165" s="22" t="str">
        <f>IF('Data-Plot'!C165="","",MAX('Data-Plot'!$C$11:$C$1010)*(1+$Q$9/100))</f>
        <v/>
      </c>
      <c r="R165" s="22" t="str">
        <f>IF('Data-Plot'!C165="","",('Data-Plot'!C165-'Data-Plot'!D165)*$P$9)</f>
        <v/>
      </c>
      <c r="S165" s="22">
        <v>756.98715648985694</v>
      </c>
      <c r="T165" s="22">
        <v>1.7019588039616236E-9</v>
      </c>
      <c r="U165" s="22">
        <v>542.89076308637277</v>
      </c>
      <c r="V165" s="22">
        <v>197.20489918174093</v>
      </c>
      <c r="W165" s="22">
        <v>16.891494220041317</v>
      </c>
    </row>
    <row r="166" spans="2:23" x14ac:dyDescent="0.25">
      <c r="C166" s="22">
        <v>-8308207.6730000004</v>
      </c>
      <c r="G166" s="22">
        <v>-11542244742188.301</v>
      </c>
      <c r="P166" s="22" t="str">
        <f>IF('Data-Plot'!C166="","",$Q$11+('Data-Plot'!C166-'Data-Plot'!D166)*$P$9)</f>
        <v/>
      </c>
      <c r="Q166" s="22" t="str">
        <f>IF('Data-Plot'!C166="","",MAX('Data-Plot'!$C$11:$C$1010)*(1+$Q$9/100))</f>
        <v/>
      </c>
      <c r="R166" s="22" t="str">
        <f>IF('Data-Plot'!C166="","",('Data-Plot'!C166-'Data-Plot'!D166)*$P$9)</f>
        <v/>
      </c>
      <c r="S166" s="22">
        <v>774.78382339420534</v>
      </c>
      <c r="T166" s="22">
        <v>1.3669317332646798E-10</v>
      </c>
      <c r="U166" s="22">
        <v>542.11237324031345</v>
      </c>
      <c r="V166" s="22">
        <v>213.77529964869657</v>
      </c>
      <c r="W166" s="22">
        <v>18.89615050505866</v>
      </c>
    </row>
    <row r="167" spans="2:23" x14ac:dyDescent="0.25">
      <c r="C167" s="22">
        <v>17200.781999999999</v>
      </c>
      <c r="P167" s="22" t="str">
        <f>IF('Data-Plot'!C167="","",$Q$11+('Data-Plot'!C167-'Data-Plot'!D167)*$P$9)</f>
        <v/>
      </c>
      <c r="Q167" s="22" t="str">
        <f>IF('Data-Plot'!C167="","",MAX('Data-Plot'!$C$11:$C$1010)*(1+$Q$9/100))</f>
        <v/>
      </c>
      <c r="R167" s="22" t="str">
        <f>IF('Data-Plot'!C167="","",('Data-Plot'!C167-'Data-Plot'!D167)*$P$9)</f>
        <v/>
      </c>
      <c r="S167" s="22">
        <v>789.77396395536744</v>
      </c>
      <c r="T167" s="22">
        <v>8.9003973607630589E-12</v>
      </c>
      <c r="U167" s="22">
        <v>537.17557163670756</v>
      </c>
      <c r="V167" s="22">
        <v>231.47111242964667</v>
      </c>
      <c r="W167" s="22">
        <v>21.127279889004278</v>
      </c>
    </row>
    <row r="168" spans="2:23" x14ac:dyDescent="0.25">
      <c r="C168" s="22">
        <v>12079071142.6</v>
      </c>
      <c r="D168" s="22">
        <v>392815.40508908033</v>
      </c>
      <c r="E168" s="22">
        <v>4837099.5285869241</v>
      </c>
      <c r="F168" s="22">
        <v>730885.61522452137</v>
      </c>
      <c r="G168" s="22">
        <v>4.58196195908726E+16</v>
      </c>
      <c r="P168" s="22" t="str">
        <f>IF('Data-Plot'!C168="","",$Q$11+('Data-Plot'!C168-'Data-Plot'!D168)*$P$9)</f>
        <v/>
      </c>
      <c r="Q168" s="22" t="str">
        <f>IF('Data-Plot'!C168="","",MAX('Data-Plot'!$C$11:$C$1010)*(1+$Q$9/100))</f>
        <v/>
      </c>
      <c r="R168" s="22" t="str">
        <f>IF('Data-Plot'!C168="","",('Data-Plot'!C168-'Data-Plot'!D168)*$P$9)</f>
        <v/>
      </c>
      <c r="S168" s="22">
        <v>801.70970988390548</v>
      </c>
      <c r="T168" s="22">
        <v>4.7673292595600279E-13</v>
      </c>
      <c r="U168" s="22">
        <v>527.99204243432825</v>
      </c>
      <c r="V168" s="22">
        <v>250.13452992064668</v>
      </c>
      <c r="W168" s="22">
        <v>23.583137528930052</v>
      </c>
    </row>
    <row r="169" spans="2:23" x14ac:dyDescent="0.25">
      <c r="C169" s="22">
        <v>408388054.07300001</v>
      </c>
      <c r="D169" s="22">
        <v>55149520.213111177</v>
      </c>
      <c r="E169" s="22">
        <v>679107068.53296649</v>
      </c>
      <c r="F169" s="22">
        <v>102613060.71017283</v>
      </c>
      <c r="G169" s="22">
        <v>912587942970489</v>
      </c>
      <c r="P169" s="22" t="str">
        <f>IF('Data-Plot'!C169="","",$Q$11+('Data-Plot'!C169-'Data-Plot'!D169)*$P$9)</f>
        <v/>
      </c>
      <c r="Q169" s="22" t="str">
        <f>IF('Data-Plot'!C169="","",MAX('Data-Plot'!$C$11:$C$1010)*(1+$Q$9/100))</f>
        <v/>
      </c>
      <c r="R169" s="22" t="str">
        <f>IF('Data-Plot'!C169="","",('Data-Plot'!C169-'Data-Plot'!D169)*$P$9)</f>
        <v/>
      </c>
      <c r="S169" s="22">
        <v>810.78112904788179</v>
      </c>
      <c r="T169" s="22">
        <v>1.9481244591792362E-14</v>
      </c>
      <c r="U169" s="22">
        <v>514.27543163091866</v>
      </c>
      <c r="V169" s="22">
        <v>270.16656663688553</v>
      </c>
      <c r="W169" s="22">
        <v>26.339130780077646</v>
      </c>
    </row>
    <row r="170" spans="2:23" x14ac:dyDescent="0.25">
      <c r="C170" s="22">
        <v>3376635.87</v>
      </c>
      <c r="G170" s="22">
        <v>3243200902915.29</v>
      </c>
      <c r="P170" s="22" t="str">
        <f>IF('Data-Plot'!C170="","",$Q$11+('Data-Plot'!C170-'Data-Plot'!D170)*$P$9)</f>
        <v/>
      </c>
      <c r="Q170" s="22" t="str">
        <f>IF('Data-Plot'!C170="","",MAX('Data-Plot'!$C$11:$C$1010)*(1+$Q$9/100))</f>
        <v/>
      </c>
      <c r="R170" s="22" t="str">
        <f>IF('Data-Plot'!C170="","",('Data-Plot'!C170-'Data-Plot'!D170)*$P$9)</f>
        <v/>
      </c>
      <c r="S170" s="22">
        <v>816.91630494796084</v>
      </c>
      <c r="T170" s="22">
        <v>6.1343480079471594E-16</v>
      </c>
      <c r="U170" s="22">
        <v>496.10927730501999</v>
      </c>
      <c r="V170" s="22">
        <v>291.40596104508467</v>
      </c>
      <c r="W170" s="22">
        <v>29.401066597856182</v>
      </c>
    </row>
    <row r="171" spans="2:23" x14ac:dyDescent="0.25">
      <c r="C171" s="22">
        <v>7826.0540000000001</v>
      </c>
      <c r="P171" s="22" t="str">
        <f>IF('Data-Plot'!C171="","",$Q$11+('Data-Plot'!C171-'Data-Plot'!D171)*$P$9)</f>
        <v/>
      </c>
      <c r="Q171" s="22" t="str">
        <f>IF('Data-Plot'!C171="","",MAX('Data-Plot'!$C$11:$C$1010)*(1+$Q$9/100))</f>
        <v/>
      </c>
      <c r="R171" s="22" t="str">
        <f>IF('Data-Plot'!C171="","",('Data-Plot'!C171-'Data-Plot'!D171)*$P$9)</f>
        <v/>
      </c>
      <c r="S171" s="22">
        <v>820.30279968337788</v>
      </c>
      <c r="T171" s="22">
        <v>1.4598189625615531E-17</v>
      </c>
      <c r="U171" s="22">
        <v>473.64012207433058</v>
      </c>
      <c r="V171" s="22">
        <v>313.86184470381733</v>
      </c>
      <c r="W171" s="22">
        <v>32.80083290522996</v>
      </c>
    </row>
    <row r="172" spans="2:23" x14ac:dyDescent="0.25">
      <c r="B172" s="22">
        <f>COUNTIF(C172:L172,"&lt;&gt;1")</f>
        <v>0</v>
      </c>
      <c r="C172" s="22">
        <v>1</v>
      </c>
      <c r="D172" s="22">
        <v>1</v>
      </c>
      <c r="E172" s="22">
        <v>1</v>
      </c>
      <c r="F172" s="22">
        <v>1</v>
      </c>
      <c r="G172" s="22">
        <v>1</v>
      </c>
      <c r="H172" s="22">
        <v>1</v>
      </c>
      <c r="I172" s="22">
        <v>1</v>
      </c>
      <c r="J172" s="22">
        <v>1</v>
      </c>
      <c r="K172" s="22">
        <v>1</v>
      </c>
      <c r="L172" s="22">
        <v>1</v>
      </c>
      <c r="P172" s="22" t="str">
        <f>IF('Data-Plot'!C172="","",$Q$11+('Data-Plot'!C172-'Data-Plot'!D172)*$P$9)</f>
        <v/>
      </c>
      <c r="Q172" s="22" t="str">
        <f>IF('Data-Plot'!C172="","",MAX('Data-Plot'!$C$11:$C$1010)*(1+$Q$9/100))</f>
        <v/>
      </c>
      <c r="R172" s="22" t="str">
        <f>IF('Data-Plot'!C172="","",('Data-Plot'!C172-'Data-Plot'!D172)*$P$9)</f>
        <v/>
      </c>
      <c r="S172" s="22">
        <v>821.26213158852124</v>
      </c>
      <c r="T172" s="22">
        <v>2.571523606634087E-19</v>
      </c>
      <c r="U172" s="22">
        <v>447.15805331665439</v>
      </c>
      <c r="V172" s="22">
        <v>337.53072230263479</v>
      </c>
      <c r="W172" s="22">
        <v>36.573355969232097</v>
      </c>
    </row>
    <row r="173" spans="2:23" x14ac:dyDescent="0.25">
      <c r="C173" s="22" t="s">
        <v>61</v>
      </c>
      <c r="F173" s="22" t="s">
        <v>61</v>
      </c>
      <c r="P173" s="22" t="str">
        <f>IF('Data-Plot'!C173="","",$Q$11+('Data-Plot'!C173-'Data-Plot'!D173)*$P$9)</f>
        <v/>
      </c>
      <c r="Q173" s="22" t="str">
        <f>IF('Data-Plot'!C173="","",MAX('Data-Plot'!$C$11:$C$1010)*(1+$Q$9/100))</f>
        <v/>
      </c>
      <c r="R173" s="22" t="str">
        <f>IF('Data-Plot'!C173="","",('Data-Plot'!C173-'Data-Plot'!D173)*$P$9)</f>
        <v/>
      </c>
      <c r="S173" s="22">
        <v>820.26916993879399</v>
      </c>
      <c r="T173" s="22">
        <v>3.4298677383890439E-21</v>
      </c>
      <c r="U173" s="22">
        <v>417.41384603195837</v>
      </c>
      <c r="V173" s="22">
        <v>362.14204478309682</v>
      </c>
      <c r="W173" s="22">
        <v>40.713279123738815</v>
      </c>
    </row>
    <row r="174" spans="2:23" x14ac:dyDescent="0.25">
      <c r="C174" s="22">
        <v>1.6E-2</v>
      </c>
      <c r="F174" s="22">
        <v>-8685.0319999999992</v>
      </c>
      <c r="P174" s="22" t="str">
        <f>IF('Data-Plot'!C174="","",$Q$11+('Data-Plot'!C174-'Data-Plot'!D174)*$P$9)</f>
        <v/>
      </c>
      <c r="Q174" s="22" t="str">
        <f>IF('Data-Plot'!C174="","",MAX('Data-Plot'!$C$11:$C$1010)*(1+$Q$9/100))</f>
        <v/>
      </c>
      <c r="R174" s="22" t="str">
        <f>IF('Data-Plot'!C174="","",('Data-Plot'!C174-'Data-Plot'!D174)*$P$9)</f>
        <v/>
      </c>
      <c r="S174" s="22">
        <v>817.88412434976999</v>
      </c>
      <c r="T174" s="22">
        <v>3.1034349189149655E-23</v>
      </c>
      <c r="U174" s="22">
        <v>384.38728471009813</v>
      </c>
      <c r="V174" s="22">
        <v>388.1520509182846</v>
      </c>
      <c r="W174" s="22">
        <v>45.344788721387189</v>
      </c>
    </row>
    <row r="175" spans="2:23" x14ac:dyDescent="0.25">
      <c r="C175" s="22">
        <v>11.339</v>
      </c>
      <c r="F175" s="22">
        <v>6355922.6140000001</v>
      </c>
      <c r="P175" s="22" t="str">
        <f>IF('Data-Plot'!C175="","",$Q$11+('Data-Plot'!C175-'Data-Plot'!D175)*$P$9)</f>
        <v/>
      </c>
      <c r="Q175" s="22" t="str">
        <f>IF('Data-Plot'!C175="","",MAX('Data-Plot'!$C$11:$C$1010)*(1+$Q$9/100))</f>
        <v/>
      </c>
      <c r="R175" s="22" t="str">
        <f>IF('Data-Plot'!C175="","",('Data-Plot'!C175-'Data-Plot'!D175)*$P$9)</f>
        <v/>
      </c>
      <c r="S175" s="22">
        <v>814.8039309473827</v>
      </c>
      <c r="T175" s="22">
        <v>1.9360573237324069E-25</v>
      </c>
      <c r="U175" s="22">
        <v>349.06619111053243</v>
      </c>
      <c r="V175" s="22">
        <v>415.2636385975257</v>
      </c>
      <c r="W175" s="22">
        <v>50.474101239324568</v>
      </c>
    </row>
    <row r="176" spans="2:23" x14ac:dyDescent="0.25">
      <c r="P176" s="22" t="str">
        <f>IF('Data-Plot'!C176="","",$Q$11+('Data-Plot'!C176-'Data-Plot'!D176)*$P$9)</f>
        <v/>
      </c>
      <c r="Q176" s="22" t="str">
        <f>IF('Data-Plot'!C176="","",MAX('Data-Plot'!$C$11:$C$1010)*(1+$Q$9/100))</f>
        <v/>
      </c>
      <c r="R176" s="22" t="str">
        <f>IF('Data-Plot'!C176="","",('Data-Plot'!C176-'Data-Plot'!D176)*$P$9)</f>
        <v/>
      </c>
      <c r="S176" s="22">
        <v>811.80893006907559</v>
      </c>
      <c r="T176" s="22">
        <v>8.1048712066101338E-28</v>
      </c>
      <c r="U176" s="22">
        <v>312.261847274334</v>
      </c>
      <c r="V176" s="22">
        <v>443.3962686204365</v>
      </c>
      <c r="W176" s="22">
        <v>56.150814174305083</v>
      </c>
    </row>
    <row r="177" spans="3:23" x14ac:dyDescent="0.25">
      <c r="P177" s="22" t="str">
        <f>IF('Data-Plot'!C177="","",$Q$11+('Data-Plot'!C177-'Data-Plot'!D177)*$P$9)</f>
        <v/>
      </c>
      <c r="Q177" s="22" t="str">
        <f>IF('Data-Plot'!C177="","",MAX('Data-Plot'!$C$11:$C$1010)*(1+$Q$9/100))</f>
        <v/>
      </c>
      <c r="R177" s="22" t="str">
        <f>IF('Data-Plot'!C177="","",('Data-Plot'!C177-'Data-Plot'!D177)*$P$9)</f>
        <v/>
      </c>
      <c r="S177" s="22">
        <v>809.72657583268892</v>
      </c>
      <c r="T177" s="22">
        <v>2.2119211979241781E-30</v>
      </c>
      <c r="U177" s="22">
        <v>274.85514253161205</v>
      </c>
      <c r="V177" s="22">
        <v>472.44255217414235</v>
      </c>
      <c r="W177" s="22">
        <v>62.428881126934613</v>
      </c>
    </row>
    <row r="178" spans="3:23" x14ac:dyDescent="0.25">
      <c r="C178" s="22">
        <v>7.078493460059428E-3</v>
      </c>
      <c r="F178" s="22">
        <v>870.64966157346976</v>
      </c>
      <c r="P178" s="22" t="str">
        <f>IF('Data-Plot'!C178="","",$Q$11+('Data-Plot'!C178-'Data-Plot'!D178)*$P$9)</f>
        <v/>
      </c>
      <c r="Q178" s="22" t="str">
        <f>IF('Data-Plot'!C178="","",MAX('Data-Plot'!$C$11:$C$1010)*(1+$Q$9/100))</f>
        <v/>
      </c>
      <c r="R178" s="22" t="str">
        <f>IF('Data-Plot'!C178="","",('Data-Plot'!C178-'Data-Plot'!D178)*$P$9)</f>
        <v/>
      </c>
      <c r="S178" s="22">
        <v>809.37793106554477</v>
      </c>
      <c r="T178" s="22">
        <v>4.0734615946394439E-33</v>
      </c>
      <c r="U178" s="22">
        <v>238.11668421068833</v>
      </c>
      <c r="V178" s="22">
        <v>501.96647444981909</v>
      </c>
      <c r="W178" s="22">
        <v>69.294772405037264</v>
      </c>
    </row>
    <row r="179" spans="3:23" x14ac:dyDescent="0.25">
      <c r="C179" s="22">
        <v>0.99378871881410968</v>
      </c>
      <c r="F179" s="22">
        <v>122235.30566118125</v>
      </c>
      <c r="P179" s="22" t="str">
        <f>IF('Data-Plot'!C179="","",$Q$11+('Data-Plot'!C179-'Data-Plot'!D179)*$P$9)</f>
        <v/>
      </c>
      <c r="Q179" s="22" t="str">
        <f>IF('Data-Plot'!C179="","",MAX('Data-Plot'!$C$11:$C$1010)*(1+$Q$9/100))</f>
        <v/>
      </c>
      <c r="R179" s="22" t="str">
        <f>IF('Data-Plot'!C179="","",('Data-Plot'!C179-'Data-Plot'!D179)*$P$9)</f>
        <v/>
      </c>
      <c r="S179" s="22">
        <v>811.52880017120015</v>
      </c>
      <c r="T179" s="22">
        <v>4.3196312128814947E-36</v>
      </c>
      <c r="U179" s="22">
        <v>202.19066724350913</v>
      </c>
      <c r="V179" s="22">
        <v>532.38935597678073</v>
      </c>
      <c r="W179" s="22">
        <v>76.948776950910286</v>
      </c>
    </row>
    <row r="180" spans="3:23" x14ac:dyDescent="0.25">
      <c r="P180" s="22" t="str">
        <f>IF('Data-Plot'!C180="","",$Q$11+('Data-Plot'!C180-'Data-Plot'!D180)*$P$9)</f>
        <v/>
      </c>
      <c r="Q180" s="22" t="str">
        <f>IF('Data-Plot'!C180="","",MAX('Data-Plot'!$C$11:$C$1010)*(1+$Q$9/100))</f>
        <v/>
      </c>
      <c r="R180" s="22" t="str">
        <f>IF('Data-Plot'!C180="","",('Data-Plot'!C180-'Data-Plot'!D180)*$P$9)</f>
        <v/>
      </c>
      <c r="S180" s="22">
        <v>816.86954339286331</v>
      </c>
      <c r="T180" s="22">
        <v>2.7058407704002666E-39</v>
      </c>
      <c r="U180" s="22">
        <v>168.26227281028883</v>
      </c>
      <c r="V180" s="22">
        <v>563.21299742832105</v>
      </c>
      <c r="W180" s="22">
        <v>85.394273154253383</v>
      </c>
    </row>
    <row r="181" spans="3:23" x14ac:dyDescent="0.25">
      <c r="P181" s="22" t="str">
        <f>IF('Data-Plot'!C181="","",$Q$11+('Data-Plot'!C181-'Data-Plot'!D181)*$P$9)</f>
        <v/>
      </c>
      <c r="Q181" s="22" t="str">
        <f>IF('Data-Plot'!C181="","",MAX('Data-Plot'!$C$11:$C$1010)*(1+$Q$9/100))</f>
        <v/>
      </c>
      <c r="R181" s="22" t="str">
        <f>IF('Data-Plot'!C181="","",('Data-Plot'!C181-'Data-Plot'!D181)*$P$9)</f>
        <v/>
      </c>
      <c r="S181" s="22">
        <v>825.92443242248373</v>
      </c>
      <c r="T181" s="22">
        <v>9.6440046836022531E-43</v>
      </c>
      <c r="U181" s="22">
        <v>137.02707769276171</v>
      </c>
      <c r="V181" s="22">
        <v>594.19197934505314</v>
      </c>
      <c r="W181" s="22">
        <v>94.705375384668855</v>
      </c>
    </row>
    <row r="182" spans="3:23" x14ac:dyDescent="0.25">
      <c r="P182" s="22" t="str">
        <f>IF('Data-Plot'!C182="","",$Q$11+('Data-Plot'!C182-'Data-Plot'!D182)*$P$9)</f>
        <v/>
      </c>
      <c r="Q182" s="22" t="str">
        <f>IF('Data-Plot'!C182="","",MAX('Data-Plot'!$C$11:$C$1010)*(1+$Q$9/100))</f>
        <v/>
      </c>
      <c r="R182" s="22" t="str">
        <f>IF('Data-Plot'!C182="","",('Data-Plot'!C182-'Data-Plot'!D182)*$P$9)</f>
        <v/>
      </c>
      <c r="S182" s="22">
        <v>839.02327248278959</v>
      </c>
      <c r="T182" s="22">
        <v>1.8791428478540693E-46</v>
      </c>
      <c r="U182" s="22">
        <v>109.02148067817033</v>
      </c>
      <c r="V182" s="22">
        <v>625.03989926660654</v>
      </c>
      <c r="W182" s="22">
        <v>104.96189253801279</v>
      </c>
    </row>
    <row r="183" spans="3:23" x14ac:dyDescent="0.25">
      <c r="C183" s="22">
        <v>0.3629</v>
      </c>
      <c r="D183" s="22">
        <v>0.155</v>
      </c>
      <c r="E183" s="22">
        <v>1.4464999999999999</v>
      </c>
      <c r="F183" s="22">
        <v>0.37719999999999998</v>
      </c>
      <c r="G183" s="22">
        <v>1.4213</v>
      </c>
      <c r="P183" s="22" t="str">
        <f>IF('Data-Plot'!C183="","",$Q$11+('Data-Plot'!C183-'Data-Plot'!D183)*$P$9)</f>
        <v/>
      </c>
      <c r="Q183" s="22" t="str">
        <f>IF('Data-Plot'!C183="","",MAX('Data-Plot'!$C$11:$C$1010)*(1+$Q$9/100))</f>
        <v/>
      </c>
      <c r="R183" s="22" t="str">
        <f>IF('Data-Plot'!C183="","",('Data-Plot'!C183-'Data-Plot'!D183)*$P$9)</f>
        <v/>
      </c>
      <c r="S183" s="22">
        <v>856.08167470828619</v>
      </c>
      <c r="T183" s="22">
        <v>2.1079766506065715E-50</v>
      </c>
      <c r="U183" s="22">
        <v>84.818710582061371</v>
      </c>
      <c r="V183" s="22">
        <v>655.13055357197356</v>
      </c>
      <c r="W183" s="22">
        <v>116.13241055425122</v>
      </c>
    </row>
    <row r="184" spans="3:23" x14ac:dyDescent="0.25">
      <c r="C184" s="22">
        <v>28.1023</v>
      </c>
      <c r="D184" s="22">
        <v>32.917999999999999</v>
      </c>
      <c r="E184" s="22">
        <v>14.488</v>
      </c>
      <c r="F184" s="22">
        <v>15.8253</v>
      </c>
      <c r="G184" s="22">
        <v>25.964200000000002</v>
      </c>
      <c r="P184" s="22" t="str">
        <f>IF('Data-Plot'!C184="","",$Q$11+('Data-Plot'!C184-'Data-Plot'!D184)*$P$9)</f>
        <v/>
      </c>
      <c r="Q184" s="22" t="str">
        <f>IF('Data-Plot'!C184="","",MAX('Data-Plot'!$C$11:$C$1010)*(1+$Q$9/100))</f>
        <v/>
      </c>
      <c r="R184" s="22" t="str">
        <f>IF('Data-Plot'!C184="","",('Data-Plot'!C184-'Data-Plot'!D184)*$P$9)</f>
        <v/>
      </c>
      <c r="S184" s="22">
        <v>877.31421261065202</v>
      </c>
      <c r="T184" s="22">
        <v>1.0849967524377208E-54</v>
      </c>
      <c r="U184" s="22">
        <v>64.085348892555302</v>
      </c>
      <c r="V184" s="22">
        <v>684.69757797143302</v>
      </c>
      <c r="W184" s="22">
        <v>128.53128574666371</v>
      </c>
    </row>
    <row r="185" spans="3:23" x14ac:dyDescent="0.25">
      <c r="C185" s="22">
        <v>0</v>
      </c>
      <c r="D185" s="22">
        <v>0</v>
      </c>
      <c r="E185" s="22">
        <v>0</v>
      </c>
      <c r="F185" s="22">
        <v>0</v>
      </c>
      <c r="G185" s="22">
        <v>0</v>
      </c>
      <c r="P185" s="22" t="str">
        <f>IF('Data-Plot'!C185="","",$Q$11+('Data-Plot'!C185-'Data-Plot'!D185)*$P$9)</f>
        <v/>
      </c>
      <c r="Q185" s="22" t="str">
        <f>IF('Data-Plot'!C185="","",MAX('Data-Plot'!$C$11:$C$1010)*(1+$Q$9/100))</f>
        <v/>
      </c>
      <c r="R185" s="22" t="str">
        <f>IF('Data-Plot'!C185="","",('Data-Plot'!C185-'Data-Plot'!D185)*$P$9)</f>
        <v/>
      </c>
      <c r="S185" s="22">
        <v>902.21544157593951</v>
      </c>
      <c r="T185" s="22">
        <v>2.6652507026033354E-59</v>
      </c>
      <c r="U185" s="22">
        <v>47.04119006268224</v>
      </c>
      <c r="V185" s="22">
        <v>713.02439315195204</v>
      </c>
      <c r="W185" s="22">
        <v>142.14985836130518</v>
      </c>
    </row>
    <row r="186" spans="3:23" x14ac:dyDescent="0.25">
      <c r="C186" s="22">
        <v>6.6900000000000001E-2</v>
      </c>
      <c r="D186" s="22">
        <v>1.95E-2</v>
      </c>
      <c r="E186" s="22">
        <v>0.35249999999999998</v>
      </c>
      <c r="F186" s="22">
        <v>5.6800000000000003E-2</v>
      </c>
      <c r="G186" s="22">
        <v>0.36020000000000002</v>
      </c>
      <c r="P186" s="22" t="str">
        <f>IF('Data-Plot'!C186="","",$Q$11+('Data-Plot'!C186-'Data-Plot'!D186)*$P$9)</f>
        <v/>
      </c>
      <c r="Q186" s="22" t="str">
        <f>IF('Data-Plot'!C186="","",MAX('Data-Plot'!$C$11:$C$1010)*(1+$Q$9/100))</f>
        <v/>
      </c>
      <c r="R186" s="22" t="str">
        <f>IF('Data-Plot'!C186="","",('Data-Plot'!C186-'Data-Plot'!D186)*$P$9)</f>
        <v/>
      </c>
      <c r="S186" s="22">
        <v>930.22582645176078</v>
      </c>
      <c r="T186" s="22">
        <v>2.9678253742306048E-64</v>
      </c>
      <c r="U186" s="22">
        <v>33.474848988365721</v>
      </c>
      <c r="V186" s="22">
        <v>739.65892884545497</v>
      </c>
      <c r="W186" s="22">
        <v>157.09204861794015</v>
      </c>
    </row>
    <row r="187" spans="3:23" x14ac:dyDescent="0.25">
      <c r="C187" s="22">
        <v>74934456555.070007</v>
      </c>
      <c r="D187" s="22">
        <v>1019963404.92</v>
      </c>
      <c r="E187" s="22">
        <v>12516639686.27</v>
      </c>
      <c r="F187" s="22">
        <v>4882910092.4099998</v>
      </c>
      <c r="G187" s="22">
        <v>1.5664173636133499E+18</v>
      </c>
      <c r="P187" s="22" t="str">
        <f>IF('Data-Plot'!C187="","",$Q$11+('Data-Plot'!C187-'Data-Plot'!D187)*$P$9)</f>
        <v/>
      </c>
      <c r="Q187" s="22" t="str">
        <f>IF('Data-Plot'!C187="","",MAX('Data-Plot'!$C$11:$C$1010)*(1+$Q$9/100))</f>
        <v/>
      </c>
      <c r="R187" s="22" t="str">
        <f>IF('Data-Plot'!C187="","",('Data-Plot'!C187-'Data-Plot'!D187)*$P$9)</f>
        <v/>
      </c>
      <c r="S187" s="22">
        <v>960.62209912640537</v>
      </c>
      <c r="T187" s="22">
        <v>1.4181571606438192E-69</v>
      </c>
      <c r="U187" s="22">
        <v>23.039998189634478</v>
      </c>
      <c r="V187" s="22">
        <v>764.11429697172241</v>
      </c>
      <c r="W187" s="22">
        <v>173.46780396504852</v>
      </c>
    </row>
    <row r="188" spans="3:23" x14ac:dyDescent="0.25">
      <c r="C188" s="22">
        <v>8.92</v>
      </c>
      <c r="D188" s="22">
        <v>105.59</v>
      </c>
      <c r="E188" s="22">
        <v>154011.79999999999</v>
      </c>
      <c r="F188" s="22">
        <v>8145482.25</v>
      </c>
      <c r="G188" s="22">
        <v>7.8730840449537507E+19</v>
      </c>
      <c r="P188" s="22" t="str">
        <f>IF('Data-Plot'!C188="","",$Q$11+('Data-Plot'!C188-'Data-Plot'!D188)*$P$9)</f>
        <v/>
      </c>
      <c r="Q188" s="22" t="str">
        <f>IF('Data-Plot'!C188="","",MAX('Data-Plot'!$C$11:$C$1010)*(1+$Q$9/100))</f>
        <v/>
      </c>
      <c r="R188" s="22" t="str">
        <f>IF('Data-Plot'!C188="","",('Data-Plot'!C188-'Data-Plot'!D188)*$P$9)</f>
        <v/>
      </c>
      <c r="S188" s="22">
        <v>992.24779968170537</v>
      </c>
      <c r="T188" s="22">
        <v>3.1393251305345033E-75</v>
      </c>
      <c r="U188" s="22">
        <v>15.365355708212132</v>
      </c>
      <c r="V188" s="22">
        <v>785.67504198645076</v>
      </c>
      <c r="W188" s="22">
        <v>191.20740198704237</v>
      </c>
    </row>
    <row r="189" spans="3:23" x14ac:dyDescent="0.25">
      <c r="C189" s="22">
        <v>634.91999999999996</v>
      </c>
      <c r="D189" s="22">
        <v>2419.46</v>
      </c>
      <c r="E189" s="22">
        <v>51.98</v>
      </c>
      <c r="F189" s="22">
        <v>295.77999999999997</v>
      </c>
      <c r="G189" s="22">
        <v>308.36</v>
      </c>
      <c r="P189" s="22" t="str">
        <f>IF('Data-Plot'!C189="","",$Q$11+('Data-Plot'!C189-'Data-Plot'!D189)*$P$9)</f>
        <v/>
      </c>
      <c r="Q189" s="22" t="str">
        <f>IF('Data-Plot'!C189="","",MAX('Data-Plot'!$C$11:$C$1010)*(1+$Q$9/100))</f>
        <v/>
      </c>
      <c r="R189" s="22" t="str">
        <f>IF('Data-Plot'!C189="","",('Data-Plot'!C189-'Data-Plot'!D189)*$P$9)</f>
        <v/>
      </c>
      <c r="S189" s="22">
        <v>1024.8518443817843</v>
      </c>
      <c r="T189" s="22">
        <v>2.3331351944314392E-81</v>
      </c>
      <c r="U189" s="22">
        <v>9.8231002772300702</v>
      </c>
      <c r="V189" s="22">
        <v>804.24301478794609</v>
      </c>
      <c r="W189" s="22">
        <v>210.78572931660818</v>
      </c>
    </row>
    <row r="190" spans="3:23" x14ac:dyDescent="0.25">
      <c r="P190" s="22" t="str">
        <f>IF('Data-Plot'!C190="","",$Q$11+('Data-Plot'!C190-'Data-Plot'!D190)*$P$9)</f>
        <v/>
      </c>
      <c r="Q190" s="22" t="str">
        <f>IF('Data-Plot'!C190="","",MAX('Data-Plot'!$C$11:$C$1010)*(1+$Q$9/100))</f>
        <v/>
      </c>
      <c r="R190" s="22" t="str">
        <f>IF('Data-Plot'!C190="","",('Data-Plot'!C190-'Data-Plot'!D190)*$P$9)</f>
        <v/>
      </c>
      <c r="S190" s="22">
        <v>1057.2332761118728</v>
      </c>
      <c r="T190" s="22">
        <v>6.17909911997604E-88</v>
      </c>
      <c r="U190" s="22">
        <v>6.0264420134921446</v>
      </c>
      <c r="V190" s="22">
        <v>819.04773425079907</v>
      </c>
      <c r="W190" s="22">
        <v>232.15909984758167</v>
      </c>
    </row>
    <row r="191" spans="3:23" x14ac:dyDescent="0.25">
      <c r="P191" s="22" t="str">
        <f>IF('Data-Plot'!C191="","",$Q$11+('Data-Plot'!C191-'Data-Plot'!D191)*$P$9)</f>
        <v/>
      </c>
      <c r="Q191" s="22" t="str">
        <f>IF('Data-Plot'!C191="","",MAX('Data-Plot'!$C$11:$C$1010)*(1+$Q$9/100))</f>
        <v/>
      </c>
      <c r="R191" s="22" t="str">
        <f>IF('Data-Plot'!C191="","",('Data-Plot'!C191-'Data-Plot'!D191)*$P$9)</f>
        <v/>
      </c>
      <c r="S191" s="22">
        <v>1088.5508992629805</v>
      </c>
      <c r="T191" s="22">
        <v>5.4362090108989457E-95</v>
      </c>
      <c r="U191" s="22">
        <v>3.5373299093678003</v>
      </c>
      <c r="V191" s="22">
        <v>829.55625919152965</v>
      </c>
      <c r="W191" s="22">
        <v>255.45731016208302</v>
      </c>
    </row>
    <row r="192" spans="3:23" x14ac:dyDescent="0.25">
      <c r="P192" s="22" t="str">
        <f>IF('Data-Plot'!C192="","",$Q$11+('Data-Plot'!C192-'Data-Plot'!D192)*$P$9)</f>
        <v/>
      </c>
      <c r="Q192" s="22" t="str">
        <f>IF('Data-Plot'!C192="","",MAX('Data-Plot'!$C$11:$C$1010)*(1+$Q$9/100))</f>
        <v/>
      </c>
      <c r="R192" s="22" t="str">
        <f>IF('Data-Plot'!C192="","",('Data-Plot'!C192-'Data-Plot'!D192)*$P$9)</f>
        <v/>
      </c>
      <c r="S192" s="22">
        <v>1118.05400809208</v>
      </c>
      <c r="T192" s="22">
        <v>1.4744374945777927E-102</v>
      </c>
      <c r="U192" s="22">
        <v>1.9801512493167757</v>
      </c>
      <c r="V192" s="22">
        <v>835.26094090903121</v>
      </c>
      <c r="W192" s="22">
        <v>280.81291593373192</v>
      </c>
    </row>
    <row r="193" spans="16:23" x14ac:dyDescent="0.25">
      <c r="P193" s="22" t="str">
        <f>IF('Data-Plot'!C193="","",$Q$11+('Data-Plot'!C193-'Data-Plot'!D193)*$P$9)</f>
        <v/>
      </c>
      <c r="Q193" s="22" t="str">
        <f>IF('Data-Plot'!C193="","",MAX('Data-Plot'!$C$11:$C$1010)*(1+$Q$9/100))</f>
        <v/>
      </c>
      <c r="R193" s="22" t="str">
        <f>IF('Data-Plot'!C193="","",('Data-Plot'!C193-'Data-Plot'!D193)*$P$9)</f>
        <v/>
      </c>
      <c r="S193" s="22">
        <v>1144.8587408306994</v>
      </c>
      <c r="T193" s="22">
        <v>1.3789728614564847E-110</v>
      </c>
      <c r="U193" s="22">
        <v>1.0603928501197988</v>
      </c>
      <c r="V193" s="22">
        <v>835.72246580043236</v>
      </c>
      <c r="W193" s="22">
        <v>308.07588218014718</v>
      </c>
    </row>
    <row r="194" spans="16:23" x14ac:dyDescent="0.25">
      <c r="P194" s="22" t="str">
        <f>IF('Data-Plot'!C194="","",$Q$11+('Data-Plot'!C194-'Data-Plot'!D194)*$P$9)</f>
        <v/>
      </c>
      <c r="Q194" s="22" t="str">
        <f>IF('Data-Plot'!C194="","",MAX('Data-Plot'!$C$11:$C$1010)*(1+$Q$9/100))</f>
        <v/>
      </c>
      <c r="R194" s="22" t="str">
        <f>IF('Data-Plot'!C194="","",('Data-Plot'!C194-'Data-Plot'!D194)*$P$9)</f>
        <v/>
      </c>
      <c r="S194" s="22">
        <v>1169.016672656456</v>
      </c>
      <c r="T194" s="22">
        <v>2.8260743412004957E-119</v>
      </c>
      <c r="U194" s="22">
        <v>0.53453852473349106</v>
      </c>
      <c r="V194" s="22">
        <v>830.55848880532812</v>
      </c>
      <c r="W194" s="22">
        <v>337.92364532639431</v>
      </c>
    </row>
    <row r="195" spans="16:23" x14ac:dyDescent="0.25">
      <c r="P195" s="22" t="str">
        <f>IF('Data-Plot'!C195="","",$Q$11+('Data-Plot'!C195-'Data-Plot'!D195)*$P$9)</f>
        <v/>
      </c>
      <c r="Q195" s="22" t="str">
        <f>IF('Data-Plot'!C195="","",MAX('Data-Plot'!$C$11:$C$1010)*(1+$Q$9/100))</f>
        <v/>
      </c>
      <c r="R195" s="22" t="str">
        <f>IF('Data-Plot'!C195="","",('Data-Plot'!C195-'Data-Plot'!D195)*$P$9)</f>
        <v/>
      </c>
      <c r="S195" s="22">
        <v>1189.9127317859675</v>
      </c>
      <c r="T195" s="22">
        <v>1.3872253922135878E-128</v>
      </c>
      <c r="U195" s="22">
        <v>0.2541779986291185</v>
      </c>
      <c r="V195" s="22">
        <v>819.43361009115301</v>
      </c>
      <c r="W195" s="22">
        <v>370.22494369618539</v>
      </c>
    </row>
    <row r="196" spans="16:23" x14ac:dyDescent="0.25">
      <c r="P196" s="22" t="str">
        <f>IF('Data-Plot'!C196="","",$Q$11+('Data-Plot'!C196-'Data-Plot'!D196)*$P$9)</f>
        <v/>
      </c>
      <c r="Q196" s="22" t="str">
        <f>IF('Data-Plot'!C196="","",MAX('Data-Plot'!$C$11:$C$1010)*(1+$Q$9/100))</f>
        <v/>
      </c>
      <c r="R196" s="22" t="str">
        <f>IF('Data-Plot'!C196="","",('Data-Plot'!C196-'Data-Plot'!D196)*$P$9)</f>
        <v/>
      </c>
      <c r="S196" s="22">
        <v>1207.3765764597968</v>
      </c>
      <c r="T196" s="22">
        <v>1.482972092995319E-138</v>
      </c>
      <c r="U196" s="22">
        <v>0.11353544374324041</v>
      </c>
      <c r="V196" s="22">
        <v>802.15882261153547</v>
      </c>
      <c r="W196" s="22">
        <v>405.10421840451812</v>
      </c>
    </row>
    <row r="197" spans="16:23" x14ac:dyDescent="0.25">
      <c r="P197" s="22" t="str">
        <f>IF('Data-Plot'!C197="","",$Q$11+('Data-Plot'!C197-'Data-Plot'!D197)*$P$9)</f>
        <v/>
      </c>
      <c r="Q197" s="22" t="str">
        <f>IF('Data-Plot'!C197="","",MAX('Data-Plot'!$C$11:$C$1010)*(1+$Q$9/100))</f>
        <v/>
      </c>
      <c r="R197" s="22" t="str">
        <f>IF('Data-Plot'!C197="","",('Data-Plot'!C197-'Data-Plot'!D197)*$P$9)</f>
        <v/>
      </c>
      <c r="S197" s="22">
        <v>1221.4069921304854</v>
      </c>
      <c r="T197" s="22">
        <v>3.120847317458108E-149</v>
      </c>
      <c r="U197" s="22">
        <v>4.7426996348873367E-2</v>
      </c>
      <c r="V197" s="22">
        <v>778.68309183736449</v>
      </c>
      <c r="W197" s="22">
        <v>442.67647329677192</v>
      </c>
    </row>
    <row r="198" spans="16:23" x14ac:dyDescent="0.25">
      <c r="P198" s="22" t="str">
        <f>IF('Data-Plot'!C198="","",$Q$11+('Data-Plot'!C198-'Data-Plot'!D198)*$P$9)</f>
        <v/>
      </c>
      <c r="Q198" s="22" t="str">
        <f>IF('Data-Plot'!C198="","",MAX('Data-Plot'!$C$11:$C$1010)*(1+$Q$9/100))</f>
        <v/>
      </c>
      <c r="R198" s="22" t="str">
        <f>IF('Data-Plot'!C198="","",('Data-Plot'!C198-'Data-Plot'!D198)*$P$9)</f>
        <v/>
      </c>
      <c r="S198" s="22">
        <v>1232.0834068205868</v>
      </c>
      <c r="T198" s="22">
        <v>1.5205564392701493E-160</v>
      </c>
      <c r="U198" s="22">
        <v>1.8619971465877759E-2</v>
      </c>
      <c r="V198" s="22">
        <v>749.43539582816948</v>
      </c>
      <c r="W198" s="22">
        <v>482.62939102095152</v>
      </c>
    </row>
    <row r="199" spans="16:23" x14ac:dyDescent="0.25">
      <c r="P199" s="22" t="str">
        <f>IF('Data-Plot'!C199="","",$Q$11+('Data-Plot'!C199-'Data-Plot'!D199)*$P$9)</f>
        <v/>
      </c>
      <c r="Q199" s="22" t="str">
        <f>IF('Data-Plot'!C199="","",MAX('Data-Plot'!$C$11:$C$1010)*(1+$Q$9/100))</f>
        <v/>
      </c>
      <c r="R199" s="22" t="str">
        <f>IF('Data-Plot'!C199="","",('Data-Plot'!C199-'Data-Plot'!D199)*$P$9)</f>
        <v/>
      </c>
      <c r="S199" s="22">
        <v>1239.9592087598535</v>
      </c>
      <c r="T199" s="22">
        <v>9.10068107391651E-173</v>
      </c>
      <c r="U199" s="22">
        <v>6.7094812867793327E-3</v>
      </c>
      <c r="V199" s="22">
        <v>714.10837398622186</v>
      </c>
      <c r="W199" s="22">
        <v>525.84412529234498</v>
      </c>
    </row>
    <row r="200" spans="16:23" x14ac:dyDescent="0.25">
      <c r="P200" s="22" t="str">
        <f>IF('Data-Plot'!C200="","",$Q$11+('Data-Plot'!C200-'Data-Plot'!D200)*$P$9)</f>
        <v/>
      </c>
      <c r="Q200" s="22" t="str">
        <f>IF('Data-Plot'!C200="","",MAX('Data-Plot'!$C$11:$C$1010)*(1+$Q$9/100))</f>
        <v/>
      </c>
      <c r="R200" s="22" t="str">
        <f>IF('Data-Plot'!C200="","",('Data-Plot'!C200-'Data-Plot'!D200)*$P$9)</f>
        <v/>
      </c>
      <c r="S200" s="22">
        <v>1245.4220842741033</v>
      </c>
      <c r="T200" s="22">
        <v>7.6277450038115367E-186</v>
      </c>
      <c r="U200" s="22">
        <v>2.2269640976575319E-3</v>
      </c>
      <c r="V200" s="22">
        <v>673.4263446286468</v>
      </c>
      <c r="W200" s="22">
        <v>571.99351268135888</v>
      </c>
    </row>
    <row r="201" spans="16:23" x14ac:dyDescent="0.25">
      <c r="P201" s="22" t="str">
        <f>IF('Data-Plot'!C201="","",$Q$11+('Data-Plot'!C201-'Data-Plot'!D201)*$P$9)</f>
        <v/>
      </c>
      <c r="Q201" s="22" t="str">
        <f>IF('Data-Plot'!C201="","",MAX('Data-Plot'!$C$11:$C$1010)*(1+$Q$9/100))</f>
        <v/>
      </c>
      <c r="R201" s="22" t="str">
        <f>IF('Data-Plot'!C201="","",('Data-Plot'!C201-'Data-Plot'!D201)*$P$9)</f>
        <v/>
      </c>
      <c r="S201" s="22">
        <v>1249.1397119335361</v>
      </c>
      <c r="T201" s="22">
        <v>7.8772536293098109E-200</v>
      </c>
      <c r="U201" s="22">
        <v>6.7694315649060991E-4</v>
      </c>
      <c r="V201" s="22">
        <v>628.0343523647274</v>
      </c>
      <c r="W201" s="22">
        <v>621.10468262565212</v>
      </c>
    </row>
    <row r="202" spans="16:23" x14ac:dyDescent="0.25">
      <c r="P202" s="22" t="str">
        <f>IF('Data-Plot'!C202="","",$Q$11+('Data-Plot'!C202-'Data-Plot'!D202)*$P$9)</f>
        <v/>
      </c>
      <c r="Q202" s="22" t="str">
        <f>IF('Data-Plot'!C202="","",MAX('Data-Plot'!$C$11:$C$1010)*(1+$Q$9/100))</f>
        <v/>
      </c>
      <c r="R202" s="22" t="str">
        <f>IF('Data-Plot'!C202="","",('Data-Plot'!C202-'Data-Plot'!D202)*$P$9)</f>
        <v/>
      </c>
      <c r="S202" s="22">
        <v>1251.9173076079223</v>
      </c>
      <c r="T202" s="22">
        <v>8.7509147208730969E-215</v>
      </c>
      <c r="U202" s="22">
        <v>1.8730188300648419E-4</v>
      </c>
      <c r="V202" s="22">
        <v>578.75122725833012</v>
      </c>
      <c r="W202" s="22">
        <v>673.16589304770912</v>
      </c>
    </row>
    <row r="203" spans="16:23" x14ac:dyDescent="0.25">
      <c r="P203" s="22" t="str">
        <f>IF('Data-Plot'!C203="","",$Q$11+('Data-Plot'!C203-'Data-Plot'!D203)*$P$9)</f>
        <v/>
      </c>
      <c r="Q203" s="22" t="str">
        <f>IF('Data-Plot'!C203="","",MAX('Data-Plot'!$C$11:$C$1010)*(1+$Q$9/100))</f>
        <v/>
      </c>
      <c r="R203" s="22" t="str">
        <f>IF('Data-Plot'!C203="","",('Data-Plot'!C203-'Data-Plot'!D203)*$P$9)</f>
        <v/>
      </c>
      <c r="S203" s="22">
        <v>1254.6365526414666</v>
      </c>
      <c r="T203" s="22">
        <v>1.3196532111110398E-230</v>
      </c>
      <c r="U203" s="22">
        <v>4.753640438371207E-5</v>
      </c>
      <c r="V203" s="22">
        <v>527.07660926356641</v>
      </c>
      <c r="W203" s="22">
        <v>727.55989584149575</v>
      </c>
    </row>
    <row r="204" spans="16:23" x14ac:dyDescent="0.25">
      <c r="P204" s="22" t="str">
        <f>IF('Data-Plot'!C204="","",$Q$11+('Data-Plot'!C204-'Data-Plot'!D204)*$P$9)</f>
        <v/>
      </c>
      <c r="Q204" s="22" t="str">
        <f>IF('Data-Plot'!C204="","",MAX('Data-Plot'!$C$11:$C$1010)*(1+$Q$9/100))</f>
        <v/>
      </c>
      <c r="R204" s="22" t="str">
        <f>IF('Data-Plot'!C204="","",('Data-Plot'!C204-'Data-Plot'!D204)*$P$9)</f>
        <v/>
      </c>
      <c r="S204" s="22">
        <v>1258.3197928283032</v>
      </c>
      <c r="T204" s="22">
        <v>1.1206641627682196E-247</v>
      </c>
      <c r="U204" s="22">
        <v>1.0692953953714538E-5</v>
      </c>
      <c r="V204" s="22">
        <v>473.06027729801986</v>
      </c>
      <c r="W204" s="22">
        <v>785.25950483732947</v>
      </c>
    </row>
    <row r="205" spans="16:23" x14ac:dyDescent="0.25">
      <c r="P205" s="22" t="str">
        <f>IF('Data-Plot'!C205="","",$Q$11+('Data-Plot'!C205-'Data-Plot'!D205)*$P$9)</f>
        <v/>
      </c>
      <c r="Q205" s="22" t="str">
        <f>IF('Data-Plot'!C205="","",MAX('Data-Plot'!$C$11:$C$1010)*(1+$Q$9/100))</f>
        <v/>
      </c>
      <c r="R205" s="22" t="str">
        <f>IF('Data-Plot'!C205="","",('Data-Plot'!C205-'Data-Plot'!D205)*$P$9)</f>
        <v/>
      </c>
      <c r="S205" s="22">
        <v>1263.9278317507628</v>
      </c>
      <c r="T205" s="22">
        <v>6.4855386214138482E-266</v>
      </c>
      <c r="U205" s="22">
        <v>2.1442432029429319E-6</v>
      </c>
      <c r="V205" s="22">
        <v>418.37597752367526</v>
      </c>
      <c r="W205" s="22">
        <v>845.55185208284445</v>
      </c>
    </row>
    <row r="206" spans="16:23" x14ac:dyDescent="0.25">
      <c r="P206" s="22" t="str">
        <f>IF('Data-Plot'!C206="","",$Q$11+('Data-Plot'!C206-'Data-Plot'!D206)*$P$9)</f>
        <v/>
      </c>
      <c r="Q206" s="22" t="str">
        <f>IF('Data-Plot'!C206="","",MAX('Data-Plot'!$C$11:$C$1010)*(1+$Q$9/100))</f>
        <v/>
      </c>
      <c r="R206" s="22" t="str">
        <f>IF('Data-Plot'!C206="","",('Data-Plot'!C206-'Data-Plot'!D206)*$P$9)</f>
        <v/>
      </c>
      <c r="S206" s="22">
        <v>1272.3949787599543</v>
      </c>
      <c r="T206" s="22">
        <v>2.1554663642654121E-285</v>
      </c>
      <c r="U206" s="22">
        <v>3.8030457016816912E-7</v>
      </c>
      <c r="V206" s="22">
        <v>364.21937326953162</v>
      </c>
      <c r="W206" s="22">
        <v>908.175605110118</v>
      </c>
    </row>
    <row r="207" spans="16:23" x14ac:dyDescent="0.25">
      <c r="P207" s="22" t="str">
        <f>IF('Data-Plot'!C207="","",$Q$11+('Data-Plot'!C207-'Data-Plot'!D207)*$P$9)</f>
        <v/>
      </c>
      <c r="Q207" s="22" t="str">
        <f>IF('Data-Plot'!C207="","",MAX('Data-Plot'!$C$11:$C$1010)*(1+$Q$9/100))</f>
        <v/>
      </c>
      <c r="R207" s="22" t="str">
        <f>IF('Data-Plot'!C207="","",('Data-Plot'!C207-'Data-Plot'!D207)*$P$9)</f>
        <v/>
      </c>
      <c r="S207" s="22">
        <v>1284.5336454059948</v>
      </c>
      <c r="T207" s="22">
        <v>3.4319118833786206E-306</v>
      </c>
      <c r="U207" s="22">
        <v>5.9159787718061352E-8</v>
      </c>
      <c r="V207" s="22">
        <v>311.75390525114426</v>
      </c>
      <c r="W207" s="22">
        <v>972.77974009569084</v>
      </c>
    </row>
    <row r="208" spans="16:23" x14ac:dyDescent="0.25">
      <c r="P208" s="22" t="str">
        <f>IF('Data-Plot'!C208="","",$Q$11+('Data-Plot'!C208-'Data-Plot'!D208)*$P$9)</f>
        <v/>
      </c>
      <c r="Q208" s="22" t="str">
        <f>IF('Data-Plot'!C208="","",MAX('Data-Plot'!$C$11:$C$1010)*(1+$Q$9/100))</f>
        <v/>
      </c>
      <c r="R208" s="22" t="str">
        <f>IF('Data-Plot'!C208="","",('Data-Plot'!C208-'Data-Plot'!D208)*$P$9)</f>
        <v/>
      </c>
      <c r="S208" s="22">
        <v>1300.7780859461568</v>
      </c>
      <c r="T208" s="22">
        <v>0</v>
      </c>
      <c r="U208" s="22">
        <v>8.1657772271836152E-9</v>
      </c>
      <c r="V208" s="22">
        <v>262.52638595174335</v>
      </c>
      <c r="W208" s="22">
        <v>1038.2516999862476</v>
      </c>
    </row>
    <row r="209" spans="16:23" x14ac:dyDescent="0.25">
      <c r="P209" s="22" t="str">
        <f>IF('Data-Plot'!C209="","",$Q$11+('Data-Plot'!C209-'Data-Plot'!D209)*$P$9)</f>
        <v/>
      </c>
      <c r="Q209" s="22" t="str">
        <f>IF('Data-Plot'!C209="","",MAX('Data-Plot'!$C$11:$C$1010)*(1+$Q$9/100))</f>
        <v/>
      </c>
      <c r="R209" s="22" t="str">
        <f>IF('Data-Plot'!C209="","",('Data-Plot'!C209-'Data-Plot'!D209)*$P$9)</f>
        <v/>
      </c>
      <c r="S209" s="22">
        <v>1321.8106244543751</v>
      </c>
      <c r="T209" s="22">
        <v>0</v>
      </c>
      <c r="U209" s="22">
        <v>9.5226062538889521E-10</v>
      </c>
      <c r="V209" s="22">
        <v>216.46838801223691</v>
      </c>
      <c r="W209" s="22">
        <v>1105.3422364411858</v>
      </c>
    </row>
    <row r="210" spans="16:23" x14ac:dyDescent="0.25">
      <c r="P210" s="22" t="str">
        <f>IF('Data-Plot'!C210="","",$Q$11+('Data-Plot'!C210-'Data-Plot'!D210)*$P$9)</f>
        <v/>
      </c>
      <c r="Q210" s="22" t="str">
        <f>IF('Data-Plot'!C210="","",MAX('Data-Plot'!$C$11:$C$1010)*(1+$Q$9/100))</f>
        <v/>
      </c>
      <c r="R210" s="22" t="str">
        <f>IF('Data-Plot'!C210="","",('Data-Plot'!C210-'Data-Plot'!D210)*$P$9)</f>
        <v/>
      </c>
      <c r="S210" s="22">
        <v>1347.5349784338575</v>
      </c>
      <c r="T210" s="22">
        <v>0</v>
      </c>
      <c r="U210" s="22">
        <v>9.4670021512945568E-11</v>
      </c>
      <c r="V210" s="22">
        <v>174.81593330925099</v>
      </c>
      <c r="W210" s="22">
        <v>1172.7190451245119</v>
      </c>
    </row>
    <row r="211" spans="16:23" x14ac:dyDescent="0.25">
      <c r="P211" s="22" t="str">
        <f>IF('Data-Plot'!C211="","",$Q$11+('Data-Plot'!C211-'Data-Plot'!D211)*$P$9)</f>
        <v/>
      </c>
      <c r="Q211" s="22" t="str">
        <f>IF('Data-Plot'!C211="","",MAX('Data-Plot'!$C$11:$C$1010)*(1+$Q$9/100))</f>
        <v/>
      </c>
      <c r="R211" s="22" t="str">
        <f>IF('Data-Plot'!C211="","",('Data-Plot'!C211-'Data-Plot'!D211)*$P$9)</f>
        <v/>
      </c>
      <c r="S211" s="22">
        <v>1377.6356285874033</v>
      </c>
      <c r="T211" s="22">
        <v>0</v>
      </c>
      <c r="U211" s="22">
        <v>7.9379710039080557E-12</v>
      </c>
      <c r="V211" s="22">
        <v>138.06690068766173</v>
      </c>
      <c r="W211" s="22">
        <v>1239.5687278997336</v>
      </c>
    </row>
    <row r="212" spans="16:23" x14ac:dyDescent="0.25">
      <c r="P212" s="22" t="str">
        <f>IF('Data-Plot'!C212="","",$Q$11+('Data-Plot'!C212-'Data-Plot'!D212)*$P$9)</f>
        <v/>
      </c>
      <c r="Q212" s="22" t="str">
        <f>IF('Data-Plot'!C212="","",MAX('Data-Plot'!$C$11:$C$1010)*(1+$Q$9/100))</f>
        <v/>
      </c>
      <c r="R212" s="22" t="str">
        <f>IF('Data-Plot'!C212="","",('Data-Plot'!C212-'Data-Plot'!D212)*$P$9)</f>
        <v/>
      </c>
      <c r="S212" s="22">
        <v>1411.4154873845537</v>
      </c>
      <c r="T212" s="22">
        <v>0</v>
      </c>
      <c r="U212" s="22">
        <v>5.550045223979965E-13</v>
      </c>
      <c r="V212" s="22">
        <v>106.47156368637631</v>
      </c>
      <c r="W212" s="22">
        <v>1304.9439236981768</v>
      </c>
    </row>
    <row r="213" spans="16:23" x14ac:dyDescent="0.25">
      <c r="P213" s="22" t="str">
        <f>IF('Data-Plot'!C213="","",$Q$11+('Data-Plot'!C213-'Data-Plot'!D213)*$P$9)</f>
        <v/>
      </c>
      <c r="Q213" s="22" t="str">
        <f>IF('Data-Plot'!C213="","",MAX('Data-Plot'!$C$11:$C$1010)*(1+$Q$9/100))</f>
        <v/>
      </c>
      <c r="R213" s="22" t="str">
        <f>IF('Data-Plot'!C213="","",('Data-Plot'!C213-'Data-Plot'!D213)*$P$9)</f>
        <v/>
      </c>
      <c r="S213" s="22">
        <v>1447.4295833650822</v>
      </c>
      <c r="T213" s="22">
        <v>0</v>
      </c>
      <c r="U213" s="22">
        <v>3.2916770335420395E-14</v>
      </c>
      <c r="V213" s="22">
        <v>80.272065340176226</v>
      </c>
      <c r="W213" s="22">
        <v>1367.1575180249058</v>
      </c>
    </row>
    <row r="214" spans="16:23" x14ac:dyDescent="0.25">
      <c r="P214" s="22" t="str">
        <f>IF('Data-Plot'!C214="","",$Q$11+('Data-Plot'!C214-'Data-Plot'!D214)*$P$9)</f>
        <v/>
      </c>
      <c r="Q214" s="22" t="str">
        <f>IF('Data-Plot'!C214="","",MAX('Data-Plot'!$C$11:$C$1010)*(1+$Q$9/100))</f>
        <v/>
      </c>
      <c r="R214" s="22" t="str">
        <f>IF('Data-Plot'!C214="","",('Data-Plot'!C214-'Data-Plot'!D214)*$P$9)</f>
        <v/>
      </c>
      <c r="S214" s="22">
        <v>1484.9828141174255</v>
      </c>
      <c r="T214" s="22">
        <v>0</v>
      </c>
      <c r="U214" s="22">
        <v>1.5452349135484626E-15</v>
      </c>
      <c r="V214" s="22">
        <v>58.729080270456571</v>
      </c>
      <c r="W214" s="22">
        <v>1426.253733846969</v>
      </c>
    </row>
    <row r="215" spans="16:23" x14ac:dyDescent="0.25">
      <c r="P215" s="22" t="str">
        <f>IF('Data-Plot'!C215="","",$Q$11+('Data-Plot'!C215-'Data-Plot'!D215)*$P$9)</f>
        <v/>
      </c>
      <c r="Q215" s="22" t="str">
        <f>IF('Data-Plot'!C215="","",MAX('Data-Plot'!$C$11:$C$1010)*(1+$Q$9/100))</f>
        <v/>
      </c>
      <c r="R215" s="22" t="str">
        <f>IF('Data-Plot'!C215="","",('Data-Plot'!C215-'Data-Plot'!D215)*$P$9)</f>
        <v/>
      </c>
      <c r="S215" s="22">
        <v>1521.9985530620067</v>
      </c>
      <c r="T215" s="22">
        <v>0</v>
      </c>
      <c r="U215" s="22">
        <v>5.8202548057822342E-17</v>
      </c>
      <c r="V215" s="22">
        <v>41.728863562566502</v>
      </c>
      <c r="W215" s="22">
        <v>1480.2696894994403</v>
      </c>
    </row>
    <row r="216" spans="16:23" x14ac:dyDescent="0.25">
      <c r="P216" s="22" t="str">
        <f>IF('Data-Plot'!C216="","",$Q$11+('Data-Plot'!C216-'Data-Plot'!D216)*$P$9)</f>
        <v/>
      </c>
      <c r="Q216" s="22" t="str">
        <f>IF('Data-Plot'!C216="","",MAX('Data-Plot'!$C$11:$C$1010)*(1+$Q$9/100))</f>
        <v/>
      </c>
      <c r="R216" s="22" t="str">
        <f>IF('Data-Plot'!C216="","",('Data-Plot'!C216-'Data-Plot'!D216)*$P$9)</f>
        <v/>
      </c>
      <c r="S216" s="22">
        <v>1556.5187046895135</v>
      </c>
      <c r="T216" s="22">
        <v>0</v>
      </c>
      <c r="U216" s="22">
        <v>1.7336608184966916E-18</v>
      </c>
      <c r="V216" s="22">
        <v>28.735918379606741</v>
      </c>
      <c r="W216" s="22">
        <v>1527.7827863099067</v>
      </c>
    </row>
    <row r="217" spans="16:23" x14ac:dyDescent="0.25">
      <c r="P217" s="22" t="str">
        <f>IF('Data-Plot'!C217="","",$Q$11+('Data-Plot'!C217-'Data-Plot'!D217)*$P$9)</f>
        <v/>
      </c>
      <c r="Q217" s="22" t="str">
        <f>IF('Data-Plot'!C217="","",MAX('Data-Plot'!$C$11:$C$1010)*(1+$Q$9/100))</f>
        <v/>
      </c>
      <c r="R217" s="22" t="str">
        <f>IF('Data-Plot'!C217="","",('Data-Plot'!C217-'Data-Plot'!D217)*$P$9)</f>
        <v/>
      </c>
      <c r="S217" s="22">
        <v>1586.4418345773215</v>
      </c>
      <c r="T217" s="22">
        <v>0</v>
      </c>
      <c r="U217" s="22">
        <v>4.0214134674124247E-20</v>
      </c>
      <c r="V217" s="22">
        <v>19.136847975119711</v>
      </c>
      <c r="W217" s="22">
        <v>1567.3049866022018</v>
      </c>
    </row>
    <row r="218" spans="16:23" x14ac:dyDescent="0.25">
      <c r="P218" s="22" t="str">
        <f>IF('Data-Plot'!C218="","",$Q$11+('Data-Plot'!C218-'Data-Plot'!D218)*$P$9)</f>
        <v/>
      </c>
      <c r="Q218" s="22" t="str">
        <f>IF('Data-Plot'!C218="","",MAX('Data-Plot'!$C$11:$C$1010)*(1+$Q$9/100))</f>
        <v/>
      </c>
      <c r="R218" s="22" t="str">
        <f>IF('Data-Plot'!C218="","",('Data-Plot'!C218-'Data-Plot'!D218)*$P$9)</f>
        <v/>
      </c>
      <c r="S218" s="22">
        <v>1609.4304847915589</v>
      </c>
      <c r="T218" s="22">
        <v>0</v>
      </c>
      <c r="U218" s="22">
        <v>7.4475906303374232E-22</v>
      </c>
      <c r="V218" s="22">
        <v>12.352171921139863</v>
      </c>
      <c r="W218" s="22">
        <v>1597.078312870419</v>
      </c>
    </row>
    <row r="219" spans="16:23" x14ac:dyDescent="0.25">
      <c r="P219" s="22" t="str">
        <f>IF('Data-Plot'!C219="","",$Q$11+('Data-Plot'!C219-'Data-Plot'!D219)*$P$9)</f>
        <v/>
      </c>
      <c r="Q219" s="22" t="str">
        <f>IF('Data-Plot'!C219="","",MAX('Data-Plot'!$C$11:$C$1010)*(1+$Q$9/100))</f>
        <v/>
      </c>
      <c r="R219" s="22" t="str">
        <f>IF('Data-Plot'!C219="","",('Data-Plot'!C219-'Data-Plot'!D219)*$P$9)</f>
        <v/>
      </c>
      <c r="S219" s="22">
        <v>1623.8686526467357</v>
      </c>
      <c r="T219" s="22">
        <v>0</v>
      </c>
      <c r="U219" s="22">
        <v>9.9947013322453877E-24</v>
      </c>
      <c r="V219" s="22">
        <v>7.6414033225261724</v>
      </c>
      <c r="W219" s="22">
        <v>1616.2272493242094</v>
      </c>
    </row>
    <row r="220" spans="16:23" x14ac:dyDescent="0.25">
      <c r="P220" s="22" t="str">
        <f>IF('Data-Plot'!C220="","",$Q$11+('Data-Plot'!C220-'Data-Plot'!D220)*$P$9)</f>
        <v/>
      </c>
      <c r="Q220" s="22" t="str">
        <f>IF('Data-Plot'!C220="","",MAX('Data-Plot'!$C$11:$C$1010)*(1+$Q$9/100))</f>
        <v/>
      </c>
      <c r="R220" s="22" t="str">
        <f>IF('Data-Plot'!C220="","",('Data-Plot'!C220-'Data-Plot'!D220)*$P$9)</f>
        <v/>
      </c>
      <c r="S220" s="22">
        <v>1627.5520867676075</v>
      </c>
      <c r="T220" s="22">
        <v>0</v>
      </c>
      <c r="U220" s="22">
        <v>9.917590922188182E-26</v>
      </c>
      <c r="V220" s="22">
        <v>4.5376944060800684</v>
      </c>
      <c r="W220" s="22">
        <v>1623.0143923615274</v>
      </c>
    </row>
    <row r="221" spans="16:23" x14ac:dyDescent="0.25">
      <c r="P221" s="22" t="str">
        <f>IF('Data-Plot'!C221="","",$Q$11+('Data-Plot'!C221-'Data-Plot'!D221)*$P$9)</f>
        <v/>
      </c>
      <c r="Q221" s="22" t="str">
        <f>IF('Data-Plot'!C221="","",MAX('Data-Plot'!$C$11:$C$1010)*(1+$Q$9/100))</f>
        <v/>
      </c>
      <c r="R221" s="22" t="str">
        <f>IF('Data-Plot'!C221="","",('Data-Plot'!C221-'Data-Plot'!D221)*$P$9)</f>
        <v/>
      </c>
      <c r="S221" s="22">
        <v>1618.7971702692412</v>
      </c>
      <c r="T221" s="22">
        <v>0</v>
      </c>
      <c r="U221" s="22">
        <v>7.1362498523947729E-28</v>
      </c>
      <c r="V221" s="22">
        <v>2.5793355905596669</v>
      </c>
      <c r="W221" s="22">
        <v>1616.2178346786816</v>
      </c>
    </row>
    <row r="222" spans="16:23" x14ac:dyDescent="0.25">
      <c r="P222" s="22" t="str">
        <f>IF('Data-Plot'!C222="","",$Q$11+('Data-Plot'!C222-'Data-Plot'!D222)*$P$9)</f>
        <v/>
      </c>
      <c r="Q222" s="22" t="str">
        <f>IF('Data-Plot'!C222="","",MAX('Data-Plot'!$C$11:$C$1010)*(1+$Q$9/100))</f>
        <v/>
      </c>
      <c r="R222" s="22" t="str">
        <f>IF('Data-Plot'!C222="","",('Data-Plot'!C222-'Data-Plot'!D222)*$P$9)</f>
        <v/>
      </c>
      <c r="S222" s="22">
        <v>1596.2659181179822</v>
      </c>
      <c r="T222" s="22">
        <v>0</v>
      </c>
      <c r="U222" s="22">
        <v>3.6475269641043787E-30</v>
      </c>
      <c r="V222" s="22">
        <v>1.3992323729470453</v>
      </c>
      <c r="W222" s="22">
        <v>1594.8666857450351</v>
      </c>
    </row>
    <row r="223" spans="16:23" x14ac:dyDescent="0.25">
      <c r="P223" s="22" t="str">
        <f>IF('Data-Plot'!C223="","",$Q$11+('Data-Plot'!C223-'Data-Plot'!D223)*$P$9)</f>
        <v/>
      </c>
      <c r="Q223" s="22" t="str">
        <f>IF('Data-Plot'!C223="","",MAX('Data-Plot'!$C$11:$C$1010)*(1+$Q$9/100))</f>
        <v/>
      </c>
      <c r="R223" s="22" t="str">
        <f>IF('Data-Plot'!C223="","",('Data-Plot'!C223-'Data-Plot'!D223)*$P$9)</f>
        <v/>
      </c>
      <c r="S223" s="22">
        <v>1559.492316879293</v>
      </c>
      <c r="T223" s="22">
        <v>0</v>
      </c>
      <c r="U223" s="22">
        <v>1.3726249790156473E-32</v>
      </c>
      <c r="V223" s="22">
        <v>0.7270287817193225</v>
      </c>
      <c r="W223" s="22">
        <v>1558.7652880975736</v>
      </c>
    </row>
    <row r="224" spans="16:23" x14ac:dyDescent="0.25">
      <c r="P224" s="22" t="str">
        <f>IF('Data-Plot'!C224="","",$Q$11+('Data-Plot'!C224-'Data-Plot'!D224)*$P$9)</f>
        <v/>
      </c>
      <c r="Q224" s="22" t="str">
        <f>IF('Data-Plot'!C224="","",MAX('Data-Plot'!$C$11:$C$1010)*(1+$Q$9/100))</f>
        <v/>
      </c>
      <c r="R224" s="22" t="str">
        <f>IF('Data-Plot'!C224="","",('Data-Plot'!C224-'Data-Plot'!D224)*$P$9)</f>
        <v/>
      </c>
      <c r="S224" s="22">
        <v>1507.3365695361272</v>
      </c>
      <c r="T224" s="22">
        <v>0</v>
      </c>
      <c r="U224" s="22">
        <v>3.3240086778270061E-35</v>
      </c>
      <c r="V224" s="22">
        <v>0.35591383290024647</v>
      </c>
      <c r="W224" s="22">
        <v>1506.9806557032268</v>
      </c>
    </row>
    <row r="225" spans="16:23" x14ac:dyDescent="0.25">
      <c r="P225" s="22" t="str">
        <f>IF('Data-Plot'!C225="","",$Q$11+('Data-Plot'!C225-'Data-Plot'!D225)*$P$9)</f>
        <v/>
      </c>
      <c r="Q225" s="22" t="str">
        <f>IF('Data-Plot'!C225="","",MAX('Data-Plot'!$C$11:$C$1010)*(1+$Q$9/100))</f>
        <v/>
      </c>
      <c r="R225" s="22" t="str">
        <f>IF('Data-Plot'!C225="","",('Data-Plot'!C225-'Data-Plot'!D225)*$P$9)</f>
        <v/>
      </c>
      <c r="S225" s="22">
        <v>1440.2455980982731</v>
      </c>
      <c r="T225" s="22">
        <v>0</v>
      </c>
      <c r="U225" s="22">
        <v>5.3348211799924503E-38</v>
      </c>
      <c r="V225" s="22">
        <v>0.16460230104892298</v>
      </c>
      <c r="W225" s="22">
        <v>1440.0809957972242</v>
      </c>
    </row>
    <row r="226" spans="16:23" x14ac:dyDescent="0.25">
      <c r="P226" s="22" t="str">
        <f>IF('Data-Plot'!C226="","",$Q$11+('Data-Plot'!C226-'Data-Plot'!D226)*$P$9)</f>
        <v/>
      </c>
      <c r="Q226" s="22" t="str">
        <f>IF('Data-Plot'!C226="","",MAX('Data-Plot'!$C$11:$C$1010)*(1+$Q$9/100))</f>
        <v/>
      </c>
      <c r="R226" s="22" t="str">
        <f>IF('Data-Plot'!C226="","",('Data-Plot'!C226-'Data-Plot'!D226)*$P$9)</f>
        <v/>
      </c>
      <c r="S226" s="22">
        <v>1358.9772087176916</v>
      </c>
      <c r="T226" s="22">
        <v>0</v>
      </c>
      <c r="U226" s="22">
        <v>5.5289168703209421E-41</v>
      </c>
      <c r="V226" s="22">
        <v>7.1640290457997746E-2</v>
      </c>
      <c r="W226" s="22">
        <v>1358.9055684272337</v>
      </c>
    </row>
    <row r="227" spans="16:23" x14ac:dyDescent="0.25">
      <c r="P227" s="22" t="str">
        <f>IF('Data-Plot'!C227="","",$Q$11+('Data-Plot'!C227-'Data-Plot'!D227)*$P$9)</f>
        <v/>
      </c>
      <c r="Q227" s="22" t="str">
        <f>IF('Data-Plot'!C227="","",MAX('Data-Plot'!$C$11:$C$1010)*(1+$Q$9/100))</f>
        <v/>
      </c>
      <c r="R227" s="22" t="str">
        <f>IF('Data-Plot'!C227="","",('Data-Plot'!C227-'Data-Plot'!D227)*$P$9)</f>
        <v/>
      </c>
      <c r="S227" s="22">
        <v>1264.9105451252076</v>
      </c>
      <c r="T227" s="22">
        <v>0</v>
      </c>
      <c r="U227" s="22">
        <v>3.5997652946014029E-44</v>
      </c>
      <c r="V227" s="22">
        <v>2.9223755319229966E-2</v>
      </c>
      <c r="W227" s="22">
        <v>1264.8813213698884</v>
      </c>
    </row>
    <row r="228" spans="16:23" x14ac:dyDescent="0.25">
      <c r="P228" s="22" t="str">
        <f>IF('Data-Plot'!C228="","",$Q$11+('Data-Plot'!C228-'Data-Plot'!D228)*$P$9)</f>
        <v/>
      </c>
      <c r="Q228" s="22" t="str">
        <f>IF('Data-Plot'!C228="","",MAX('Data-Plot'!$C$11:$C$1010)*(1+$Q$9/100))</f>
        <v/>
      </c>
      <c r="R228" s="22" t="str">
        <f>IF('Data-Plot'!C228="","",('Data-Plot'!C228-'Data-Plot'!D228)*$P$9)</f>
        <v/>
      </c>
      <c r="S228" s="22">
        <v>1161.1128976372911</v>
      </c>
      <c r="T228" s="22">
        <v>0</v>
      </c>
      <c r="U228" s="22">
        <v>1.5493190842245874E-47</v>
      </c>
      <c r="V228" s="22">
        <v>1.1235523724914142E-2</v>
      </c>
      <c r="W228" s="22">
        <v>1161.1016621135661</v>
      </c>
    </row>
    <row r="229" spans="16:23" x14ac:dyDescent="0.25">
      <c r="P229" s="22" t="str">
        <f>IF('Data-Plot'!C229="","",$Q$11+('Data-Plot'!C229-'Data-Plot'!D229)*$P$9)</f>
        <v/>
      </c>
      <c r="Q229" s="22" t="str">
        <f>IF('Data-Plot'!C229="","",MAX('Data-Plot'!$C$11:$C$1010)*(1+$Q$9/100))</f>
        <v/>
      </c>
      <c r="R229" s="22" t="str">
        <f>IF('Data-Plot'!C229="","",('Data-Plot'!C229-'Data-Plot'!D229)*$P$9)</f>
        <v/>
      </c>
      <c r="S229" s="22">
        <v>1048.0166267977952</v>
      </c>
      <c r="T229" s="22">
        <v>0</v>
      </c>
      <c r="U229" s="22">
        <v>3.6613905263292688E-51</v>
      </c>
      <c r="V229" s="22">
        <v>3.9759390019677423E-3</v>
      </c>
      <c r="W229" s="22">
        <v>1048.0126508587932</v>
      </c>
    </row>
    <row r="230" spans="16:23" x14ac:dyDescent="0.25">
      <c r="P230" s="22" t="str">
        <f>IF('Data-Plot'!C230="","",$Q$11+('Data-Plot'!C230-'Data-Plot'!D230)*$P$9)</f>
        <v/>
      </c>
      <c r="Q230" s="22" t="str">
        <f>IF('Data-Plot'!C230="","",MAX('Data-Plot'!$C$11:$C$1010)*(1+$Q$9/100))</f>
        <v/>
      </c>
      <c r="R230" s="22" t="str">
        <f>IF('Data-Plot'!C230="","",('Data-Plot'!C230-'Data-Plot'!D230)*$P$9)</f>
        <v/>
      </c>
      <c r="S230" s="22">
        <v>929.58375265575989</v>
      </c>
      <c r="T230" s="22">
        <v>0</v>
      </c>
      <c r="U230" s="22">
        <v>4.9569381192293537E-55</v>
      </c>
      <c r="V230" s="22">
        <v>1.3006092668018123E-3</v>
      </c>
      <c r="W230" s="22">
        <v>929.58245204649313</v>
      </c>
    </row>
    <row r="231" spans="16:23" x14ac:dyDescent="0.25">
      <c r="P231" s="22" t="str">
        <f>IF('Data-Plot'!C231="","",$Q$11+('Data-Plot'!C231-'Data-Plot'!D231)*$P$9)</f>
        <v/>
      </c>
      <c r="Q231" s="22" t="str">
        <f>IF('Data-Plot'!C231="","",MAX('Data-Plot'!$C$11:$C$1010)*(1+$Q$9/100))</f>
        <v/>
      </c>
      <c r="R231" s="22" t="str">
        <f>IF('Data-Plot'!C231="","",('Data-Plot'!C231-'Data-Plot'!D231)*$P$9)</f>
        <v/>
      </c>
      <c r="S231" s="22">
        <v>809.08942215651268</v>
      </c>
      <c r="T231" s="22">
        <v>0</v>
      </c>
      <c r="U231" s="22">
        <v>3.714245694451549E-59</v>
      </c>
      <c r="V231" s="22">
        <v>3.9124969904495092E-4</v>
      </c>
      <c r="W231" s="22">
        <v>809.0890309068136</v>
      </c>
    </row>
    <row r="232" spans="16:23" x14ac:dyDescent="0.25">
      <c r="P232" s="22" t="str">
        <f>IF('Data-Plot'!C232="","",$Q$11+('Data-Plot'!C232-'Data-Plot'!D232)*$P$9)</f>
        <v/>
      </c>
      <c r="Q232" s="22" t="str">
        <f>IF('Data-Plot'!C232="","",MAX('Data-Plot'!$C$11:$C$1010)*(1+$Q$9/100))</f>
        <v/>
      </c>
      <c r="R232" s="22" t="str">
        <f>IF('Data-Plot'!C232="","",('Data-Plot'!C232-'Data-Plot'!D232)*$P$9)</f>
        <v/>
      </c>
      <c r="S232" s="22">
        <v>689.92454175339788</v>
      </c>
      <c r="T232" s="22">
        <v>0</v>
      </c>
      <c r="U232" s="22">
        <v>1.4851938358713531E-63</v>
      </c>
      <c r="V232" s="22">
        <v>1.0763663968639943E-4</v>
      </c>
      <c r="W232" s="22">
        <v>689.92443411675822</v>
      </c>
    </row>
    <row r="233" spans="16:23" x14ac:dyDescent="0.25">
      <c r="P233" s="22" t="str">
        <f>IF('Data-Plot'!C233="","",$Q$11+('Data-Plot'!C233-'Data-Plot'!D233)*$P$9)</f>
        <v/>
      </c>
      <c r="Q233" s="22" t="str">
        <f>IF('Data-Plot'!C233="","",MAX('Data-Plot'!$C$11:$C$1010)*(1+$Q$9/100))</f>
        <v/>
      </c>
      <c r="R233" s="22" t="str">
        <f>IF('Data-Plot'!C233="","",('Data-Plot'!C233-'Data-Plot'!D233)*$P$9)</f>
        <v/>
      </c>
      <c r="S233" s="22">
        <v>576.48467516709673</v>
      </c>
      <c r="T233" s="22">
        <v>0</v>
      </c>
      <c r="U233" s="22">
        <v>3.4048388489711504E-68</v>
      </c>
      <c r="V233" s="22">
        <v>2.7307743368194841E-5</v>
      </c>
      <c r="W233" s="22">
        <v>576.48464785935334</v>
      </c>
    </row>
    <row r="234" spans="16:23" x14ac:dyDescent="0.25">
      <c r="P234" s="22" t="str">
        <f>IF('Data-Plot'!C234="","",$Q$11+('Data-Plot'!C234-'Data-Plot'!D234)*$P$9)</f>
        <v/>
      </c>
      <c r="Q234" s="22" t="str">
        <f>IF('Data-Plot'!C234="","",MAX('Data-Plot'!$C$11:$C$1010)*(1+$Q$9/100))</f>
        <v/>
      </c>
      <c r="R234" s="22" t="str">
        <f>IF('Data-Plot'!C234="","",('Data-Plot'!C234-'Data-Plot'!D234)*$P$9)</f>
        <v/>
      </c>
      <c r="S234" s="22">
        <v>469.45606302981696</v>
      </c>
      <c r="T234" s="22">
        <v>0</v>
      </c>
      <c r="U234" s="22">
        <v>3.471128254797006E-73</v>
      </c>
      <c r="V234" s="22">
        <v>6.1778038270309921E-6</v>
      </c>
      <c r="W234" s="22">
        <v>469.45605685201315</v>
      </c>
    </row>
    <row r="235" spans="16:23" x14ac:dyDescent="0.25">
      <c r="P235" s="22" t="str">
        <f>IF('Data-Plot'!C235="","",$Q$11+('Data-Plot'!C235-'Data-Plot'!D235)*$P$9)</f>
        <v/>
      </c>
      <c r="Q235" s="22" t="str">
        <f>IF('Data-Plot'!C235="","",MAX('Data-Plot'!$C$11:$C$1010)*(1+$Q$9/100))</f>
        <v/>
      </c>
      <c r="R235" s="22" t="str">
        <f>IF('Data-Plot'!C235="","",('Data-Plot'!C235-'Data-Plot'!D235)*$P$9)</f>
        <v/>
      </c>
      <c r="S235" s="22">
        <v>372.46301292337586</v>
      </c>
      <c r="T235" s="22">
        <v>0</v>
      </c>
      <c r="U235" s="22">
        <v>1.6716636365255353E-78</v>
      </c>
      <c r="V235" s="22">
        <v>1.254532765460726E-6</v>
      </c>
      <c r="W235" s="22">
        <v>372.46301166884308</v>
      </c>
    </row>
    <row r="236" spans="16:23" x14ac:dyDescent="0.25">
      <c r="P236" s="22" t="str">
        <f>IF('Data-Plot'!C236="","",$Q$11+('Data-Plot'!C236-'Data-Plot'!D236)*$P$9)</f>
        <v/>
      </c>
      <c r="Q236" s="22" t="str">
        <f>IF('Data-Plot'!C236="","",MAX('Data-Plot'!$C$11:$C$1010)*(1+$Q$9/100))</f>
        <v/>
      </c>
      <c r="R236" s="22" t="str">
        <f>IF('Data-Plot'!C236="","",('Data-Plot'!C236-'Data-Plot'!D236)*$P$9)</f>
        <v/>
      </c>
      <c r="S236" s="22">
        <v>287.28396780685631</v>
      </c>
      <c r="T236" s="22">
        <v>0</v>
      </c>
      <c r="U236" s="22">
        <v>3.6339679079084757E-84</v>
      </c>
      <c r="V236" s="22">
        <v>2.2708237531442959E-7</v>
      </c>
      <c r="W236" s="22">
        <v>287.28396757977396</v>
      </c>
    </row>
    <row r="237" spans="16:23" x14ac:dyDescent="0.25">
      <c r="P237" s="22" t="str">
        <f>IF('Data-Plot'!C237="","",$Q$11+('Data-Plot'!C237-'Data-Plot'!D237)*$P$9)</f>
        <v/>
      </c>
      <c r="Q237" s="22" t="str">
        <f>IF('Data-Plot'!C237="","",MAX('Data-Plot'!$C$11:$C$1010)*(1+$Q$9/100))</f>
        <v/>
      </c>
      <c r="R237" s="22" t="str">
        <f>IF('Data-Plot'!C237="","",('Data-Plot'!C237-'Data-Plot'!D237)*$P$9)</f>
        <v/>
      </c>
      <c r="S237" s="22">
        <v>214.91339890190773</v>
      </c>
      <c r="T237" s="22">
        <v>0</v>
      </c>
      <c r="U237" s="22">
        <v>3.398632929667015E-90</v>
      </c>
      <c r="V237" s="22">
        <v>3.6366967601729966E-8</v>
      </c>
      <c r="W237" s="22">
        <v>214.91339886554076</v>
      </c>
    </row>
    <row r="238" spans="16:23" x14ac:dyDescent="0.25">
      <c r="P238" s="22" t="str">
        <f>IF('Data-Plot'!C238="","",$Q$11+('Data-Plot'!C238-'Data-Plot'!D238)*$P$9)</f>
        <v/>
      </c>
      <c r="Q238" s="22" t="str">
        <f>IF('Data-Plot'!C238="","",MAX('Data-Plot'!$C$11:$C$1010)*(1+$Q$9/100))</f>
        <v/>
      </c>
      <c r="R238" s="22" t="str">
        <f>IF('Data-Plot'!C238="","",('Data-Plot'!C238-'Data-Plot'!D238)*$P$9)</f>
        <v/>
      </c>
      <c r="S238" s="22">
        <v>156.06551648371968</v>
      </c>
      <c r="T238" s="22">
        <v>0</v>
      </c>
      <c r="U238" s="22">
        <v>1.5114775735765566E-96</v>
      </c>
      <c r="V238" s="22">
        <v>5.2161688776961156E-9</v>
      </c>
      <c r="W238" s="22">
        <v>156.0655164785035</v>
      </c>
    </row>
    <row r="239" spans="16:23" x14ac:dyDescent="0.25">
      <c r="P239" s="22" t="str">
        <f>IF('Data-Plot'!C239="","",$Q$11+('Data-Plot'!C239-'Data-Plot'!D239)*$P$9)</f>
        <v/>
      </c>
      <c r="Q239" s="22" t="str">
        <f>IF('Data-Plot'!C239="","",MAX('Data-Plot'!$C$11:$C$1010)*(1+$Q$9/100))</f>
        <v/>
      </c>
      <c r="R239" s="22" t="str">
        <f>IF('Data-Plot'!C239="","",('Data-Plot'!C239-'Data-Plot'!D239)*$P$9)</f>
        <v/>
      </c>
      <c r="S239" s="22">
        <v>109.01565872037455</v>
      </c>
      <c r="T239" s="22">
        <v>0</v>
      </c>
      <c r="U239" s="22">
        <v>2.2623958884088835E-103</v>
      </c>
      <c r="V239" s="22">
        <v>6.3921575640916835E-10</v>
      </c>
      <c r="W239" s="22">
        <v>109.01565871973533</v>
      </c>
    </row>
    <row r="240" spans="16:23" x14ac:dyDescent="0.25">
      <c r="P240" s="22" t="str">
        <f>IF('Data-Plot'!C240="","",$Q$11+('Data-Plot'!C240-'Data-Plot'!D240)*$P$9)</f>
        <v/>
      </c>
      <c r="Q240" s="22" t="str">
        <f>IF('Data-Plot'!C240="","",MAX('Data-Plot'!$C$11:$C$1010)*(1+$Q$9/100))</f>
        <v/>
      </c>
      <c r="R240" s="22" t="str">
        <f>IF('Data-Plot'!C240="","",('Data-Plot'!C240-'Data-Plot'!D240)*$P$9)</f>
        <v/>
      </c>
      <c r="S240" s="22">
        <v>73.25705189793095</v>
      </c>
      <c r="T240" s="22">
        <v>0</v>
      </c>
      <c r="U240" s="22">
        <v>1.2411351022637359E-110</v>
      </c>
      <c r="V240" s="22">
        <v>6.7591614097505605E-11</v>
      </c>
      <c r="W240" s="22">
        <v>73.257051897863363</v>
      </c>
    </row>
    <row r="241" spans="16:23" x14ac:dyDescent="0.25">
      <c r="P241" s="22" t="str">
        <f>IF('Data-Plot'!C241="","",$Q$11+('Data-Plot'!C241-'Data-Plot'!D241)*$P$9)</f>
        <v/>
      </c>
      <c r="Q241" s="22" t="str">
        <f>IF('Data-Plot'!C241="","",MAX('Data-Plot'!$C$11:$C$1010)*(1+$Q$9/100))</f>
        <v/>
      </c>
      <c r="R241" s="22" t="str">
        <f>IF('Data-Plot'!C241="","",('Data-Plot'!C241-'Data-Plot'!D241)*$P$9)</f>
        <v/>
      </c>
      <c r="S241" s="22">
        <v>47.20759821840128</v>
      </c>
      <c r="T241" s="22">
        <v>0</v>
      </c>
      <c r="U241" s="22">
        <v>2.3509711496751853E-118</v>
      </c>
      <c r="V241" s="22">
        <v>6.1095350283189962E-12</v>
      </c>
      <c r="W241" s="22">
        <v>47.207598218395169</v>
      </c>
    </row>
    <row r="242" spans="16:23" x14ac:dyDescent="0.25">
      <c r="P242" s="22" t="str">
        <f>IF('Data-Plot'!C242="","",$Q$11+('Data-Plot'!C242-'Data-Plot'!D242)*$P$9)</f>
        <v/>
      </c>
      <c r="Q242" s="22" t="str">
        <f>IF('Data-Plot'!C242="","",MAX('Data-Plot'!$C$11:$C$1010)*(1+$Q$9/100))</f>
        <v/>
      </c>
      <c r="R242" s="22" t="str">
        <f>IF('Data-Plot'!C242="","",('Data-Plot'!C242-'Data-Plot'!D242)*$P$9)</f>
        <v/>
      </c>
      <c r="S242" s="22">
        <v>29.073135056487672</v>
      </c>
      <c r="T242" s="22">
        <v>0</v>
      </c>
      <c r="U242" s="22">
        <v>1.4438371378073503E-126</v>
      </c>
      <c r="V242" s="22">
        <v>4.673810960826878E-13</v>
      </c>
      <c r="W242" s="22">
        <v>29.073135056487203</v>
      </c>
    </row>
    <row r="243" spans="16:23" x14ac:dyDescent="0.25">
      <c r="P243" s="22" t="str">
        <f>IF('Data-Plot'!C243="","",$Q$11+('Data-Plot'!C243-'Data-Plot'!D243)*$P$9)</f>
        <v/>
      </c>
      <c r="Q243" s="22" t="str">
        <f>IF('Data-Plot'!C243="","",MAX('Data-Plot'!$C$11:$C$1010)*(1+$Q$9/100))</f>
        <v/>
      </c>
      <c r="R243" s="22" t="str">
        <f>IF('Data-Plot'!C243="","",('Data-Plot'!C243-'Data-Plot'!D243)*$P$9)</f>
        <v/>
      </c>
      <c r="S243" s="22">
        <v>17.143287602257086</v>
      </c>
      <c r="T243" s="22">
        <v>0</v>
      </c>
      <c r="U243" s="22">
        <v>3.3026627634711343E-135</v>
      </c>
      <c r="V243" s="22">
        <v>3.0797238013771956E-14</v>
      </c>
      <c r="W243" s="22">
        <v>17.143287602257054</v>
      </c>
    </row>
    <row r="244" spans="16:23" x14ac:dyDescent="0.25">
      <c r="P244" s="22" t="str">
        <f>IF('Data-Plot'!C244="","",$Q$11+('Data-Plot'!C244-'Data-Plot'!D244)*$P$9)</f>
        <v/>
      </c>
      <c r="Q244" s="22" t="str">
        <f>IF('Data-Plot'!C244="","",MAX('Data-Plot'!$C$11:$C$1010)*(1+$Q$9/100))</f>
        <v/>
      </c>
      <c r="R244" s="22" t="str">
        <f>IF('Data-Plot'!C244="","",('Data-Plot'!C244-'Data-Plot'!D244)*$P$9)</f>
        <v/>
      </c>
      <c r="S244" s="22">
        <v>9.5394054542594109</v>
      </c>
      <c r="T244" s="22">
        <v>0</v>
      </c>
      <c r="U244" s="22">
        <v>1.7632585785245097E-144</v>
      </c>
      <c r="V244" s="22">
        <v>1.6371905022238821E-15</v>
      </c>
      <c r="W244" s="22">
        <v>9.5394054542594091</v>
      </c>
    </row>
    <row r="245" spans="16:23" x14ac:dyDescent="0.25">
      <c r="P245" s="22" t="str">
        <f>IF('Data-Plot'!C245="","",$Q$11+('Data-Plot'!C245-'Data-Plot'!D245)*$P$9)</f>
        <v/>
      </c>
      <c r="Q245" s="22" t="str">
        <f>IF('Data-Plot'!C245="","",MAX('Data-Plot'!$C$11:$C$1010)*(1+$Q$9/100))</f>
        <v/>
      </c>
      <c r="R245" s="22" t="str">
        <f>IF('Data-Plot'!C245="","",('Data-Plot'!C245-'Data-Plot'!D245)*$P$9)</f>
        <v/>
      </c>
      <c r="S245" s="22">
        <v>5.0130644889194897</v>
      </c>
      <c r="T245" s="22">
        <v>0</v>
      </c>
      <c r="U245" s="22">
        <v>2.4752141191439882E-154</v>
      </c>
      <c r="V245" s="22">
        <v>7.1240184567330973E-17</v>
      </c>
      <c r="W245" s="22">
        <v>5.0130644889194897</v>
      </c>
    </row>
    <row r="246" spans="16:23" x14ac:dyDescent="0.25">
      <c r="P246" s="22" t="str">
        <f>IF('Data-Plot'!C246="","",$Q$11+('Data-Plot'!C246-'Data-Plot'!D246)*$P$9)</f>
        <v/>
      </c>
      <c r="Q246" s="22" t="str">
        <f>IF('Data-Plot'!C246="","",MAX('Data-Plot'!$C$11:$C$1010)*(1+$Q$9/100))</f>
        <v/>
      </c>
      <c r="R246" s="22" t="str">
        <f>IF('Data-Plot'!C246="","",('Data-Plot'!C246-'Data-Plot'!D246)*$P$9)</f>
        <v/>
      </c>
      <c r="S246" s="22">
        <v>2.4765159462371917</v>
      </c>
      <c r="T246" s="22">
        <v>0</v>
      </c>
      <c r="U246" s="22">
        <v>8.4520115042247306E-165</v>
      </c>
      <c r="V246" s="22">
        <v>2.5058651190968373E-18</v>
      </c>
      <c r="W246" s="22">
        <v>2.4765159462371917</v>
      </c>
    </row>
    <row r="247" spans="16:23" x14ac:dyDescent="0.25">
      <c r="P247" s="22" t="str">
        <f>IF('Data-Plot'!C247="","",$Q$11+('Data-Plot'!C247-'Data-Plot'!D247)*$P$9)</f>
        <v/>
      </c>
      <c r="Q247" s="22" t="str">
        <f>IF('Data-Plot'!C247="","",MAX('Data-Plot'!$C$11:$C$1010)*(1+$Q$9/100))</f>
        <v/>
      </c>
      <c r="R247" s="22" t="str">
        <f>IF('Data-Plot'!C247="","",('Data-Plot'!C247-'Data-Plot'!D247)*$P$9)</f>
        <v/>
      </c>
      <c r="S247" s="22">
        <v>1.144412828465557</v>
      </c>
      <c r="T247" s="22">
        <v>0</v>
      </c>
      <c r="U247" s="22">
        <v>6.467513206069258E-176</v>
      </c>
      <c r="V247" s="22">
        <v>7.031515791890759E-20</v>
      </c>
      <c r="W247" s="22">
        <v>1.144412828465557</v>
      </c>
    </row>
    <row r="248" spans="16:23" x14ac:dyDescent="0.25">
      <c r="P248" s="22" t="str">
        <f>IF('Data-Plot'!C248="","",$Q$11+('Data-Plot'!C248-'Data-Plot'!D248)*$P$9)</f>
        <v/>
      </c>
      <c r="Q248" s="22" t="str">
        <f>IF('Data-Plot'!C248="","",MAX('Data-Plot'!$C$11:$C$1010)*(1+$Q$9/100))</f>
        <v/>
      </c>
      <c r="R248" s="22" t="str">
        <f>IF('Data-Plot'!C248="","",('Data-Plot'!C248-'Data-Plot'!D248)*$P$9)</f>
        <v/>
      </c>
      <c r="S248" s="22">
        <v>0.49636661789476677</v>
      </c>
      <c r="T248" s="22">
        <v>0</v>
      </c>
      <c r="U248" s="22">
        <v>1.3420431246697348E-187</v>
      </c>
      <c r="V248" s="22">
        <v>1.6137848237235134E-21</v>
      </c>
      <c r="W248" s="22">
        <v>0.49636661789476677</v>
      </c>
    </row>
    <row r="249" spans="16:23" x14ac:dyDescent="0.25">
      <c r="P249" s="22" t="str">
        <f>IF('Data-Plot'!C249="","",$Q$11+('Data-Plot'!C249-'Data-Plot'!D249)*$P$9)</f>
        <v/>
      </c>
      <c r="Q249" s="22" t="str">
        <f>IF('Data-Plot'!C249="","",MAX('Data-Plot'!$C$11:$C$1010)*(1+$Q$9/100))</f>
        <v/>
      </c>
      <c r="R249" s="22" t="str">
        <f>IF('Data-Plot'!C249="","",('Data-Plot'!C249-'Data-Plot'!D249)*$P$9)</f>
        <v/>
      </c>
      <c r="S249" s="22">
        <v>0.1975941630185617</v>
      </c>
      <c r="T249" s="22">
        <v>0</v>
      </c>
      <c r="U249" s="22">
        <v>4.0287925439898581E-200</v>
      </c>
      <c r="V249" s="22">
        <v>2.768118752566524E-23</v>
      </c>
      <c r="W249" s="22">
        <v>0.1975941630185617</v>
      </c>
    </row>
    <row r="250" spans="16:23" x14ac:dyDescent="0.25">
      <c r="P250" s="22" t="str">
        <f>IF('Data-Plot'!C250="","",$Q$11+('Data-Plot'!C250-'Data-Plot'!D250)*$P$9)</f>
        <v/>
      </c>
      <c r="Q250" s="22" t="str">
        <f>IF('Data-Plot'!C250="","",MAX('Data-Plot'!$C$11:$C$1010)*(1+$Q$9/100))</f>
        <v/>
      </c>
      <c r="R250" s="22" t="str">
        <f>IF('Data-Plot'!C250="","",('Data-Plot'!C250-'Data-Plot'!D250)*$P$9)</f>
        <v/>
      </c>
      <c r="S250" s="22">
        <v>7.2324786689347151E-2</v>
      </c>
      <c r="T250" s="22">
        <v>0</v>
      </c>
      <c r="U250" s="22">
        <v>2.0639070836491368E-213</v>
      </c>
      <c r="V250" s="22">
        <v>3.6235288101634118E-25</v>
      </c>
      <c r="W250" s="22">
        <v>7.2324786689347151E-2</v>
      </c>
    </row>
    <row r="251" spans="16:23" x14ac:dyDescent="0.25">
      <c r="P251" s="22" t="str">
        <f>IF('Data-Plot'!C251="","",$Q$11+('Data-Plot'!C251-'Data-Plot'!D251)*$P$9)</f>
        <v/>
      </c>
      <c r="Q251" s="22" t="str">
        <f>IF('Data-Plot'!C251="","",MAX('Data-Plot'!$C$11:$C$1010)*(1+$Q$9/100))</f>
        <v/>
      </c>
      <c r="R251" s="22" t="str">
        <f>IF('Data-Plot'!C251="","",('Data-Plot'!C251-'Data-Plot'!D251)*$P$9)</f>
        <v/>
      </c>
      <c r="S251" s="22">
        <v>2.4180242293637987E-2</v>
      </c>
      <c r="T251" s="22">
        <v>0</v>
      </c>
      <c r="U251" s="22">
        <v>1.631025145856413E-227</v>
      </c>
      <c r="V251" s="22">
        <v>3.5603783226755203E-27</v>
      </c>
      <c r="W251" s="22">
        <v>2.4180242293637987E-2</v>
      </c>
    </row>
    <row r="252" spans="16:23" x14ac:dyDescent="0.25">
      <c r="P252" s="22" t="str">
        <f>IF('Data-Plot'!C252="","",$Q$11+('Data-Plot'!C252-'Data-Plot'!D252)*$P$9)</f>
        <v/>
      </c>
      <c r="Q252" s="22" t="str">
        <f>IF('Data-Plot'!C252="","",MAX('Data-Plot'!$C$11:$C$1010)*(1+$Q$9/100))</f>
        <v/>
      </c>
      <c r="R252" s="22" t="str">
        <f>IF('Data-Plot'!C252="","",('Data-Plot'!C252-'Data-Plot'!D252)*$P$9)</f>
        <v/>
      </c>
      <c r="S252" s="22">
        <v>7.3315741050957632E-3</v>
      </c>
      <c r="T252" s="22">
        <v>0</v>
      </c>
      <c r="U252" s="22">
        <v>1.7877786396794714E-242</v>
      </c>
      <c r="V252" s="22">
        <v>2.5803391153576335E-29</v>
      </c>
      <c r="W252" s="22">
        <v>7.3315741050957632E-3</v>
      </c>
    </row>
    <row r="253" spans="16:23" x14ac:dyDescent="0.25">
      <c r="P253" s="22" t="str">
        <f>IF('Data-Plot'!C253="","",$Q$11+('Data-Plot'!C253-'Data-Plot'!D253)*$P$9)</f>
        <v/>
      </c>
      <c r="Q253" s="22" t="str">
        <f>IF('Data-Plot'!C253="","",MAX('Data-Plot'!$C$11:$C$1010)*(1+$Q$9/100))</f>
        <v/>
      </c>
      <c r="R253" s="22" t="str">
        <f>IF('Data-Plot'!C253="","",('Data-Plot'!C253-'Data-Plot'!D253)*$P$9)</f>
        <v/>
      </c>
      <c r="S253" s="22">
        <v>2.0276274554894961E-3</v>
      </c>
      <c r="T253" s="22">
        <v>0</v>
      </c>
      <c r="U253" s="22">
        <v>3.5265162187928838E-258</v>
      </c>
      <c r="V253" s="22">
        <v>1.4286608430892782E-31</v>
      </c>
      <c r="W253" s="22">
        <v>2.0276274554894961E-3</v>
      </c>
    </row>
    <row r="254" spans="16:23" x14ac:dyDescent="0.25">
      <c r="P254" s="22" t="str">
        <f>IF('Data-Plot'!C254="","",$Q$11+('Data-Plot'!C254-'Data-Plot'!D254)*$P$9)</f>
        <v/>
      </c>
      <c r="Q254" s="22" t="str">
        <f>IF('Data-Plot'!C254="","",MAX('Data-Plot'!$C$11:$C$1010)*(1+$Q$9/100))</f>
        <v/>
      </c>
      <c r="R254" s="22" t="str">
        <f>IF('Data-Plot'!C254="","",('Data-Plot'!C254-'Data-Plot'!D254)*$P$9)</f>
        <v/>
      </c>
      <c r="S254" s="22">
        <v>4.9445091040437549E-4</v>
      </c>
      <c r="T254" s="22">
        <v>0</v>
      </c>
      <c r="U254" s="22">
        <v>5.4042240946941243E-275</v>
      </c>
      <c r="V254" s="22">
        <v>5.3419736003002432E-34</v>
      </c>
      <c r="W254" s="22">
        <v>4.9445091040437549E-4</v>
      </c>
    </row>
    <row r="255" spans="16:23" x14ac:dyDescent="0.25">
      <c r="P255" s="22" t="str">
        <f>IF('Data-Plot'!C255="","",$Q$11+('Data-Plot'!C255-'Data-Plot'!D255)*$P$9)</f>
        <v/>
      </c>
      <c r="Q255" s="22" t="str">
        <f>IF('Data-Plot'!C255="","",MAX('Data-Plot'!$C$11:$C$1010)*(1+$Q$9/100))</f>
        <v/>
      </c>
      <c r="R255" s="22" t="str">
        <f>IF('Data-Plot'!C255="","",('Data-Plot'!C255-'Data-Plot'!D255)*$P$9)</f>
        <v/>
      </c>
      <c r="S255" s="22">
        <v>1.0668733564407162E-4</v>
      </c>
      <c r="T255" s="22">
        <v>0</v>
      </c>
      <c r="U255" s="22">
        <v>8.0751600189495529E-293</v>
      </c>
      <c r="V255" s="22">
        <v>1.389606188223445E-36</v>
      </c>
      <c r="W255" s="22">
        <v>1.0668733564407162E-4</v>
      </c>
    </row>
    <row r="256" spans="16:23" x14ac:dyDescent="0.25">
      <c r="P256" s="22" t="str">
        <f>IF('Data-Plot'!C256="","",$Q$11+('Data-Plot'!C256-'Data-Plot'!D256)*$P$9)</f>
        <v/>
      </c>
      <c r="Q256" s="22" t="str">
        <f>IF('Data-Plot'!C256="","",MAX('Data-Plot'!$C$11:$C$1010)*(1+$Q$9/100))</f>
        <v/>
      </c>
      <c r="R256" s="22" t="str">
        <f>IF('Data-Plot'!C256="","",('Data-Plot'!C256-'Data-Plot'!D256)*$P$9)</f>
        <v/>
      </c>
      <c r="S256" s="22">
        <v>2.0175963100995689E-5</v>
      </c>
      <c r="T256" s="22">
        <v>0</v>
      </c>
      <c r="U256" s="22">
        <v>0</v>
      </c>
      <c r="V256" s="22">
        <v>2.4605525045498338E-39</v>
      </c>
      <c r="W256" s="22">
        <v>2.0175963100995689E-5</v>
      </c>
    </row>
    <row r="257" spans="16:23" x14ac:dyDescent="0.25">
      <c r="P257" s="22" t="str">
        <f>IF('Data-Plot'!C257="","",$Q$11+('Data-Plot'!C257-'Data-Plot'!D257)*$P$9)</f>
        <v/>
      </c>
      <c r="Q257" s="22" t="str">
        <f>IF('Data-Plot'!C257="","",MAX('Data-Plot'!$C$11:$C$1010)*(1+$Q$9/100))</f>
        <v/>
      </c>
      <c r="R257" s="22" t="str">
        <f>IF('Data-Plot'!C257="","",('Data-Plot'!C257-'Data-Plot'!D257)*$P$9)</f>
        <v/>
      </c>
      <c r="S257" s="22">
        <v>3.3102526996477447E-6</v>
      </c>
      <c r="T257" s="22">
        <v>0</v>
      </c>
      <c r="U257" s="22">
        <v>0</v>
      </c>
      <c r="V257" s="22">
        <v>2.8981986902068259E-42</v>
      </c>
      <c r="W257" s="22">
        <v>3.3102526996477447E-6</v>
      </c>
    </row>
    <row r="258" spans="16:23" x14ac:dyDescent="0.25">
      <c r="P258" s="22" t="str">
        <f>IF('Data-Plot'!C258="","",$Q$11+('Data-Plot'!C258-'Data-Plot'!D258)*$P$9)</f>
        <v/>
      </c>
      <c r="Q258" s="22" t="str">
        <f>IF('Data-Plot'!C258="","",MAX('Data-Plot'!$C$11:$C$1010)*(1+$Q$9/100))</f>
        <v/>
      </c>
      <c r="R258" s="22" t="str">
        <f>IF('Data-Plot'!C258="","",('Data-Plot'!C258-'Data-Plot'!D258)*$P$9)</f>
        <v/>
      </c>
      <c r="S258" s="22">
        <v>4.7557034662669887E-7</v>
      </c>
      <c r="T258" s="22">
        <v>0</v>
      </c>
      <c r="U258" s="22">
        <v>0</v>
      </c>
      <c r="V258" s="22">
        <v>2.384715077435791E-45</v>
      </c>
      <c r="W258" s="22">
        <v>4.7557034662669887E-7</v>
      </c>
    </row>
    <row r="259" spans="16:23" x14ac:dyDescent="0.25">
      <c r="P259" s="22" t="str">
        <f>IF('Data-Plot'!C259="","",$Q$11+('Data-Plot'!C259-'Data-Plot'!D259)*$P$9)</f>
        <v/>
      </c>
      <c r="Q259" s="22" t="str">
        <f>IF('Data-Plot'!C259="","",MAX('Data-Plot'!$C$11:$C$1010)*(1+$Q$9/100))</f>
        <v/>
      </c>
      <c r="R259" s="22" t="str">
        <f>IF('Data-Plot'!C259="","",('Data-Plot'!C259-'Data-Plot'!D259)*$P$9)</f>
        <v/>
      </c>
      <c r="S259" s="22">
        <v>5.6883815902637721E-8</v>
      </c>
      <c r="T259" s="22">
        <v>0</v>
      </c>
      <c r="U259" s="22">
        <v>0</v>
      </c>
      <c r="V259" s="22">
        <v>1.1593623995847492E-48</v>
      </c>
      <c r="W259" s="22">
        <v>5.6883815902637721E-8</v>
      </c>
    </row>
    <row r="260" spans="16:23" x14ac:dyDescent="0.25">
      <c r="P260" s="22" t="str">
        <f>IF('Data-Plot'!C260="","",$Q$11+('Data-Plot'!C260-'Data-Plot'!D260)*$P$9)</f>
        <v/>
      </c>
      <c r="Q260" s="22" t="str">
        <f>IF('Data-Plot'!C260="","",MAX('Data-Plot'!$C$11:$C$1010)*(1+$Q$9/100))</f>
        <v/>
      </c>
      <c r="R260" s="22" t="str">
        <f>IF('Data-Plot'!C260="","",('Data-Plot'!C260-'Data-Plot'!D260)*$P$9)</f>
        <v/>
      </c>
      <c r="S260" s="22">
        <v>5.6991314632729566E-9</v>
      </c>
      <c r="T260" s="22">
        <v>0</v>
      </c>
      <c r="U260" s="22">
        <v>0</v>
      </c>
      <c r="V260" s="22">
        <v>3.4723857682799926E-52</v>
      </c>
      <c r="W260" s="22">
        <v>5.6991314632729566E-9</v>
      </c>
    </row>
    <row r="261" spans="16:23" x14ac:dyDescent="0.25">
      <c r="P261" s="22" t="str">
        <f>IF('Data-Plot'!C261="","",$Q$11+('Data-Plot'!C261-'Data-Plot'!D261)*$P$9)</f>
        <v/>
      </c>
      <c r="Q261" s="22" t="str">
        <f>IF('Data-Plot'!C261="","",MAX('Data-Plot'!$C$11:$C$1010)*(1+$Q$9/100))</f>
        <v/>
      </c>
      <c r="R261" s="22" t="str">
        <f>IF('Data-Plot'!C261="","",('Data-Plot'!C261-'Data-Plot'!D261)*$P$9)</f>
        <v/>
      </c>
      <c r="S261" s="22">
        <v>4.7186219757563675E-10</v>
      </c>
      <c r="T261" s="22">
        <v>0</v>
      </c>
      <c r="U261" s="22">
        <v>0</v>
      </c>
      <c r="V261" s="22">
        <v>6.2268269137149656E-56</v>
      </c>
      <c r="W261" s="22">
        <v>4.7186219757563675E-10</v>
      </c>
    </row>
    <row r="262" spans="16:23" x14ac:dyDescent="0.25">
      <c r="P262" s="22" t="str">
        <f>IF('Data-Plot'!C262="","",$Q$11+('Data-Plot'!C262-'Data-Plot'!D262)*$P$9)</f>
        <v/>
      </c>
      <c r="Q262" s="22" t="str">
        <f>IF('Data-Plot'!C262="","",MAX('Data-Plot'!$C$11:$C$1010)*(1+$Q$9/100))</f>
        <v/>
      </c>
      <c r="R262" s="22" t="str">
        <f>IF('Data-Plot'!C262="","",('Data-Plot'!C262-'Data-Plot'!D262)*$P$9)</f>
        <v/>
      </c>
      <c r="S262" s="22">
        <v>3.1821915663790463E-11</v>
      </c>
      <c r="T262" s="22">
        <v>0</v>
      </c>
      <c r="U262" s="22">
        <v>0</v>
      </c>
      <c r="V262" s="22">
        <v>6.48723773115236E-60</v>
      </c>
      <c r="W262" s="22">
        <v>3.1821915663790463E-11</v>
      </c>
    </row>
    <row r="263" spans="16:23" x14ac:dyDescent="0.25">
      <c r="P263" s="22" t="str">
        <f>IF('Data-Plot'!C263="","",$Q$11+('Data-Plot'!C263-'Data-Plot'!D263)*$P$9)</f>
        <v/>
      </c>
      <c r="Q263" s="22" t="str">
        <f>IF('Data-Plot'!C263="","",MAX('Data-Plot'!$C$11:$C$1010)*(1+$Q$9/100))</f>
        <v/>
      </c>
      <c r="R263" s="22" t="str">
        <f>IF('Data-Plot'!C263="","",('Data-Plot'!C263-'Data-Plot'!D263)*$P$9)</f>
        <v/>
      </c>
      <c r="S263" s="22">
        <v>1.7735582982345027E-12</v>
      </c>
      <c r="T263" s="22">
        <v>0</v>
      </c>
      <c r="U263" s="22">
        <v>0</v>
      </c>
      <c r="V263" s="22">
        <v>4.2013274455117906E-64</v>
      </c>
      <c r="W263" s="22">
        <v>1.7735582982345027E-12</v>
      </c>
    </row>
    <row r="264" spans="16:23" x14ac:dyDescent="0.25">
      <c r="P264" s="22" t="str">
        <f>IF('Data-Plot'!C264="","",$Q$11+('Data-Plot'!C264-'Data-Plot'!D264)*$P$9)</f>
        <v/>
      </c>
      <c r="Q264" s="22" t="str">
        <f>IF('Data-Plot'!C264="","",MAX('Data-Plot'!$C$11:$C$1010)*(1+$Q$9/100))</f>
        <v/>
      </c>
      <c r="R264" s="22" t="str">
        <f>IF('Data-Plot'!C264="","",('Data-Plot'!C264-'Data-Plot'!D264)*$P$9)</f>
        <v/>
      </c>
      <c r="S264" s="22">
        <v>7.5847665488497317E-14</v>
      </c>
      <c r="T264" s="22">
        <v>0</v>
      </c>
      <c r="U264" s="22">
        <v>0</v>
      </c>
      <c r="V264" s="22">
        <v>1.349138557532273E-68</v>
      </c>
      <c r="W264" s="22">
        <v>7.5847665488497317E-14</v>
      </c>
    </row>
    <row r="265" spans="16:23" x14ac:dyDescent="0.25">
      <c r="P265" s="22" t="str">
        <f>IF('Data-Plot'!C265="","",$Q$11+('Data-Plot'!C265-'Data-Plot'!D265)*$P$9)</f>
        <v/>
      </c>
      <c r="Q265" s="22" t="str">
        <f>IF('Data-Plot'!C265="","",MAX('Data-Plot'!$C$11:$C$1010)*(1+$Q$9/100))</f>
        <v/>
      </c>
      <c r="R265" s="22" t="str">
        <f>IF('Data-Plot'!C265="","",('Data-Plot'!C265-'Data-Plot'!D265)*$P$9)</f>
        <v/>
      </c>
      <c r="S265" s="22">
        <v>2.5138901356886155E-15</v>
      </c>
      <c r="T265" s="22">
        <v>0</v>
      </c>
      <c r="U265" s="22">
        <v>0</v>
      </c>
      <c r="V265" s="22">
        <v>2.2770758657732445E-73</v>
      </c>
      <c r="W265" s="22">
        <v>2.5138901356886155E-15</v>
      </c>
    </row>
    <row r="266" spans="16:23" x14ac:dyDescent="0.25">
      <c r="P266" s="22" t="str">
        <f>IF('Data-Plot'!C266="","",$Q$11+('Data-Plot'!C266-'Data-Plot'!D266)*$P$9)</f>
        <v/>
      </c>
      <c r="Q266" s="22" t="str">
        <f>IF('Data-Plot'!C266="","",MAX('Data-Plot'!$C$11:$C$1010)*(1+$Q$9/100))</f>
        <v/>
      </c>
      <c r="R266" s="22" t="str">
        <f>IF('Data-Plot'!C266="","",('Data-Plot'!C266-'Data-Plot'!D266)*$P$9)</f>
        <v/>
      </c>
      <c r="S266" s="22">
        <v>6.3355764920345504E-17</v>
      </c>
      <c r="T266" s="22">
        <v>0</v>
      </c>
      <c r="U266" s="22">
        <v>0</v>
      </c>
      <c r="V266" s="22">
        <v>1.9462653187199975E-78</v>
      </c>
      <c r="W266" s="22">
        <v>6.3355764920345504E-17</v>
      </c>
    </row>
    <row r="267" spans="16:23" x14ac:dyDescent="0.25">
      <c r="P267" s="22" t="str">
        <f>IF('Data-Plot'!C267="","",$Q$11+('Data-Plot'!C267-'Data-Plot'!D267)*$P$9)</f>
        <v/>
      </c>
      <c r="Q267" s="22" t="str">
        <f>IF('Data-Plot'!C267="","",MAX('Data-Plot'!$C$11:$C$1010)*(1+$Q$9/100))</f>
        <v/>
      </c>
      <c r="R267" s="22" t="str">
        <f>IF('Data-Plot'!C267="","",('Data-Plot'!C267-'Data-Plot'!D267)*$P$9)</f>
        <v/>
      </c>
    </row>
    <row r="268" spans="16:23" x14ac:dyDescent="0.25">
      <c r="P268" s="22" t="str">
        <f>IF('Data-Plot'!C268="","",$Q$11+('Data-Plot'!C268-'Data-Plot'!D268)*$P$9)</f>
        <v/>
      </c>
      <c r="Q268" s="22" t="str">
        <f>IF('Data-Plot'!C268="","",MAX('Data-Plot'!$C$11:$C$1010)*(1+$Q$9/100))</f>
        <v/>
      </c>
      <c r="R268" s="22" t="str">
        <f>IF('Data-Plot'!C268="","",('Data-Plot'!C268-'Data-Plot'!D268)*$P$9)</f>
        <v/>
      </c>
    </row>
    <row r="269" spans="16:23" x14ac:dyDescent="0.25">
      <c r="P269" s="22" t="str">
        <f>IF('Data-Plot'!C269="","",$Q$11+('Data-Plot'!C269-'Data-Plot'!D269)*$P$9)</f>
        <v/>
      </c>
      <c r="Q269" s="22" t="str">
        <f>IF('Data-Plot'!C269="","",MAX('Data-Plot'!$C$11:$C$1010)*(1+$Q$9/100))</f>
        <v/>
      </c>
      <c r="R269" s="22" t="str">
        <f>IF('Data-Plot'!C269="","",('Data-Plot'!C269-'Data-Plot'!D269)*$P$9)</f>
        <v/>
      </c>
    </row>
    <row r="270" spans="16:23" x14ac:dyDescent="0.25">
      <c r="P270" s="22" t="str">
        <f>IF('Data-Plot'!C270="","",$Q$11+('Data-Plot'!C270-'Data-Plot'!D270)*$P$9)</f>
        <v/>
      </c>
      <c r="Q270" s="22" t="str">
        <f>IF('Data-Plot'!C270="","",MAX('Data-Plot'!$C$11:$C$1010)*(1+$Q$9/100))</f>
        <v/>
      </c>
      <c r="R270" s="22" t="str">
        <f>IF('Data-Plot'!C270="","",('Data-Plot'!C270-'Data-Plot'!D270)*$P$9)</f>
        <v/>
      </c>
    </row>
    <row r="271" spans="16:23" x14ac:dyDescent="0.25">
      <c r="P271" s="22" t="str">
        <f>IF('Data-Plot'!C271="","",$Q$11+('Data-Plot'!C271-'Data-Plot'!D271)*$P$9)</f>
        <v/>
      </c>
      <c r="Q271" s="22" t="str">
        <f>IF('Data-Plot'!C271="","",MAX('Data-Plot'!$C$11:$C$1010)*(1+$Q$9/100))</f>
        <v/>
      </c>
      <c r="R271" s="22" t="str">
        <f>IF('Data-Plot'!C271="","",('Data-Plot'!C271-'Data-Plot'!D271)*$P$9)</f>
        <v/>
      </c>
    </row>
    <row r="272" spans="16:23" x14ac:dyDescent="0.25">
      <c r="P272" s="22" t="str">
        <f>IF('Data-Plot'!C272="","",$Q$11+('Data-Plot'!C272-'Data-Plot'!D272)*$P$9)</f>
        <v/>
      </c>
      <c r="Q272" s="22" t="str">
        <f>IF('Data-Plot'!C272="","",MAX('Data-Plot'!$C$11:$C$1010)*(1+$Q$9/100))</f>
        <v/>
      </c>
      <c r="R272" s="22" t="str">
        <f>IF('Data-Plot'!C272="","",('Data-Plot'!C272-'Data-Plot'!D272)*$P$9)</f>
        <v/>
      </c>
    </row>
    <row r="273" spans="1:18" x14ac:dyDescent="0.25">
      <c r="A273" s="22">
        <v>0</v>
      </c>
      <c r="P273" s="22" t="str">
        <f>IF('Data-Plot'!C273="","",$Q$11+('Data-Plot'!C273-'Data-Plot'!D273)*$P$9)</f>
        <v/>
      </c>
      <c r="Q273" s="22" t="str">
        <f>IF('Data-Plot'!C273="","",MAX('Data-Plot'!$C$11:$C$1010)*(1+$Q$9/100))</f>
        <v/>
      </c>
      <c r="R273" s="22" t="str">
        <f>IF('Data-Plot'!C273="","",('Data-Plot'!C273-'Data-Plot'!D273)*$P$9)</f>
        <v/>
      </c>
    </row>
    <row r="274" spans="1:18" x14ac:dyDescent="0.25">
      <c r="A274" s="22">
        <f>COUNTA(A275:A524)</f>
        <v>0</v>
      </c>
      <c r="P274" s="22" t="str">
        <f>IF('Data-Plot'!C274="","",$Q$11+('Data-Plot'!C274-'Data-Plot'!D274)*$P$9)</f>
        <v/>
      </c>
      <c r="Q274" s="22" t="str">
        <f>IF('Data-Plot'!C274="","",MAX('Data-Plot'!$C$11:$C$1010)*(1+$Q$9/100))</f>
        <v/>
      </c>
      <c r="R274" s="22" t="str">
        <f>IF('Data-Plot'!C274="","",('Data-Plot'!C274-'Data-Plot'!D274)*$P$9)</f>
        <v/>
      </c>
    </row>
    <row r="275" spans="1:18" x14ac:dyDescent="0.25">
      <c r="P275" s="22" t="str">
        <f>IF('Data-Plot'!C275="","",$Q$11+('Data-Plot'!C275-'Data-Plot'!D275)*$P$9)</f>
        <v/>
      </c>
      <c r="Q275" s="22" t="str">
        <f>IF('Data-Plot'!C275="","",MAX('Data-Plot'!$C$11:$C$1010)*(1+$Q$9/100))</f>
        <v/>
      </c>
      <c r="R275" s="22" t="str">
        <f>IF('Data-Plot'!C275="","",('Data-Plot'!C275-'Data-Plot'!D275)*$P$9)</f>
        <v/>
      </c>
    </row>
    <row r="276" spans="1:18" x14ac:dyDescent="0.25">
      <c r="P276" s="22" t="str">
        <f>IF('Data-Plot'!C276="","",$Q$11+('Data-Plot'!C276-'Data-Plot'!D276)*$P$9)</f>
        <v/>
      </c>
      <c r="Q276" s="22" t="str">
        <f>IF('Data-Plot'!C276="","",MAX('Data-Plot'!$C$11:$C$1010)*(1+$Q$9/100))</f>
        <v/>
      </c>
      <c r="R276" s="22" t="str">
        <f>IF('Data-Plot'!C276="","",('Data-Plot'!C276-'Data-Plot'!D276)*$P$9)</f>
        <v/>
      </c>
    </row>
    <row r="277" spans="1:18" x14ac:dyDescent="0.25">
      <c r="P277" s="22" t="str">
        <f>IF('Data-Plot'!C277="","",$Q$11+('Data-Plot'!C277-'Data-Plot'!D277)*$P$9)</f>
        <v/>
      </c>
      <c r="Q277" s="22" t="str">
        <f>IF('Data-Plot'!C277="","",MAX('Data-Plot'!$C$11:$C$1010)*(1+$Q$9/100))</f>
        <v/>
      </c>
      <c r="R277" s="22" t="str">
        <f>IF('Data-Plot'!C277="","",('Data-Plot'!C277-'Data-Plot'!D277)*$P$9)</f>
        <v/>
      </c>
    </row>
    <row r="278" spans="1:18" x14ac:dyDescent="0.25">
      <c r="P278" s="22" t="str">
        <f>IF('Data-Plot'!C278="","",$Q$11+('Data-Plot'!C278-'Data-Plot'!D278)*$P$9)</f>
        <v/>
      </c>
      <c r="Q278" s="22" t="str">
        <f>IF('Data-Plot'!C278="","",MAX('Data-Plot'!$C$11:$C$1010)*(1+$Q$9/100))</f>
        <v/>
      </c>
      <c r="R278" s="22" t="str">
        <f>IF('Data-Plot'!C278="","",('Data-Plot'!C278-'Data-Plot'!D278)*$P$9)</f>
        <v/>
      </c>
    </row>
    <row r="279" spans="1:18" x14ac:dyDescent="0.25">
      <c r="P279" s="22" t="str">
        <f>IF('Data-Plot'!C279="","",$Q$11+('Data-Plot'!C279-'Data-Plot'!D279)*$P$9)</f>
        <v/>
      </c>
      <c r="Q279" s="22" t="str">
        <f>IF('Data-Plot'!C279="","",MAX('Data-Plot'!$C$11:$C$1010)*(1+$Q$9/100))</f>
        <v/>
      </c>
      <c r="R279" s="22" t="str">
        <f>IF('Data-Plot'!C279="","",('Data-Plot'!C279-'Data-Plot'!D279)*$P$9)</f>
        <v/>
      </c>
    </row>
    <row r="280" spans="1:18" x14ac:dyDescent="0.25">
      <c r="P280" s="22" t="str">
        <f>IF('Data-Plot'!C280="","",$Q$11+('Data-Plot'!C280-'Data-Plot'!D280)*$P$9)</f>
        <v/>
      </c>
      <c r="Q280" s="22" t="str">
        <f>IF('Data-Plot'!C280="","",MAX('Data-Plot'!$C$11:$C$1010)*(1+$Q$9/100))</f>
        <v/>
      </c>
      <c r="R280" s="22" t="str">
        <f>IF('Data-Plot'!C280="","",('Data-Plot'!C280-'Data-Plot'!D280)*$P$9)</f>
        <v/>
      </c>
    </row>
    <row r="281" spans="1:18" x14ac:dyDescent="0.25">
      <c r="P281" s="22" t="str">
        <f>IF('Data-Plot'!C281="","",$Q$11+('Data-Plot'!C281-'Data-Plot'!D281)*$P$9)</f>
        <v/>
      </c>
      <c r="Q281" s="22" t="str">
        <f>IF('Data-Plot'!C281="","",MAX('Data-Plot'!$C$11:$C$1010)*(1+$Q$9/100))</f>
        <v/>
      </c>
      <c r="R281" s="22" t="str">
        <f>IF('Data-Plot'!C281="","",('Data-Plot'!C281-'Data-Plot'!D281)*$P$9)</f>
        <v/>
      </c>
    </row>
    <row r="282" spans="1:18" x14ac:dyDescent="0.25">
      <c r="P282" s="22" t="str">
        <f>IF('Data-Plot'!C282="","",$Q$11+('Data-Plot'!C282-'Data-Plot'!D282)*$P$9)</f>
        <v/>
      </c>
      <c r="Q282" s="22" t="str">
        <f>IF('Data-Plot'!C282="","",MAX('Data-Plot'!$C$11:$C$1010)*(1+$Q$9/100))</f>
        <v/>
      </c>
      <c r="R282" s="22" t="str">
        <f>IF('Data-Plot'!C282="","",('Data-Plot'!C282-'Data-Plot'!D282)*$P$9)</f>
        <v/>
      </c>
    </row>
    <row r="283" spans="1:18" x14ac:dyDescent="0.25">
      <c r="P283" s="22" t="str">
        <f>IF('Data-Plot'!C283="","",$Q$11+('Data-Plot'!C283-'Data-Plot'!D283)*$P$9)</f>
        <v/>
      </c>
      <c r="Q283" s="22" t="str">
        <f>IF('Data-Plot'!C283="","",MAX('Data-Plot'!$C$11:$C$1010)*(1+$Q$9/100))</f>
        <v/>
      </c>
      <c r="R283" s="22" t="str">
        <f>IF('Data-Plot'!C283="","",('Data-Plot'!C283-'Data-Plot'!D283)*$P$9)</f>
        <v/>
      </c>
    </row>
    <row r="284" spans="1:18" x14ac:dyDescent="0.25">
      <c r="P284" s="22" t="str">
        <f>IF('Data-Plot'!C284="","",$Q$11+('Data-Plot'!C284-'Data-Plot'!D284)*$P$9)</f>
        <v/>
      </c>
      <c r="Q284" s="22" t="str">
        <f>IF('Data-Plot'!C284="","",MAX('Data-Plot'!$C$11:$C$1010)*(1+$Q$9/100))</f>
        <v/>
      </c>
      <c r="R284" s="22" t="str">
        <f>IF('Data-Plot'!C284="","",('Data-Plot'!C284-'Data-Plot'!D284)*$P$9)</f>
        <v/>
      </c>
    </row>
    <row r="285" spans="1:18" x14ac:dyDescent="0.25">
      <c r="P285" s="22" t="str">
        <f>IF('Data-Plot'!C285="","",$Q$11+('Data-Plot'!C285-'Data-Plot'!D285)*$P$9)</f>
        <v/>
      </c>
      <c r="Q285" s="22" t="str">
        <f>IF('Data-Plot'!C285="","",MAX('Data-Plot'!$C$11:$C$1010)*(1+$Q$9/100))</f>
        <v/>
      </c>
      <c r="R285" s="22" t="str">
        <f>IF('Data-Plot'!C285="","",('Data-Plot'!C285-'Data-Plot'!D285)*$P$9)</f>
        <v/>
      </c>
    </row>
    <row r="286" spans="1:18" x14ac:dyDescent="0.25">
      <c r="P286" s="22" t="str">
        <f>IF('Data-Plot'!C286="","",$Q$11+('Data-Plot'!C286-'Data-Plot'!D286)*$P$9)</f>
        <v/>
      </c>
      <c r="Q286" s="22" t="str">
        <f>IF('Data-Plot'!C286="","",MAX('Data-Plot'!$C$11:$C$1010)*(1+$Q$9/100))</f>
        <v/>
      </c>
      <c r="R286" s="22" t="str">
        <f>IF('Data-Plot'!C286="","",('Data-Plot'!C286-'Data-Plot'!D286)*$P$9)</f>
        <v/>
      </c>
    </row>
    <row r="287" spans="1:18" x14ac:dyDescent="0.25">
      <c r="P287" s="22" t="str">
        <f>IF('Data-Plot'!C287="","",$Q$11+('Data-Plot'!C287-'Data-Plot'!D287)*$P$9)</f>
        <v/>
      </c>
      <c r="Q287" s="22" t="str">
        <f>IF('Data-Plot'!C287="","",MAX('Data-Plot'!$C$11:$C$1010)*(1+$Q$9/100))</f>
        <v/>
      </c>
      <c r="R287" s="22" t="str">
        <f>IF('Data-Plot'!C287="","",('Data-Plot'!C287-'Data-Plot'!D287)*$P$9)</f>
        <v/>
      </c>
    </row>
    <row r="288" spans="1:18" x14ac:dyDescent="0.25">
      <c r="P288" s="22" t="str">
        <f>IF('Data-Plot'!C288="","",$Q$11+('Data-Plot'!C288-'Data-Plot'!D288)*$P$9)</f>
        <v/>
      </c>
      <c r="Q288" s="22" t="str">
        <f>IF('Data-Plot'!C288="","",MAX('Data-Plot'!$C$11:$C$1010)*(1+$Q$9/100))</f>
        <v/>
      </c>
      <c r="R288" s="22" t="str">
        <f>IF('Data-Plot'!C288="","",('Data-Plot'!C288-'Data-Plot'!D288)*$P$9)</f>
        <v/>
      </c>
    </row>
    <row r="289" spans="16:18" x14ac:dyDescent="0.25">
      <c r="P289" s="22" t="str">
        <f>IF('Data-Plot'!C289="","",$Q$11+('Data-Plot'!C289-'Data-Plot'!D289)*$P$9)</f>
        <v/>
      </c>
      <c r="Q289" s="22" t="str">
        <f>IF('Data-Plot'!C289="","",MAX('Data-Plot'!$C$11:$C$1010)*(1+$Q$9/100))</f>
        <v/>
      </c>
      <c r="R289" s="22" t="str">
        <f>IF('Data-Plot'!C289="","",('Data-Plot'!C289-'Data-Plot'!D289)*$P$9)</f>
        <v/>
      </c>
    </row>
    <row r="290" spans="16:18" x14ac:dyDescent="0.25">
      <c r="P290" s="22" t="str">
        <f>IF('Data-Plot'!C290="","",$Q$11+('Data-Plot'!C290-'Data-Plot'!D290)*$P$9)</f>
        <v/>
      </c>
      <c r="Q290" s="22" t="str">
        <f>IF('Data-Plot'!C290="","",MAX('Data-Plot'!$C$11:$C$1010)*(1+$Q$9/100))</f>
        <v/>
      </c>
      <c r="R290" s="22" t="str">
        <f>IF('Data-Plot'!C290="","",('Data-Plot'!C290-'Data-Plot'!D290)*$P$9)</f>
        <v/>
      </c>
    </row>
    <row r="291" spans="16:18" x14ac:dyDescent="0.25">
      <c r="P291" s="22" t="str">
        <f>IF('Data-Plot'!C291="","",$Q$11+('Data-Plot'!C291-'Data-Plot'!D291)*$P$9)</f>
        <v/>
      </c>
      <c r="Q291" s="22" t="str">
        <f>IF('Data-Plot'!C291="","",MAX('Data-Plot'!$C$11:$C$1010)*(1+$Q$9/100))</f>
        <v/>
      </c>
      <c r="R291" s="22" t="str">
        <f>IF('Data-Plot'!C291="","",('Data-Plot'!C291-'Data-Plot'!D291)*$P$9)</f>
        <v/>
      </c>
    </row>
    <row r="292" spans="16:18" x14ac:dyDescent="0.25">
      <c r="P292" s="22" t="str">
        <f>IF('Data-Plot'!C292="","",$Q$11+('Data-Plot'!C292-'Data-Plot'!D292)*$P$9)</f>
        <v/>
      </c>
      <c r="Q292" s="22" t="str">
        <f>IF('Data-Plot'!C292="","",MAX('Data-Plot'!$C$11:$C$1010)*(1+$Q$9/100))</f>
        <v/>
      </c>
      <c r="R292" s="22" t="str">
        <f>IF('Data-Plot'!C292="","",('Data-Plot'!C292-'Data-Plot'!D292)*$P$9)</f>
        <v/>
      </c>
    </row>
    <row r="293" spans="16:18" x14ac:dyDescent="0.25">
      <c r="P293" s="22" t="str">
        <f>IF('Data-Plot'!C293="","",$Q$11+('Data-Plot'!C293-'Data-Plot'!D293)*$P$9)</f>
        <v/>
      </c>
      <c r="Q293" s="22" t="str">
        <f>IF('Data-Plot'!C293="","",MAX('Data-Plot'!$C$11:$C$1010)*(1+$Q$9/100))</f>
        <v/>
      </c>
      <c r="R293" s="22" t="str">
        <f>IF('Data-Plot'!C293="","",('Data-Plot'!C293-'Data-Plot'!D293)*$P$9)</f>
        <v/>
      </c>
    </row>
    <row r="294" spans="16:18" x14ac:dyDescent="0.25">
      <c r="P294" s="22" t="str">
        <f>IF('Data-Plot'!C294="","",$Q$11+('Data-Plot'!C294-'Data-Plot'!D294)*$P$9)</f>
        <v/>
      </c>
      <c r="Q294" s="22" t="str">
        <f>IF('Data-Plot'!C294="","",MAX('Data-Plot'!$C$11:$C$1010)*(1+$Q$9/100))</f>
        <v/>
      </c>
      <c r="R294" s="22" t="str">
        <f>IF('Data-Plot'!C294="","",('Data-Plot'!C294-'Data-Plot'!D294)*$P$9)</f>
        <v/>
      </c>
    </row>
    <row r="295" spans="16:18" x14ac:dyDescent="0.25">
      <c r="P295" s="22" t="str">
        <f>IF('Data-Plot'!C295="","",$Q$11+('Data-Plot'!C295-'Data-Plot'!D295)*$P$9)</f>
        <v/>
      </c>
      <c r="Q295" s="22" t="str">
        <f>IF('Data-Plot'!C295="","",MAX('Data-Plot'!$C$11:$C$1010)*(1+$Q$9/100))</f>
        <v/>
      </c>
      <c r="R295" s="22" t="str">
        <f>IF('Data-Plot'!C295="","",('Data-Plot'!C295-'Data-Plot'!D295)*$P$9)</f>
        <v/>
      </c>
    </row>
    <row r="296" spans="16:18" x14ac:dyDescent="0.25">
      <c r="P296" s="22" t="str">
        <f>IF('Data-Plot'!C296="","",$Q$11+('Data-Plot'!C296-'Data-Plot'!D296)*$P$9)</f>
        <v/>
      </c>
      <c r="Q296" s="22" t="str">
        <f>IF('Data-Plot'!C296="","",MAX('Data-Plot'!$C$11:$C$1010)*(1+$Q$9/100))</f>
        <v/>
      </c>
      <c r="R296" s="22" t="str">
        <f>IF('Data-Plot'!C296="","",('Data-Plot'!C296-'Data-Plot'!D296)*$P$9)</f>
        <v/>
      </c>
    </row>
    <row r="297" spans="16:18" x14ac:dyDescent="0.25">
      <c r="P297" s="22" t="str">
        <f>IF('Data-Plot'!C297="","",$Q$11+('Data-Plot'!C297-'Data-Plot'!D297)*$P$9)</f>
        <v/>
      </c>
      <c r="Q297" s="22" t="str">
        <f>IF('Data-Plot'!C297="","",MAX('Data-Plot'!$C$11:$C$1010)*(1+$Q$9/100))</f>
        <v/>
      </c>
      <c r="R297" s="22" t="str">
        <f>IF('Data-Plot'!C297="","",('Data-Plot'!C297-'Data-Plot'!D297)*$P$9)</f>
        <v/>
      </c>
    </row>
    <row r="298" spans="16:18" x14ac:dyDescent="0.25">
      <c r="P298" s="22" t="str">
        <f>IF('Data-Plot'!C298="","",$Q$11+('Data-Plot'!C298-'Data-Plot'!D298)*$P$9)</f>
        <v/>
      </c>
      <c r="Q298" s="22" t="str">
        <f>IF('Data-Plot'!C298="","",MAX('Data-Plot'!$C$11:$C$1010)*(1+$Q$9/100))</f>
        <v/>
      </c>
      <c r="R298" s="22" t="str">
        <f>IF('Data-Plot'!C298="","",('Data-Plot'!C298-'Data-Plot'!D298)*$P$9)</f>
        <v/>
      </c>
    </row>
    <row r="299" spans="16:18" x14ac:dyDescent="0.25">
      <c r="P299" s="22" t="str">
        <f>IF('Data-Plot'!C299="","",$Q$11+('Data-Plot'!C299-'Data-Plot'!D299)*$P$9)</f>
        <v/>
      </c>
      <c r="Q299" s="22" t="str">
        <f>IF('Data-Plot'!C299="","",MAX('Data-Plot'!$C$11:$C$1010)*(1+$Q$9/100))</f>
        <v/>
      </c>
      <c r="R299" s="22" t="str">
        <f>IF('Data-Plot'!C299="","",('Data-Plot'!C299-'Data-Plot'!D299)*$P$9)</f>
        <v/>
      </c>
    </row>
    <row r="300" spans="16:18" x14ac:dyDescent="0.25">
      <c r="P300" s="22" t="str">
        <f>IF('Data-Plot'!C300="","",$Q$11+('Data-Plot'!C300-'Data-Plot'!D300)*$P$9)</f>
        <v/>
      </c>
      <c r="Q300" s="22" t="str">
        <f>IF('Data-Plot'!C300="","",MAX('Data-Plot'!$C$11:$C$1010)*(1+$Q$9/100))</f>
        <v/>
      </c>
      <c r="R300" s="22" t="str">
        <f>IF('Data-Plot'!C300="","",('Data-Plot'!C300-'Data-Plot'!D300)*$P$9)</f>
        <v/>
      </c>
    </row>
    <row r="301" spans="16:18" x14ac:dyDescent="0.25">
      <c r="P301" s="22" t="str">
        <f>IF('Data-Plot'!C301="","",$Q$11+('Data-Plot'!C301-'Data-Plot'!D301)*$P$9)</f>
        <v/>
      </c>
      <c r="Q301" s="22" t="str">
        <f>IF('Data-Plot'!C301="","",MAX('Data-Plot'!$C$11:$C$1010)*(1+$Q$9/100))</f>
        <v/>
      </c>
      <c r="R301" s="22" t="str">
        <f>IF('Data-Plot'!C301="","",('Data-Plot'!C301-'Data-Plot'!D301)*$P$9)</f>
        <v/>
      </c>
    </row>
    <row r="302" spans="16:18" x14ac:dyDescent="0.25">
      <c r="P302" s="22" t="str">
        <f>IF('Data-Plot'!C302="","",$Q$11+('Data-Plot'!C302-'Data-Plot'!D302)*$P$9)</f>
        <v/>
      </c>
      <c r="Q302" s="22" t="str">
        <f>IF('Data-Plot'!C302="","",MAX('Data-Plot'!$C$11:$C$1010)*(1+$Q$9/100))</f>
        <v/>
      </c>
      <c r="R302" s="22" t="str">
        <f>IF('Data-Plot'!C302="","",('Data-Plot'!C302-'Data-Plot'!D302)*$P$9)</f>
        <v/>
      </c>
    </row>
    <row r="303" spans="16:18" x14ac:dyDescent="0.25">
      <c r="P303" s="22" t="str">
        <f>IF('Data-Plot'!C303="","",$Q$11+('Data-Plot'!C303-'Data-Plot'!D303)*$P$9)</f>
        <v/>
      </c>
      <c r="Q303" s="22" t="str">
        <f>IF('Data-Plot'!C303="","",MAX('Data-Plot'!$C$11:$C$1010)*(1+$Q$9/100))</f>
        <v/>
      </c>
      <c r="R303" s="22" t="str">
        <f>IF('Data-Plot'!C303="","",('Data-Plot'!C303-'Data-Plot'!D303)*$P$9)</f>
        <v/>
      </c>
    </row>
    <row r="304" spans="16:18" x14ac:dyDescent="0.25">
      <c r="P304" s="22" t="str">
        <f>IF('Data-Plot'!C304="","",$Q$11+('Data-Plot'!C304-'Data-Plot'!D304)*$P$9)</f>
        <v/>
      </c>
      <c r="Q304" s="22" t="str">
        <f>IF('Data-Plot'!C304="","",MAX('Data-Plot'!$C$11:$C$1010)*(1+$Q$9/100))</f>
        <v/>
      </c>
      <c r="R304" s="22" t="str">
        <f>IF('Data-Plot'!C304="","",('Data-Plot'!C304-'Data-Plot'!D304)*$P$9)</f>
        <v/>
      </c>
    </row>
    <row r="305" spans="16:18" x14ac:dyDescent="0.25">
      <c r="P305" s="22" t="str">
        <f>IF('Data-Plot'!C305="","",$Q$11+('Data-Plot'!C305-'Data-Plot'!D305)*$P$9)</f>
        <v/>
      </c>
      <c r="Q305" s="22" t="str">
        <f>IF('Data-Plot'!C305="","",MAX('Data-Plot'!$C$11:$C$1010)*(1+$Q$9/100))</f>
        <v/>
      </c>
      <c r="R305" s="22" t="str">
        <f>IF('Data-Plot'!C305="","",('Data-Plot'!C305-'Data-Plot'!D305)*$P$9)</f>
        <v/>
      </c>
    </row>
    <row r="306" spans="16:18" x14ac:dyDescent="0.25">
      <c r="P306" s="22" t="str">
        <f>IF('Data-Plot'!C306="","",$Q$11+('Data-Plot'!C306-'Data-Plot'!D306)*$P$9)</f>
        <v/>
      </c>
      <c r="Q306" s="22" t="str">
        <f>IF('Data-Plot'!C306="","",MAX('Data-Plot'!$C$11:$C$1010)*(1+$Q$9/100))</f>
        <v/>
      </c>
      <c r="R306" s="22" t="str">
        <f>IF('Data-Plot'!C306="","",('Data-Plot'!C306-'Data-Plot'!D306)*$P$9)</f>
        <v/>
      </c>
    </row>
    <row r="307" spans="16:18" x14ac:dyDescent="0.25">
      <c r="P307" s="22" t="str">
        <f>IF('Data-Plot'!C307="","",$Q$11+('Data-Plot'!C307-'Data-Plot'!D307)*$P$9)</f>
        <v/>
      </c>
      <c r="Q307" s="22" t="str">
        <f>IF('Data-Plot'!C307="","",MAX('Data-Plot'!$C$11:$C$1010)*(1+$Q$9/100))</f>
        <v/>
      </c>
      <c r="R307" s="22" t="str">
        <f>IF('Data-Plot'!C307="","",('Data-Plot'!C307-'Data-Plot'!D307)*$P$9)</f>
        <v/>
      </c>
    </row>
    <row r="308" spans="16:18" x14ac:dyDescent="0.25">
      <c r="P308" s="22" t="str">
        <f>IF('Data-Plot'!C308="","",$Q$11+('Data-Plot'!C308-'Data-Plot'!D308)*$P$9)</f>
        <v/>
      </c>
      <c r="Q308" s="22" t="str">
        <f>IF('Data-Plot'!C308="","",MAX('Data-Plot'!$C$11:$C$1010)*(1+$Q$9/100))</f>
        <v/>
      </c>
      <c r="R308" s="22" t="str">
        <f>IF('Data-Plot'!C308="","",('Data-Plot'!C308-'Data-Plot'!D308)*$P$9)</f>
        <v/>
      </c>
    </row>
    <row r="309" spans="16:18" x14ac:dyDescent="0.25">
      <c r="P309" s="22" t="str">
        <f>IF('Data-Plot'!C309="","",$Q$11+('Data-Plot'!C309-'Data-Plot'!D309)*$P$9)</f>
        <v/>
      </c>
      <c r="Q309" s="22" t="str">
        <f>IF('Data-Plot'!C309="","",MAX('Data-Plot'!$C$11:$C$1010)*(1+$Q$9/100))</f>
        <v/>
      </c>
      <c r="R309" s="22" t="str">
        <f>IF('Data-Plot'!C309="","",('Data-Plot'!C309-'Data-Plot'!D309)*$P$9)</f>
        <v/>
      </c>
    </row>
    <row r="310" spans="16:18" x14ac:dyDescent="0.25">
      <c r="P310" s="22" t="str">
        <f>IF('Data-Plot'!C310="","",$Q$11+('Data-Plot'!C310-'Data-Plot'!D310)*$P$9)</f>
        <v/>
      </c>
      <c r="Q310" s="22" t="str">
        <f>IF('Data-Plot'!C310="","",MAX('Data-Plot'!$C$11:$C$1010)*(1+$Q$9/100))</f>
        <v/>
      </c>
      <c r="R310" s="22" t="str">
        <f>IF('Data-Plot'!C310="","",('Data-Plot'!C310-'Data-Plot'!D310)*$P$9)</f>
        <v/>
      </c>
    </row>
    <row r="311" spans="16:18" x14ac:dyDescent="0.25">
      <c r="P311" s="22" t="str">
        <f>IF('Data-Plot'!C311="","",$Q$11+('Data-Plot'!C311-'Data-Plot'!D311)*$P$9)</f>
        <v/>
      </c>
      <c r="Q311" s="22" t="str">
        <f>IF('Data-Plot'!C311="","",MAX('Data-Plot'!$C$11:$C$1010)*(1+$Q$9/100))</f>
        <v/>
      </c>
      <c r="R311" s="22" t="str">
        <f>IF('Data-Plot'!C311="","",('Data-Plot'!C311-'Data-Plot'!D311)*$P$9)</f>
        <v/>
      </c>
    </row>
    <row r="312" spans="16:18" x14ac:dyDescent="0.25">
      <c r="P312" s="22" t="str">
        <f>IF('Data-Plot'!C312="","",$Q$11+('Data-Plot'!C312-'Data-Plot'!D312)*$P$9)</f>
        <v/>
      </c>
      <c r="Q312" s="22" t="str">
        <f>IF('Data-Plot'!C312="","",MAX('Data-Plot'!$C$11:$C$1010)*(1+$Q$9/100))</f>
        <v/>
      </c>
      <c r="R312" s="22" t="str">
        <f>IF('Data-Plot'!C312="","",('Data-Plot'!C312-'Data-Plot'!D312)*$P$9)</f>
        <v/>
      </c>
    </row>
    <row r="313" spans="16:18" x14ac:dyDescent="0.25">
      <c r="P313" s="22" t="str">
        <f>IF('Data-Plot'!C313="","",$Q$11+('Data-Plot'!C313-'Data-Plot'!D313)*$P$9)</f>
        <v/>
      </c>
      <c r="Q313" s="22" t="str">
        <f>IF('Data-Plot'!C313="","",MAX('Data-Plot'!$C$11:$C$1010)*(1+$Q$9/100))</f>
        <v/>
      </c>
      <c r="R313" s="22" t="str">
        <f>IF('Data-Plot'!C313="","",('Data-Plot'!C313-'Data-Plot'!D313)*$P$9)</f>
        <v/>
      </c>
    </row>
    <row r="314" spans="16:18" x14ac:dyDescent="0.25">
      <c r="P314" s="22" t="str">
        <f>IF('Data-Plot'!C314="","",$Q$11+('Data-Plot'!C314-'Data-Plot'!D314)*$P$9)</f>
        <v/>
      </c>
      <c r="Q314" s="22" t="str">
        <f>IF('Data-Plot'!C314="","",MAX('Data-Plot'!$C$11:$C$1010)*(1+$Q$9/100))</f>
        <v/>
      </c>
      <c r="R314" s="22" t="str">
        <f>IF('Data-Plot'!C314="","",('Data-Plot'!C314-'Data-Plot'!D314)*$P$9)</f>
        <v/>
      </c>
    </row>
    <row r="315" spans="16:18" x14ac:dyDescent="0.25">
      <c r="P315" s="22" t="str">
        <f>IF('Data-Plot'!C315="","",$Q$11+('Data-Plot'!C315-'Data-Plot'!D315)*$P$9)</f>
        <v/>
      </c>
      <c r="Q315" s="22" t="str">
        <f>IF('Data-Plot'!C315="","",MAX('Data-Plot'!$C$11:$C$1010)*(1+$Q$9/100))</f>
        <v/>
      </c>
      <c r="R315" s="22" t="str">
        <f>IF('Data-Plot'!C315="","",('Data-Plot'!C315-'Data-Plot'!D315)*$P$9)</f>
        <v/>
      </c>
    </row>
    <row r="316" spans="16:18" x14ac:dyDescent="0.25">
      <c r="P316" s="22" t="str">
        <f>IF('Data-Plot'!C316="","",$Q$11+('Data-Plot'!C316-'Data-Plot'!D316)*$P$9)</f>
        <v/>
      </c>
      <c r="Q316" s="22" t="str">
        <f>IF('Data-Plot'!C316="","",MAX('Data-Plot'!$C$11:$C$1010)*(1+$Q$9/100))</f>
        <v/>
      </c>
      <c r="R316" s="22" t="str">
        <f>IF('Data-Plot'!C316="","",('Data-Plot'!C316-'Data-Plot'!D316)*$P$9)</f>
        <v/>
      </c>
    </row>
    <row r="317" spans="16:18" x14ac:dyDescent="0.25">
      <c r="P317" s="22" t="str">
        <f>IF('Data-Plot'!C317="","",$Q$11+('Data-Plot'!C317-'Data-Plot'!D317)*$P$9)</f>
        <v/>
      </c>
      <c r="Q317" s="22" t="str">
        <f>IF('Data-Plot'!C317="","",MAX('Data-Plot'!$C$11:$C$1010)*(1+$Q$9/100))</f>
        <v/>
      </c>
      <c r="R317" s="22" t="str">
        <f>IF('Data-Plot'!C317="","",('Data-Plot'!C317-'Data-Plot'!D317)*$P$9)</f>
        <v/>
      </c>
    </row>
    <row r="318" spans="16:18" x14ac:dyDescent="0.25">
      <c r="P318" s="22" t="str">
        <f>IF('Data-Plot'!C318="","",$Q$11+('Data-Plot'!C318-'Data-Plot'!D318)*$P$9)</f>
        <v/>
      </c>
      <c r="Q318" s="22" t="str">
        <f>IF('Data-Plot'!C318="","",MAX('Data-Plot'!$C$11:$C$1010)*(1+$Q$9/100))</f>
        <v/>
      </c>
      <c r="R318" s="22" t="str">
        <f>IF('Data-Plot'!C318="","",('Data-Plot'!C318-'Data-Plot'!D318)*$P$9)</f>
        <v/>
      </c>
    </row>
    <row r="319" spans="16:18" x14ac:dyDescent="0.25">
      <c r="P319" s="22" t="str">
        <f>IF('Data-Plot'!C319="","",$Q$11+('Data-Plot'!C319-'Data-Plot'!D319)*$P$9)</f>
        <v/>
      </c>
      <c r="Q319" s="22" t="str">
        <f>IF('Data-Plot'!C319="","",MAX('Data-Plot'!$C$11:$C$1010)*(1+$Q$9/100))</f>
        <v/>
      </c>
      <c r="R319" s="22" t="str">
        <f>IF('Data-Plot'!C319="","",('Data-Plot'!C319-'Data-Plot'!D319)*$P$9)</f>
        <v/>
      </c>
    </row>
    <row r="320" spans="16:18" x14ac:dyDescent="0.25">
      <c r="P320" s="22" t="str">
        <f>IF('Data-Plot'!C320="","",$Q$11+('Data-Plot'!C320-'Data-Plot'!D320)*$P$9)</f>
        <v/>
      </c>
      <c r="Q320" s="22" t="str">
        <f>IF('Data-Plot'!C320="","",MAX('Data-Plot'!$C$11:$C$1010)*(1+$Q$9/100))</f>
        <v/>
      </c>
      <c r="R320" s="22" t="str">
        <f>IF('Data-Plot'!C320="","",('Data-Plot'!C320-'Data-Plot'!D320)*$P$9)</f>
        <v/>
      </c>
    </row>
    <row r="321" spans="16:18" x14ac:dyDescent="0.25">
      <c r="P321" s="22" t="str">
        <f>IF('Data-Plot'!C321="","",$Q$11+('Data-Plot'!C321-'Data-Plot'!D321)*$P$9)</f>
        <v/>
      </c>
      <c r="Q321" s="22" t="str">
        <f>IF('Data-Plot'!C321="","",MAX('Data-Plot'!$C$11:$C$1010)*(1+$Q$9/100))</f>
        <v/>
      </c>
      <c r="R321" s="22" t="str">
        <f>IF('Data-Plot'!C321="","",('Data-Plot'!C321-'Data-Plot'!D321)*$P$9)</f>
        <v/>
      </c>
    </row>
    <row r="322" spans="16:18" x14ac:dyDescent="0.25">
      <c r="P322" s="22" t="str">
        <f>IF('Data-Plot'!C322="","",$Q$11+('Data-Plot'!C322-'Data-Plot'!D322)*$P$9)</f>
        <v/>
      </c>
      <c r="Q322" s="22" t="str">
        <f>IF('Data-Plot'!C322="","",MAX('Data-Plot'!$C$11:$C$1010)*(1+$Q$9/100))</f>
        <v/>
      </c>
      <c r="R322" s="22" t="str">
        <f>IF('Data-Plot'!C322="","",('Data-Plot'!C322-'Data-Plot'!D322)*$P$9)</f>
        <v/>
      </c>
    </row>
    <row r="323" spans="16:18" x14ac:dyDescent="0.25">
      <c r="P323" s="22" t="str">
        <f>IF('Data-Plot'!C323="","",$Q$11+('Data-Plot'!C323-'Data-Plot'!D323)*$P$9)</f>
        <v/>
      </c>
      <c r="Q323" s="22" t="str">
        <f>IF('Data-Plot'!C323="","",MAX('Data-Plot'!$C$11:$C$1010)*(1+$Q$9/100))</f>
        <v/>
      </c>
      <c r="R323" s="22" t="str">
        <f>IF('Data-Plot'!C323="","",('Data-Plot'!C323-'Data-Plot'!D323)*$P$9)</f>
        <v/>
      </c>
    </row>
    <row r="324" spans="16:18" x14ac:dyDescent="0.25">
      <c r="P324" s="22" t="str">
        <f>IF('Data-Plot'!C324="","",$Q$11+('Data-Plot'!C324-'Data-Plot'!D324)*$P$9)</f>
        <v/>
      </c>
      <c r="Q324" s="22" t="str">
        <f>IF('Data-Plot'!C324="","",MAX('Data-Plot'!$C$11:$C$1010)*(1+$Q$9/100))</f>
        <v/>
      </c>
      <c r="R324" s="22" t="str">
        <f>IF('Data-Plot'!C324="","",('Data-Plot'!C324-'Data-Plot'!D324)*$P$9)</f>
        <v/>
      </c>
    </row>
    <row r="325" spans="16:18" x14ac:dyDescent="0.25">
      <c r="P325" s="22" t="str">
        <f>IF('Data-Plot'!C325="","",$Q$11+('Data-Plot'!C325-'Data-Plot'!D325)*$P$9)</f>
        <v/>
      </c>
      <c r="Q325" s="22" t="str">
        <f>IF('Data-Plot'!C325="","",MAX('Data-Plot'!$C$11:$C$1010)*(1+$Q$9/100))</f>
        <v/>
      </c>
      <c r="R325" s="22" t="str">
        <f>IF('Data-Plot'!C325="","",('Data-Plot'!C325-'Data-Plot'!D325)*$P$9)</f>
        <v/>
      </c>
    </row>
    <row r="326" spans="16:18" x14ac:dyDescent="0.25">
      <c r="P326" s="22" t="str">
        <f>IF('Data-Plot'!C326="","",$Q$11+('Data-Plot'!C326-'Data-Plot'!D326)*$P$9)</f>
        <v/>
      </c>
      <c r="Q326" s="22" t="str">
        <f>IF('Data-Plot'!C326="","",MAX('Data-Plot'!$C$11:$C$1010)*(1+$Q$9/100))</f>
        <v/>
      </c>
      <c r="R326" s="22" t="str">
        <f>IF('Data-Plot'!C326="","",('Data-Plot'!C326-'Data-Plot'!D326)*$P$9)</f>
        <v/>
      </c>
    </row>
    <row r="327" spans="16:18" x14ac:dyDescent="0.25">
      <c r="P327" s="22" t="str">
        <f>IF('Data-Plot'!C327="","",$Q$11+('Data-Plot'!C327-'Data-Plot'!D327)*$P$9)</f>
        <v/>
      </c>
      <c r="Q327" s="22" t="str">
        <f>IF('Data-Plot'!C327="","",MAX('Data-Plot'!$C$11:$C$1010)*(1+$Q$9/100))</f>
        <v/>
      </c>
      <c r="R327" s="22" t="str">
        <f>IF('Data-Plot'!C327="","",('Data-Plot'!C327-'Data-Plot'!D327)*$P$9)</f>
        <v/>
      </c>
    </row>
    <row r="328" spans="16:18" x14ac:dyDescent="0.25">
      <c r="P328" s="22" t="str">
        <f>IF('Data-Plot'!C328="","",$Q$11+('Data-Plot'!C328-'Data-Plot'!D328)*$P$9)</f>
        <v/>
      </c>
      <c r="Q328" s="22" t="str">
        <f>IF('Data-Plot'!C328="","",MAX('Data-Plot'!$C$11:$C$1010)*(1+$Q$9/100))</f>
        <v/>
      </c>
      <c r="R328" s="22" t="str">
        <f>IF('Data-Plot'!C328="","",('Data-Plot'!C328-'Data-Plot'!D328)*$P$9)</f>
        <v/>
      </c>
    </row>
    <row r="329" spans="16:18" x14ac:dyDescent="0.25">
      <c r="P329" s="22" t="str">
        <f>IF('Data-Plot'!C329="","",$Q$11+('Data-Plot'!C329-'Data-Plot'!D329)*$P$9)</f>
        <v/>
      </c>
      <c r="Q329" s="22" t="str">
        <f>IF('Data-Plot'!C329="","",MAX('Data-Plot'!$C$11:$C$1010)*(1+$Q$9/100))</f>
        <v/>
      </c>
      <c r="R329" s="22" t="str">
        <f>IF('Data-Plot'!C329="","",('Data-Plot'!C329-'Data-Plot'!D329)*$P$9)</f>
        <v/>
      </c>
    </row>
    <row r="330" spans="16:18" x14ac:dyDescent="0.25">
      <c r="P330" s="22" t="str">
        <f>IF('Data-Plot'!C330="","",$Q$11+('Data-Plot'!C330-'Data-Plot'!D330)*$P$9)</f>
        <v/>
      </c>
      <c r="Q330" s="22" t="str">
        <f>IF('Data-Plot'!C330="","",MAX('Data-Plot'!$C$11:$C$1010)*(1+$Q$9/100))</f>
        <v/>
      </c>
      <c r="R330" s="22" t="str">
        <f>IF('Data-Plot'!C330="","",('Data-Plot'!C330-'Data-Plot'!D330)*$P$9)</f>
        <v/>
      </c>
    </row>
    <row r="331" spans="16:18" x14ac:dyDescent="0.25">
      <c r="P331" s="22" t="str">
        <f>IF('Data-Plot'!C331="","",$Q$11+('Data-Plot'!C331-'Data-Plot'!D331)*$P$9)</f>
        <v/>
      </c>
      <c r="Q331" s="22" t="str">
        <f>IF('Data-Plot'!C331="","",MAX('Data-Plot'!$C$11:$C$1010)*(1+$Q$9/100))</f>
        <v/>
      </c>
      <c r="R331" s="22" t="str">
        <f>IF('Data-Plot'!C331="","",('Data-Plot'!C331-'Data-Plot'!D331)*$P$9)</f>
        <v/>
      </c>
    </row>
    <row r="332" spans="16:18" x14ac:dyDescent="0.25">
      <c r="P332" s="22" t="str">
        <f>IF('Data-Plot'!C332="","",$Q$11+('Data-Plot'!C332-'Data-Plot'!D332)*$P$9)</f>
        <v/>
      </c>
      <c r="Q332" s="22" t="str">
        <f>IF('Data-Plot'!C332="","",MAX('Data-Plot'!$C$11:$C$1010)*(1+$Q$9/100))</f>
        <v/>
      </c>
      <c r="R332" s="22" t="str">
        <f>IF('Data-Plot'!C332="","",('Data-Plot'!C332-'Data-Plot'!D332)*$P$9)</f>
        <v/>
      </c>
    </row>
    <row r="333" spans="16:18" x14ac:dyDescent="0.25">
      <c r="P333" s="22" t="str">
        <f>IF('Data-Plot'!C333="","",$Q$11+('Data-Plot'!C333-'Data-Plot'!D333)*$P$9)</f>
        <v/>
      </c>
      <c r="Q333" s="22" t="str">
        <f>IF('Data-Plot'!C333="","",MAX('Data-Plot'!$C$11:$C$1010)*(1+$Q$9/100))</f>
        <v/>
      </c>
      <c r="R333" s="22" t="str">
        <f>IF('Data-Plot'!C333="","",('Data-Plot'!C333-'Data-Plot'!D333)*$P$9)</f>
        <v/>
      </c>
    </row>
    <row r="334" spans="16:18" x14ac:dyDescent="0.25">
      <c r="P334" s="22" t="str">
        <f>IF('Data-Plot'!C334="","",$Q$11+('Data-Plot'!C334-'Data-Plot'!D334)*$P$9)</f>
        <v/>
      </c>
      <c r="Q334" s="22" t="str">
        <f>IF('Data-Plot'!C334="","",MAX('Data-Plot'!$C$11:$C$1010)*(1+$Q$9/100))</f>
        <v/>
      </c>
      <c r="R334" s="22" t="str">
        <f>IF('Data-Plot'!C334="","",('Data-Plot'!C334-'Data-Plot'!D334)*$P$9)</f>
        <v/>
      </c>
    </row>
    <row r="335" spans="16:18" x14ac:dyDescent="0.25">
      <c r="P335" s="22" t="str">
        <f>IF('Data-Plot'!C335="","",$Q$11+('Data-Plot'!C335-'Data-Plot'!D335)*$P$9)</f>
        <v/>
      </c>
      <c r="Q335" s="22" t="str">
        <f>IF('Data-Plot'!C335="","",MAX('Data-Plot'!$C$11:$C$1010)*(1+$Q$9/100))</f>
        <v/>
      </c>
      <c r="R335" s="22" t="str">
        <f>IF('Data-Plot'!C335="","",('Data-Plot'!C335-'Data-Plot'!D335)*$P$9)</f>
        <v/>
      </c>
    </row>
    <row r="336" spans="16:18" x14ac:dyDescent="0.25">
      <c r="P336" s="22" t="str">
        <f>IF('Data-Plot'!C336="","",$Q$11+('Data-Plot'!C336-'Data-Plot'!D336)*$P$9)</f>
        <v/>
      </c>
      <c r="Q336" s="22" t="str">
        <f>IF('Data-Plot'!C336="","",MAX('Data-Plot'!$C$11:$C$1010)*(1+$Q$9/100))</f>
        <v/>
      </c>
      <c r="R336" s="22" t="str">
        <f>IF('Data-Plot'!C336="","",('Data-Plot'!C336-'Data-Plot'!D336)*$P$9)</f>
        <v/>
      </c>
    </row>
    <row r="337" spans="16:18" x14ac:dyDescent="0.25">
      <c r="P337" s="22" t="str">
        <f>IF('Data-Plot'!C337="","",$Q$11+('Data-Plot'!C337-'Data-Plot'!D337)*$P$9)</f>
        <v/>
      </c>
      <c r="Q337" s="22" t="str">
        <f>IF('Data-Plot'!C337="","",MAX('Data-Plot'!$C$11:$C$1010)*(1+$Q$9/100))</f>
        <v/>
      </c>
      <c r="R337" s="22" t="str">
        <f>IF('Data-Plot'!C337="","",('Data-Plot'!C337-'Data-Plot'!D337)*$P$9)</f>
        <v/>
      </c>
    </row>
    <row r="338" spans="16:18" x14ac:dyDescent="0.25">
      <c r="P338" s="22" t="str">
        <f>IF('Data-Plot'!C338="","",$Q$11+('Data-Plot'!C338-'Data-Plot'!D338)*$P$9)</f>
        <v/>
      </c>
      <c r="Q338" s="22" t="str">
        <f>IF('Data-Plot'!C338="","",MAX('Data-Plot'!$C$11:$C$1010)*(1+$Q$9/100))</f>
        <v/>
      </c>
      <c r="R338" s="22" t="str">
        <f>IF('Data-Plot'!C338="","",('Data-Plot'!C338-'Data-Plot'!D338)*$P$9)</f>
        <v/>
      </c>
    </row>
    <row r="339" spans="16:18" x14ac:dyDescent="0.25">
      <c r="P339" s="22" t="str">
        <f>IF('Data-Plot'!C339="","",$Q$11+('Data-Plot'!C339-'Data-Plot'!D339)*$P$9)</f>
        <v/>
      </c>
      <c r="Q339" s="22" t="str">
        <f>IF('Data-Plot'!C339="","",MAX('Data-Plot'!$C$11:$C$1010)*(1+$Q$9/100))</f>
        <v/>
      </c>
      <c r="R339" s="22" t="str">
        <f>IF('Data-Plot'!C339="","",('Data-Plot'!C339-'Data-Plot'!D339)*$P$9)</f>
        <v/>
      </c>
    </row>
    <row r="340" spans="16:18" x14ac:dyDescent="0.25">
      <c r="P340" s="22" t="str">
        <f>IF('Data-Plot'!C340="","",$Q$11+('Data-Plot'!C340-'Data-Plot'!D340)*$P$9)</f>
        <v/>
      </c>
      <c r="Q340" s="22" t="str">
        <f>IF('Data-Plot'!C340="","",MAX('Data-Plot'!$C$11:$C$1010)*(1+$Q$9/100))</f>
        <v/>
      </c>
      <c r="R340" s="22" t="str">
        <f>IF('Data-Plot'!C340="","",('Data-Plot'!C340-'Data-Plot'!D340)*$P$9)</f>
        <v/>
      </c>
    </row>
    <row r="341" spans="16:18" x14ac:dyDescent="0.25">
      <c r="P341" s="22" t="str">
        <f>IF('Data-Plot'!C341="","",$Q$11+('Data-Plot'!C341-'Data-Plot'!D341)*$P$9)</f>
        <v/>
      </c>
      <c r="Q341" s="22" t="str">
        <f>IF('Data-Plot'!C341="","",MAX('Data-Plot'!$C$11:$C$1010)*(1+$Q$9/100))</f>
        <v/>
      </c>
      <c r="R341" s="22" t="str">
        <f>IF('Data-Plot'!C341="","",('Data-Plot'!C341-'Data-Plot'!D341)*$P$9)</f>
        <v/>
      </c>
    </row>
    <row r="342" spans="16:18" x14ac:dyDescent="0.25">
      <c r="P342" s="22" t="str">
        <f>IF('Data-Plot'!C342="","",$Q$11+('Data-Plot'!C342-'Data-Plot'!D342)*$P$9)</f>
        <v/>
      </c>
      <c r="Q342" s="22" t="str">
        <f>IF('Data-Plot'!C342="","",MAX('Data-Plot'!$C$11:$C$1010)*(1+$Q$9/100))</f>
        <v/>
      </c>
      <c r="R342" s="22" t="str">
        <f>IF('Data-Plot'!C342="","",('Data-Plot'!C342-'Data-Plot'!D342)*$P$9)</f>
        <v/>
      </c>
    </row>
    <row r="343" spans="16:18" x14ac:dyDescent="0.25">
      <c r="P343" s="22" t="str">
        <f>IF('Data-Plot'!C343="","",$Q$11+('Data-Plot'!C343-'Data-Plot'!D343)*$P$9)</f>
        <v/>
      </c>
      <c r="Q343" s="22" t="str">
        <f>IF('Data-Plot'!C343="","",MAX('Data-Plot'!$C$11:$C$1010)*(1+$Q$9/100))</f>
        <v/>
      </c>
      <c r="R343" s="22" t="str">
        <f>IF('Data-Plot'!C343="","",('Data-Plot'!C343-'Data-Plot'!D343)*$P$9)</f>
        <v/>
      </c>
    </row>
    <row r="344" spans="16:18" x14ac:dyDescent="0.25">
      <c r="P344" s="22" t="str">
        <f>IF('Data-Plot'!C344="","",$Q$11+('Data-Plot'!C344-'Data-Plot'!D344)*$P$9)</f>
        <v/>
      </c>
      <c r="Q344" s="22" t="str">
        <f>IF('Data-Plot'!C344="","",MAX('Data-Plot'!$C$11:$C$1010)*(1+$Q$9/100))</f>
        <v/>
      </c>
      <c r="R344" s="22" t="str">
        <f>IF('Data-Plot'!C344="","",('Data-Plot'!C344-'Data-Plot'!D344)*$P$9)</f>
        <v/>
      </c>
    </row>
    <row r="345" spans="16:18" x14ac:dyDescent="0.25">
      <c r="P345" s="22" t="str">
        <f>IF('Data-Plot'!C345="","",$Q$11+('Data-Plot'!C345-'Data-Plot'!D345)*$P$9)</f>
        <v/>
      </c>
      <c r="Q345" s="22" t="str">
        <f>IF('Data-Plot'!C345="","",MAX('Data-Plot'!$C$11:$C$1010)*(1+$Q$9/100))</f>
        <v/>
      </c>
      <c r="R345" s="22" t="str">
        <f>IF('Data-Plot'!C345="","",('Data-Plot'!C345-'Data-Plot'!D345)*$P$9)</f>
        <v/>
      </c>
    </row>
    <row r="346" spans="16:18" x14ac:dyDescent="0.25">
      <c r="P346" s="22" t="str">
        <f>IF('Data-Plot'!C346="","",$Q$11+('Data-Plot'!C346-'Data-Plot'!D346)*$P$9)</f>
        <v/>
      </c>
      <c r="Q346" s="22" t="str">
        <f>IF('Data-Plot'!C346="","",MAX('Data-Plot'!$C$11:$C$1010)*(1+$Q$9/100))</f>
        <v/>
      </c>
      <c r="R346" s="22" t="str">
        <f>IF('Data-Plot'!C346="","",('Data-Plot'!C346-'Data-Plot'!D346)*$P$9)</f>
        <v/>
      </c>
    </row>
    <row r="347" spans="16:18" x14ac:dyDescent="0.25">
      <c r="P347" s="22" t="str">
        <f>IF('Data-Plot'!C347="","",$Q$11+('Data-Plot'!C347-'Data-Plot'!D347)*$P$9)</f>
        <v/>
      </c>
      <c r="Q347" s="22" t="str">
        <f>IF('Data-Plot'!C347="","",MAX('Data-Plot'!$C$11:$C$1010)*(1+$Q$9/100))</f>
        <v/>
      </c>
      <c r="R347" s="22" t="str">
        <f>IF('Data-Plot'!C347="","",('Data-Plot'!C347-'Data-Plot'!D347)*$P$9)</f>
        <v/>
      </c>
    </row>
    <row r="348" spans="16:18" x14ac:dyDescent="0.25">
      <c r="P348" s="22" t="str">
        <f>IF('Data-Plot'!C348="","",$Q$11+('Data-Plot'!C348-'Data-Plot'!D348)*$P$9)</f>
        <v/>
      </c>
      <c r="Q348" s="22" t="str">
        <f>IF('Data-Plot'!C348="","",MAX('Data-Plot'!$C$11:$C$1010)*(1+$Q$9/100))</f>
        <v/>
      </c>
      <c r="R348" s="22" t="str">
        <f>IF('Data-Plot'!C348="","",('Data-Plot'!C348-'Data-Plot'!D348)*$P$9)</f>
        <v/>
      </c>
    </row>
    <row r="349" spans="16:18" x14ac:dyDescent="0.25">
      <c r="P349" s="22" t="str">
        <f>IF('Data-Plot'!C349="","",$Q$11+('Data-Plot'!C349-'Data-Plot'!D349)*$P$9)</f>
        <v/>
      </c>
      <c r="Q349" s="22" t="str">
        <f>IF('Data-Plot'!C349="","",MAX('Data-Plot'!$C$11:$C$1010)*(1+$Q$9/100))</f>
        <v/>
      </c>
      <c r="R349" s="22" t="str">
        <f>IF('Data-Plot'!C349="","",('Data-Plot'!C349-'Data-Plot'!D349)*$P$9)</f>
        <v/>
      </c>
    </row>
    <row r="350" spans="16:18" x14ac:dyDescent="0.25">
      <c r="P350" s="22" t="str">
        <f>IF('Data-Plot'!C350="","",$Q$11+('Data-Plot'!C350-'Data-Plot'!D350)*$P$9)</f>
        <v/>
      </c>
      <c r="Q350" s="22" t="str">
        <f>IF('Data-Plot'!C350="","",MAX('Data-Plot'!$C$11:$C$1010)*(1+$Q$9/100))</f>
        <v/>
      </c>
      <c r="R350" s="22" t="str">
        <f>IF('Data-Plot'!C350="","",('Data-Plot'!C350-'Data-Plot'!D350)*$P$9)</f>
        <v/>
      </c>
    </row>
    <row r="351" spans="16:18" x14ac:dyDescent="0.25">
      <c r="P351" s="22" t="str">
        <f>IF('Data-Plot'!C351="","",$Q$11+('Data-Plot'!C351-'Data-Plot'!D351)*$P$9)</f>
        <v/>
      </c>
      <c r="Q351" s="22" t="str">
        <f>IF('Data-Plot'!C351="","",MAX('Data-Plot'!$C$11:$C$1010)*(1+$Q$9/100))</f>
        <v/>
      </c>
      <c r="R351" s="22" t="str">
        <f>IF('Data-Plot'!C351="","",('Data-Plot'!C351-'Data-Plot'!D351)*$P$9)</f>
        <v/>
      </c>
    </row>
    <row r="352" spans="16:18" x14ac:dyDescent="0.25">
      <c r="P352" s="22" t="str">
        <f>IF('Data-Plot'!C352="","",$Q$11+('Data-Plot'!C352-'Data-Plot'!D352)*$P$9)</f>
        <v/>
      </c>
      <c r="Q352" s="22" t="str">
        <f>IF('Data-Plot'!C352="","",MAX('Data-Plot'!$C$11:$C$1010)*(1+$Q$9/100))</f>
        <v/>
      </c>
      <c r="R352" s="22" t="str">
        <f>IF('Data-Plot'!C352="","",('Data-Plot'!C352-'Data-Plot'!D352)*$P$9)</f>
        <v/>
      </c>
    </row>
    <row r="353" spans="16:18" x14ac:dyDescent="0.25">
      <c r="P353" s="22" t="str">
        <f>IF('Data-Plot'!C353="","",$Q$11+('Data-Plot'!C353-'Data-Plot'!D353)*$P$9)</f>
        <v/>
      </c>
      <c r="Q353" s="22" t="str">
        <f>IF('Data-Plot'!C353="","",MAX('Data-Plot'!$C$11:$C$1010)*(1+$Q$9/100))</f>
        <v/>
      </c>
      <c r="R353" s="22" t="str">
        <f>IF('Data-Plot'!C353="","",('Data-Plot'!C353-'Data-Plot'!D353)*$P$9)</f>
        <v/>
      </c>
    </row>
    <row r="354" spans="16:18" x14ac:dyDescent="0.25">
      <c r="P354" s="22" t="str">
        <f>IF('Data-Plot'!C354="","",$Q$11+('Data-Plot'!C354-'Data-Plot'!D354)*$P$9)</f>
        <v/>
      </c>
      <c r="Q354" s="22" t="str">
        <f>IF('Data-Plot'!C354="","",MAX('Data-Plot'!$C$11:$C$1010)*(1+$Q$9/100))</f>
        <v/>
      </c>
      <c r="R354" s="22" t="str">
        <f>IF('Data-Plot'!C354="","",('Data-Plot'!C354-'Data-Plot'!D354)*$P$9)</f>
        <v/>
      </c>
    </row>
    <row r="355" spans="16:18" x14ac:dyDescent="0.25">
      <c r="P355" s="22" t="str">
        <f>IF('Data-Plot'!C355="","",$Q$11+('Data-Plot'!C355-'Data-Plot'!D355)*$P$9)</f>
        <v/>
      </c>
      <c r="Q355" s="22" t="str">
        <f>IF('Data-Plot'!C355="","",MAX('Data-Plot'!$C$11:$C$1010)*(1+$Q$9/100))</f>
        <v/>
      </c>
      <c r="R355" s="22" t="str">
        <f>IF('Data-Plot'!C355="","",('Data-Plot'!C355-'Data-Plot'!D355)*$P$9)</f>
        <v/>
      </c>
    </row>
    <row r="356" spans="16:18" x14ac:dyDescent="0.25">
      <c r="P356" s="22" t="str">
        <f>IF('Data-Plot'!C356="","",$Q$11+('Data-Plot'!C356-'Data-Plot'!D356)*$P$9)</f>
        <v/>
      </c>
      <c r="Q356" s="22" t="str">
        <f>IF('Data-Plot'!C356="","",MAX('Data-Plot'!$C$11:$C$1010)*(1+$Q$9/100))</f>
        <v/>
      </c>
      <c r="R356" s="22" t="str">
        <f>IF('Data-Plot'!C356="","",('Data-Plot'!C356-'Data-Plot'!D356)*$P$9)</f>
        <v/>
      </c>
    </row>
    <row r="357" spans="16:18" x14ac:dyDescent="0.25">
      <c r="P357" s="22" t="str">
        <f>IF('Data-Plot'!C357="","",$Q$11+('Data-Plot'!C357-'Data-Plot'!D357)*$P$9)</f>
        <v/>
      </c>
      <c r="Q357" s="22" t="str">
        <f>IF('Data-Plot'!C357="","",MAX('Data-Plot'!$C$11:$C$1010)*(1+$Q$9/100))</f>
        <v/>
      </c>
      <c r="R357" s="22" t="str">
        <f>IF('Data-Plot'!C357="","",('Data-Plot'!C357-'Data-Plot'!D357)*$P$9)</f>
        <v/>
      </c>
    </row>
    <row r="358" spans="16:18" x14ac:dyDescent="0.25">
      <c r="P358" s="22" t="str">
        <f>IF('Data-Plot'!C358="","",$Q$11+('Data-Plot'!C358-'Data-Plot'!D358)*$P$9)</f>
        <v/>
      </c>
      <c r="Q358" s="22" t="str">
        <f>IF('Data-Plot'!C358="","",MAX('Data-Plot'!$C$11:$C$1010)*(1+$Q$9/100))</f>
        <v/>
      </c>
      <c r="R358" s="22" t="str">
        <f>IF('Data-Plot'!C358="","",('Data-Plot'!C358-'Data-Plot'!D358)*$P$9)</f>
        <v/>
      </c>
    </row>
    <row r="359" spans="16:18" x14ac:dyDescent="0.25">
      <c r="P359" s="22" t="str">
        <f>IF('Data-Plot'!C359="","",$Q$11+('Data-Plot'!C359-'Data-Plot'!D359)*$P$9)</f>
        <v/>
      </c>
      <c r="Q359" s="22" t="str">
        <f>IF('Data-Plot'!C359="","",MAX('Data-Plot'!$C$11:$C$1010)*(1+$Q$9/100))</f>
        <v/>
      </c>
      <c r="R359" s="22" t="str">
        <f>IF('Data-Plot'!C359="","",('Data-Plot'!C359-'Data-Plot'!D359)*$P$9)</f>
        <v/>
      </c>
    </row>
    <row r="360" spans="16:18" x14ac:dyDescent="0.25">
      <c r="P360" s="22" t="str">
        <f>IF('Data-Plot'!C360="","",$Q$11+('Data-Plot'!C360-'Data-Plot'!D360)*$P$9)</f>
        <v/>
      </c>
      <c r="Q360" s="22" t="str">
        <f>IF('Data-Plot'!C360="","",MAX('Data-Plot'!$C$11:$C$1010)*(1+$Q$9/100))</f>
        <v/>
      </c>
      <c r="R360" s="22" t="str">
        <f>IF('Data-Plot'!C360="","",('Data-Plot'!C360-'Data-Plot'!D360)*$P$9)</f>
        <v/>
      </c>
    </row>
    <row r="361" spans="16:18" x14ac:dyDescent="0.25">
      <c r="P361" s="22" t="str">
        <f>IF('Data-Plot'!C361="","",$Q$11+('Data-Plot'!C361-'Data-Plot'!D361)*$P$9)</f>
        <v/>
      </c>
      <c r="Q361" s="22" t="str">
        <f>IF('Data-Plot'!C361="","",MAX('Data-Plot'!$C$11:$C$1010)*(1+$Q$9/100))</f>
        <v/>
      </c>
      <c r="R361" s="22" t="str">
        <f>IF('Data-Plot'!C361="","",('Data-Plot'!C361-'Data-Plot'!D361)*$P$9)</f>
        <v/>
      </c>
    </row>
    <row r="362" spans="16:18" x14ac:dyDescent="0.25">
      <c r="P362" s="22" t="str">
        <f>IF('Data-Plot'!C362="","",$Q$11+('Data-Plot'!C362-'Data-Plot'!D362)*$P$9)</f>
        <v/>
      </c>
      <c r="Q362" s="22" t="str">
        <f>IF('Data-Plot'!C362="","",MAX('Data-Plot'!$C$11:$C$1010)*(1+$Q$9/100))</f>
        <v/>
      </c>
      <c r="R362" s="22" t="str">
        <f>IF('Data-Plot'!C362="","",('Data-Plot'!C362-'Data-Plot'!D362)*$P$9)</f>
        <v/>
      </c>
    </row>
    <row r="363" spans="16:18" x14ac:dyDescent="0.25">
      <c r="P363" s="22" t="str">
        <f>IF('Data-Plot'!C363="","",$Q$11+('Data-Plot'!C363-'Data-Plot'!D363)*$P$9)</f>
        <v/>
      </c>
      <c r="Q363" s="22" t="str">
        <f>IF('Data-Plot'!C363="","",MAX('Data-Plot'!$C$11:$C$1010)*(1+$Q$9/100))</f>
        <v/>
      </c>
      <c r="R363" s="22" t="str">
        <f>IF('Data-Plot'!C363="","",('Data-Plot'!C363-'Data-Plot'!D363)*$P$9)</f>
        <v/>
      </c>
    </row>
    <row r="364" spans="16:18" x14ac:dyDescent="0.25">
      <c r="P364" s="22" t="str">
        <f>IF('Data-Plot'!C364="","",$Q$11+('Data-Plot'!C364-'Data-Plot'!D364)*$P$9)</f>
        <v/>
      </c>
      <c r="Q364" s="22" t="str">
        <f>IF('Data-Plot'!C364="","",MAX('Data-Plot'!$C$11:$C$1010)*(1+$Q$9/100))</f>
        <v/>
      </c>
      <c r="R364" s="22" t="str">
        <f>IF('Data-Plot'!C364="","",('Data-Plot'!C364-'Data-Plot'!D364)*$P$9)</f>
        <v/>
      </c>
    </row>
    <row r="365" spans="16:18" x14ac:dyDescent="0.25">
      <c r="P365" s="22" t="str">
        <f>IF('Data-Plot'!C365="","",$Q$11+('Data-Plot'!C365-'Data-Plot'!D365)*$P$9)</f>
        <v/>
      </c>
      <c r="Q365" s="22" t="str">
        <f>IF('Data-Plot'!C365="","",MAX('Data-Plot'!$C$11:$C$1010)*(1+$Q$9/100))</f>
        <v/>
      </c>
      <c r="R365" s="22" t="str">
        <f>IF('Data-Plot'!C365="","",('Data-Plot'!C365-'Data-Plot'!D365)*$P$9)</f>
        <v/>
      </c>
    </row>
    <row r="366" spans="16:18" x14ac:dyDescent="0.25">
      <c r="P366" s="22" t="str">
        <f>IF('Data-Plot'!C366="","",$Q$11+('Data-Plot'!C366-'Data-Plot'!D366)*$P$9)</f>
        <v/>
      </c>
      <c r="Q366" s="22" t="str">
        <f>IF('Data-Plot'!C366="","",MAX('Data-Plot'!$C$11:$C$1010)*(1+$Q$9/100))</f>
        <v/>
      </c>
      <c r="R366" s="22" t="str">
        <f>IF('Data-Plot'!C366="","",('Data-Plot'!C366-'Data-Plot'!D366)*$P$9)</f>
        <v/>
      </c>
    </row>
    <row r="367" spans="16:18" x14ac:dyDescent="0.25">
      <c r="P367" s="22" t="str">
        <f>IF('Data-Plot'!C367="","",$Q$11+('Data-Plot'!C367-'Data-Plot'!D367)*$P$9)</f>
        <v/>
      </c>
      <c r="Q367" s="22" t="str">
        <f>IF('Data-Plot'!C367="","",MAX('Data-Plot'!$C$11:$C$1010)*(1+$Q$9/100))</f>
        <v/>
      </c>
      <c r="R367" s="22" t="str">
        <f>IF('Data-Plot'!C367="","",('Data-Plot'!C367-'Data-Plot'!D367)*$P$9)</f>
        <v/>
      </c>
    </row>
    <row r="368" spans="16:18" x14ac:dyDescent="0.25">
      <c r="P368" s="22" t="str">
        <f>IF('Data-Plot'!C368="","",$Q$11+('Data-Plot'!C368-'Data-Plot'!D368)*$P$9)</f>
        <v/>
      </c>
      <c r="Q368" s="22" t="str">
        <f>IF('Data-Plot'!C368="","",MAX('Data-Plot'!$C$11:$C$1010)*(1+$Q$9/100))</f>
        <v/>
      </c>
      <c r="R368" s="22" t="str">
        <f>IF('Data-Plot'!C368="","",('Data-Plot'!C368-'Data-Plot'!D368)*$P$9)</f>
        <v/>
      </c>
    </row>
    <row r="369" spans="16:18" x14ac:dyDescent="0.25">
      <c r="P369" s="22" t="str">
        <f>IF('Data-Plot'!C369="","",$Q$11+('Data-Plot'!C369-'Data-Plot'!D369)*$P$9)</f>
        <v/>
      </c>
      <c r="Q369" s="22" t="str">
        <f>IF('Data-Plot'!C369="","",MAX('Data-Plot'!$C$11:$C$1010)*(1+$Q$9/100))</f>
        <v/>
      </c>
      <c r="R369" s="22" t="str">
        <f>IF('Data-Plot'!C369="","",('Data-Plot'!C369-'Data-Plot'!D369)*$P$9)</f>
        <v/>
      </c>
    </row>
    <row r="370" spans="16:18" x14ac:dyDescent="0.25">
      <c r="P370" s="22" t="str">
        <f>IF('Data-Plot'!C370="","",$Q$11+('Data-Plot'!C370-'Data-Plot'!D370)*$P$9)</f>
        <v/>
      </c>
      <c r="Q370" s="22" t="str">
        <f>IF('Data-Plot'!C370="","",MAX('Data-Plot'!$C$11:$C$1010)*(1+$Q$9/100))</f>
        <v/>
      </c>
      <c r="R370" s="22" t="str">
        <f>IF('Data-Plot'!C370="","",('Data-Plot'!C370-'Data-Plot'!D370)*$P$9)</f>
        <v/>
      </c>
    </row>
    <row r="371" spans="16:18" x14ac:dyDescent="0.25">
      <c r="P371" s="22" t="str">
        <f>IF('Data-Plot'!C371="","",$Q$11+('Data-Plot'!C371-'Data-Plot'!D371)*$P$9)</f>
        <v/>
      </c>
      <c r="Q371" s="22" t="str">
        <f>IF('Data-Plot'!C371="","",MAX('Data-Plot'!$C$11:$C$1010)*(1+$Q$9/100))</f>
        <v/>
      </c>
      <c r="R371" s="22" t="str">
        <f>IF('Data-Plot'!C371="","",('Data-Plot'!C371-'Data-Plot'!D371)*$P$9)</f>
        <v/>
      </c>
    </row>
    <row r="372" spans="16:18" x14ac:dyDescent="0.25">
      <c r="P372" s="22" t="str">
        <f>IF('Data-Plot'!C372="","",$Q$11+('Data-Plot'!C372-'Data-Plot'!D372)*$P$9)</f>
        <v/>
      </c>
      <c r="Q372" s="22" t="str">
        <f>IF('Data-Plot'!C372="","",MAX('Data-Plot'!$C$11:$C$1010)*(1+$Q$9/100))</f>
        <v/>
      </c>
      <c r="R372" s="22" t="str">
        <f>IF('Data-Plot'!C372="","",('Data-Plot'!C372-'Data-Plot'!D372)*$P$9)</f>
        <v/>
      </c>
    </row>
    <row r="373" spans="16:18" x14ac:dyDescent="0.25">
      <c r="P373" s="22" t="str">
        <f>IF('Data-Plot'!C373="","",$Q$11+('Data-Plot'!C373-'Data-Plot'!D373)*$P$9)</f>
        <v/>
      </c>
      <c r="Q373" s="22" t="str">
        <f>IF('Data-Plot'!C373="","",MAX('Data-Plot'!$C$11:$C$1010)*(1+$Q$9/100))</f>
        <v/>
      </c>
      <c r="R373" s="22" t="str">
        <f>IF('Data-Plot'!C373="","",('Data-Plot'!C373-'Data-Plot'!D373)*$P$9)</f>
        <v/>
      </c>
    </row>
    <row r="374" spans="16:18" x14ac:dyDescent="0.25">
      <c r="P374" s="22" t="str">
        <f>IF('Data-Plot'!C374="","",$Q$11+('Data-Plot'!C374-'Data-Plot'!D374)*$P$9)</f>
        <v/>
      </c>
      <c r="Q374" s="22" t="str">
        <f>IF('Data-Plot'!C374="","",MAX('Data-Plot'!$C$11:$C$1010)*(1+$Q$9/100))</f>
        <v/>
      </c>
      <c r="R374" s="22" t="str">
        <f>IF('Data-Plot'!C374="","",('Data-Plot'!C374-'Data-Plot'!D374)*$P$9)</f>
        <v/>
      </c>
    </row>
    <row r="375" spans="16:18" x14ac:dyDescent="0.25">
      <c r="P375" s="22" t="str">
        <f>IF('Data-Plot'!C375="","",$Q$11+('Data-Plot'!C375-'Data-Plot'!D375)*$P$9)</f>
        <v/>
      </c>
      <c r="Q375" s="22" t="str">
        <f>IF('Data-Plot'!C375="","",MAX('Data-Plot'!$C$11:$C$1010)*(1+$Q$9/100))</f>
        <v/>
      </c>
      <c r="R375" s="22" t="str">
        <f>IF('Data-Plot'!C375="","",('Data-Plot'!C375-'Data-Plot'!D375)*$P$9)</f>
        <v/>
      </c>
    </row>
    <row r="376" spans="16:18" x14ac:dyDescent="0.25">
      <c r="P376" s="22" t="str">
        <f>IF('Data-Plot'!C376="","",$Q$11+('Data-Plot'!C376-'Data-Plot'!D376)*$P$9)</f>
        <v/>
      </c>
      <c r="Q376" s="22" t="str">
        <f>IF('Data-Plot'!C376="","",MAX('Data-Plot'!$C$11:$C$1010)*(1+$Q$9/100))</f>
        <v/>
      </c>
      <c r="R376" s="22" t="str">
        <f>IF('Data-Plot'!C376="","",('Data-Plot'!C376-'Data-Plot'!D376)*$P$9)</f>
        <v/>
      </c>
    </row>
    <row r="377" spans="16:18" x14ac:dyDescent="0.25">
      <c r="P377" s="22" t="str">
        <f>IF('Data-Plot'!C377="","",$Q$11+('Data-Plot'!C377-'Data-Plot'!D377)*$P$9)</f>
        <v/>
      </c>
      <c r="Q377" s="22" t="str">
        <f>IF('Data-Plot'!C377="","",MAX('Data-Plot'!$C$11:$C$1010)*(1+$Q$9/100))</f>
        <v/>
      </c>
      <c r="R377" s="22" t="str">
        <f>IF('Data-Plot'!C377="","",('Data-Plot'!C377-'Data-Plot'!D377)*$P$9)</f>
        <v/>
      </c>
    </row>
    <row r="378" spans="16:18" x14ac:dyDescent="0.25">
      <c r="P378" s="22" t="str">
        <f>IF('Data-Plot'!C378="","",$Q$11+('Data-Plot'!C378-'Data-Plot'!D378)*$P$9)</f>
        <v/>
      </c>
      <c r="Q378" s="22" t="str">
        <f>IF('Data-Plot'!C378="","",MAX('Data-Plot'!$C$11:$C$1010)*(1+$Q$9/100))</f>
        <v/>
      </c>
      <c r="R378" s="22" t="str">
        <f>IF('Data-Plot'!C378="","",('Data-Plot'!C378-'Data-Plot'!D378)*$P$9)</f>
        <v/>
      </c>
    </row>
    <row r="379" spans="16:18" x14ac:dyDescent="0.25">
      <c r="P379" s="22" t="str">
        <f>IF('Data-Plot'!C379="","",$Q$11+('Data-Plot'!C379-'Data-Plot'!D379)*$P$9)</f>
        <v/>
      </c>
      <c r="Q379" s="22" t="str">
        <f>IF('Data-Plot'!C379="","",MAX('Data-Plot'!$C$11:$C$1010)*(1+$Q$9/100))</f>
        <v/>
      </c>
      <c r="R379" s="22" t="str">
        <f>IF('Data-Plot'!C379="","",('Data-Plot'!C379-'Data-Plot'!D379)*$P$9)</f>
        <v/>
      </c>
    </row>
    <row r="380" spans="16:18" x14ac:dyDescent="0.25">
      <c r="P380" s="22" t="str">
        <f>IF('Data-Plot'!C380="","",$Q$11+('Data-Plot'!C380-'Data-Plot'!D380)*$P$9)</f>
        <v/>
      </c>
      <c r="Q380" s="22" t="str">
        <f>IF('Data-Plot'!C380="","",MAX('Data-Plot'!$C$11:$C$1010)*(1+$Q$9/100))</f>
        <v/>
      </c>
      <c r="R380" s="22" t="str">
        <f>IF('Data-Plot'!C380="","",('Data-Plot'!C380-'Data-Plot'!D380)*$P$9)</f>
        <v/>
      </c>
    </row>
    <row r="381" spans="16:18" x14ac:dyDescent="0.25">
      <c r="P381" s="22" t="str">
        <f>IF('Data-Plot'!C381="","",$Q$11+('Data-Plot'!C381-'Data-Plot'!D381)*$P$9)</f>
        <v/>
      </c>
      <c r="Q381" s="22" t="str">
        <f>IF('Data-Plot'!C381="","",MAX('Data-Plot'!$C$11:$C$1010)*(1+$Q$9/100))</f>
        <v/>
      </c>
      <c r="R381" s="22" t="str">
        <f>IF('Data-Plot'!C381="","",('Data-Plot'!C381-'Data-Plot'!D381)*$P$9)</f>
        <v/>
      </c>
    </row>
    <row r="382" spans="16:18" x14ac:dyDescent="0.25">
      <c r="P382" s="22" t="str">
        <f>IF('Data-Plot'!C382="","",$Q$11+('Data-Plot'!C382-'Data-Plot'!D382)*$P$9)</f>
        <v/>
      </c>
      <c r="Q382" s="22" t="str">
        <f>IF('Data-Plot'!C382="","",MAX('Data-Plot'!$C$11:$C$1010)*(1+$Q$9/100))</f>
        <v/>
      </c>
      <c r="R382" s="22" t="str">
        <f>IF('Data-Plot'!C382="","",('Data-Plot'!C382-'Data-Plot'!D382)*$P$9)</f>
        <v/>
      </c>
    </row>
    <row r="383" spans="16:18" x14ac:dyDescent="0.25">
      <c r="P383" s="22" t="str">
        <f>IF('Data-Plot'!C383="","",$Q$11+('Data-Plot'!C383-'Data-Plot'!D383)*$P$9)</f>
        <v/>
      </c>
      <c r="Q383" s="22" t="str">
        <f>IF('Data-Plot'!C383="","",MAX('Data-Plot'!$C$11:$C$1010)*(1+$Q$9/100))</f>
        <v/>
      </c>
      <c r="R383" s="22" t="str">
        <f>IF('Data-Plot'!C383="","",('Data-Plot'!C383-'Data-Plot'!D383)*$P$9)</f>
        <v/>
      </c>
    </row>
    <row r="384" spans="16:18" x14ac:dyDescent="0.25">
      <c r="P384" s="22" t="str">
        <f>IF('Data-Plot'!C384="","",$Q$11+('Data-Plot'!C384-'Data-Plot'!D384)*$P$9)</f>
        <v/>
      </c>
      <c r="Q384" s="22" t="str">
        <f>IF('Data-Plot'!C384="","",MAX('Data-Plot'!$C$11:$C$1010)*(1+$Q$9/100))</f>
        <v/>
      </c>
      <c r="R384" s="22" t="str">
        <f>IF('Data-Plot'!C384="","",('Data-Plot'!C384-'Data-Plot'!D384)*$P$9)</f>
        <v/>
      </c>
    </row>
    <row r="385" spans="16:18" x14ac:dyDescent="0.25">
      <c r="P385" s="22" t="str">
        <f>IF('Data-Plot'!C385="","",$Q$11+('Data-Plot'!C385-'Data-Plot'!D385)*$P$9)</f>
        <v/>
      </c>
      <c r="Q385" s="22" t="str">
        <f>IF('Data-Plot'!C385="","",MAX('Data-Plot'!$C$11:$C$1010)*(1+$Q$9/100))</f>
        <v/>
      </c>
      <c r="R385" s="22" t="str">
        <f>IF('Data-Plot'!C385="","",('Data-Plot'!C385-'Data-Plot'!D385)*$P$9)</f>
        <v/>
      </c>
    </row>
    <row r="386" spans="16:18" x14ac:dyDescent="0.25">
      <c r="P386" s="22" t="str">
        <f>IF('Data-Plot'!C386="","",$Q$11+('Data-Plot'!C386-'Data-Plot'!D386)*$P$9)</f>
        <v/>
      </c>
      <c r="Q386" s="22" t="str">
        <f>IF('Data-Plot'!C386="","",MAX('Data-Plot'!$C$11:$C$1010)*(1+$Q$9/100))</f>
        <v/>
      </c>
      <c r="R386" s="22" t="str">
        <f>IF('Data-Plot'!C386="","",('Data-Plot'!C386-'Data-Plot'!D386)*$P$9)</f>
        <v/>
      </c>
    </row>
    <row r="387" spans="16:18" x14ac:dyDescent="0.25">
      <c r="P387" s="22" t="str">
        <f>IF('Data-Plot'!C387="","",$Q$11+('Data-Plot'!C387-'Data-Plot'!D387)*$P$9)</f>
        <v/>
      </c>
      <c r="Q387" s="22" t="str">
        <f>IF('Data-Plot'!C387="","",MAX('Data-Plot'!$C$11:$C$1010)*(1+$Q$9/100))</f>
        <v/>
      </c>
      <c r="R387" s="22" t="str">
        <f>IF('Data-Plot'!C387="","",('Data-Plot'!C387-'Data-Plot'!D387)*$P$9)</f>
        <v/>
      </c>
    </row>
    <row r="388" spans="16:18" x14ac:dyDescent="0.25">
      <c r="P388" s="22" t="str">
        <f>IF('Data-Plot'!C388="","",$Q$11+('Data-Plot'!C388-'Data-Plot'!D388)*$P$9)</f>
        <v/>
      </c>
      <c r="Q388" s="22" t="str">
        <f>IF('Data-Plot'!C388="","",MAX('Data-Plot'!$C$11:$C$1010)*(1+$Q$9/100))</f>
        <v/>
      </c>
      <c r="R388" s="22" t="str">
        <f>IF('Data-Plot'!C388="","",('Data-Plot'!C388-'Data-Plot'!D388)*$P$9)</f>
        <v/>
      </c>
    </row>
    <row r="389" spans="16:18" x14ac:dyDescent="0.25">
      <c r="P389" s="22" t="str">
        <f>IF('Data-Plot'!C389="","",$Q$11+('Data-Plot'!C389-'Data-Plot'!D389)*$P$9)</f>
        <v/>
      </c>
      <c r="Q389" s="22" t="str">
        <f>IF('Data-Plot'!C389="","",MAX('Data-Plot'!$C$11:$C$1010)*(1+$Q$9/100))</f>
        <v/>
      </c>
      <c r="R389" s="22" t="str">
        <f>IF('Data-Plot'!C389="","",('Data-Plot'!C389-'Data-Plot'!D389)*$P$9)</f>
        <v/>
      </c>
    </row>
    <row r="390" spans="16:18" x14ac:dyDescent="0.25">
      <c r="P390" s="22" t="str">
        <f>IF('Data-Plot'!C390="","",$Q$11+('Data-Plot'!C390-'Data-Plot'!D390)*$P$9)</f>
        <v/>
      </c>
      <c r="Q390" s="22" t="str">
        <f>IF('Data-Plot'!C390="","",MAX('Data-Plot'!$C$11:$C$1010)*(1+$Q$9/100))</f>
        <v/>
      </c>
      <c r="R390" s="22" t="str">
        <f>IF('Data-Plot'!C390="","",('Data-Plot'!C390-'Data-Plot'!D390)*$P$9)</f>
        <v/>
      </c>
    </row>
    <row r="391" spans="16:18" x14ac:dyDescent="0.25">
      <c r="P391" s="22" t="str">
        <f>IF('Data-Plot'!C391="","",$Q$11+('Data-Plot'!C391-'Data-Plot'!D391)*$P$9)</f>
        <v/>
      </c>
      <c r="Q391" s="22" t="str">
        <f>IF('Data-Plot'!C391="","",MAX('Data-Plot'!$C$11:$C$1010)*(1+$Q$9/100))</f>
        <v/>
      </c>
      <c r="R391" s="22" t="str">
        <f>IF('Data-Plot'!C391="","",('Data-Plot'!C391-'Data-Plot'!D391)*$P$9)</f>
        <v/>
      </c>
    </row>
    <row r="392" spans="16:18" x14ac:dyDescent="0.25">
      <c r="P392" s="22" t="str">
        <f>IF('Data-Plot'!C392="","",$Q$11+('Data-Plot'!C392-'Data-Plot'!D392)*$P$9)</f>
        <v/>
      </c>
      <c r="Q392" s="22" t="str">
        <f>IF('Data-Plot'!C392="","",MAX('Data-Plot'!$C$11:$C$1010)*(1+$Q$9/100))</f>
        <v/>
      </c>
      <c r="R392" s="22" t="str">
        <f>IF('Data-Plot'!C392="","",('Data-Plot'!C392-'Data-Plot'!D392)*$P$9)</f>
        <v/>
      </c>
    </row>
    <row r="393" spans="16:18" x14ac:dyDescent="0.25">
      <c r="P393" s="22" t="str">
        <f>IF('Data-Plot'!C393="","",$Q$11+('Data-Plot'!C393-'Data-Plot'!D393)*$P$9)</f>
        <v/>
      </c>
      <c r="Q393" s="22" t="str">
        <f>IF('Data-Plot'!C393="","",MAX('Data-Plot'!$C$11:$C$1010)*(1+$Q$9/100))</f>
        <v/>
      </c>
      <c r="R393" s="22" t="str">
        <f>IF('Data-Plot'!C393="","",('Data-Plot'!C393-'Data-Plot'!D393)*$P$9)</f>
        <v/>
      </c>
    </row>
    <row r="394" spans="16:18" x14ac:dyDescent="0.25">
      <c r="P394" s="22" t="str">
        <f>IF('Data-Plot'!C394="","",$Q$11+('Data-Plot'!C394-'Data-Plot'!D394)*$P$9)</f>
        <v/>
      </c>
      <c r="Q394" s="22" t="str">
        <f>IF('Data-Plot'!C394="","",MAX('Data-Plot'!$C$11:$C$1010)*(1+$Q$9/100))</f>
        <v/>
      </c>
      <c r="R394" s="22" t="str">
        <f>IF('Data-Plot'!C394="","",('Data-Plot'!C394-'Data-Plot'!D394)*$P$9)</f>
        <v/>
      </c>
    </row>
    <row r="395" spans="16:18" x14ac:dyDescent="0.25">
      <c r="P395" s="22" t="str">
        <f>IF('Data-Plot'!C395="","",$Q$11+('Data-Plot'!C395-'Data-Plot'!D395)*$P$9)</f>
        <v/>
      </c>
      <c r="Q395" s="22" t="str">
        <f>IF('Data-Plot'!C395="","",MAX('Data-Plot'!$C$11:$C$1010)*(1+$Q$9/100))</f>
        <v/>
      </c>
      <c r="R395" s="22" t="str">
        <f>IF('Data-Plot'!C395="","",('Data-Plot'!C395-'Data-Plot'!D395)*$P$9)</f>
        <v/>
      </c>
    </row>
    <row r="396" spans="16:18" x14ac:dyDescent="0.25">
      <c r="P396" s="22" t="str">
        <f>IF('Data-Plot'!C396="","",$Q$11+('Data-Plot'!C396-'Data-Plot'!D396)*$P$9)</f>
        <v/>
      </c>
      <c r="Q396" s="22" t="str">
        <f>IF('Data-Plot'!C396="","",MAX('Data-Plot'!$C$11:$C$1010)*(1+$Q$9/100))</f>
        <v/>
      </c>
      <c r="R396" s="22" t="str">
        <f>IF('Data-Plot'!C396="","",('Data-Plot'!C396-'Data-Plot'!D396)*$P$9)</f>
        <v/>
      </c>
    </row>
    <row r="397" spans="16:18" x14ac:dyDescent="0.25">
      <c r="P397" s="22" t="str">
        <f>IF('Data-Plot'!C397="","",$Q$11+('Data-Plot'!C397-'Data-Plot'!D397)*$P$9)</f>
        <v/>
      </c>
      <c r="Q397" s="22" t="str">
        <f>IF('Data-Plot'!C397="","",MAX('Data-Plot'!$C$11:$C$1010)*(1+$Q$9/100))</f>
        <v/>
      </c>
      <c r="R397" s="22" t="str">
        <f>IF('Data-Plot'!C397="","",('Data-Plot'!C397-'Data-Plot'!D397)*$P$9)</f>
        <v/>
      </c>
    </row>
    <row r="398" spans="16:18" x14ac:dyDescent="0.25">
      <c r="P398" s="22" t="str">
        <f>IF('Data-Plot'!C398="","",$Q$11+('Data-Plot'!C398-'Data-Plot'!D398)*$P$9)</f>
        <v/>
      </c>
      <c r="Q398" s="22" t="str">
        <f>IF('Data-Plot'!C398="","",MAX('Data-Plot'!$C$11:$C$1010)*(1+$Q$9/100))</f>
        <v/>
      </c>
      <c r="R398" s="22" t="str">
        <f>IF('Data-Plot'!C398="","",('Data-Plot'!C398-'Data-Plot'!D398)*$P$9)</f>
        <v/>
      </c>
    </row>
    <row r="399" spans="16:18" x14ac:dyDescent="0.25">
      <c r="P399" s="22" t="str">
        <f>IF('Data-Plot'!C399="","",$Q$11+('Data-Plot'!C399-'Data-Plot'!D399)*$P$9)</f>
        <v/>
      </c>
      <c r="Q399" s="22" t="str">
        <f>IF('Data-Plot'!C399="","",MAX('Data-Plot'!$C$11:$C$1010)*(1+$Q$9/100))</f>
        <v/>
      </c>
      <c r="R399" s="22" t="str">
        <f>IF('Data-Plot'!C399="","",('Data-Plot'!C399-'Data-Plot'!D399)*$P$9)</f>
        <v/>
      </c>
    </row>
    <row r="400" spans="16:18" x14ac:dyDescent="0.25">
      <c r="P400" s="22" t="str">
        <f>IF('Data-Plot'!C400="","",$Q$11+('Data-Plot'!C400-'Data-Plot'!D400)*$P$9)</f>
        <v/>
      </c>
      <c r="Q400" s="22" t="str">
        <f>IF('Data-Plot'!C400="","",MAX('Data-Plot'!$C$11:$C$1010)*(1+$Q$9/100))</f>
        <v/>
      </c>
      <c r="R400" s="22" t="str">
        <f>IF('Data-Plot'!C400="","",('Data-Plot'!C400-'Data-Plot'!D400)*$P$9)</f>
        <v/>
      </c>
    </row>
    <row r="401" spans="16:18" x14ac:dyDescent="0.25">
      <c r="P401" s="22" t="str">
        <f>IF('Data-Plot'!C401="","",$Q$11+('Data-Plot'!C401-'Data-Plot'!D401)*$P$9)</f>
        <v/>
      </c>
      <c r="Q401" s="22" t="str">
        <f>IF('Data-Plot'!C401="","",MAX('Data-Plot'!$C$11:$C$1010)*(1+$Q$9/100))</f>
        <v/>
      </c>
      <c r="R401" s="22" t="str">
        <f>IF('Data-Plot'!C401="","",('Data-Plot'!C401-'Data-Plot'!D401)*$P$9)</f>
        <v/>
      </c>
    </row>
    <row r="402" spans="16:18" x14ac:dyDescent="0.25">
      <c r="P402" s="22" t="str">
        <f>IF('Data-Plot'!C402="","",$Q$11+('Data-Plot'!C402-'Data-Plot'!D402)*$P$9)</f>
        <v/>
      </c>
      <c r="Q402" s="22" t="str">
        <f>IF('Data-Plot'!C402="","",MAX('Data-Plot'!$C$11:$C$1010)*(1+$Q$9/100))</f>
        <v/>
      </c>
      <c r="R402" s="22" t="str">
        <f>IF('Data-Plot'!C402="","",('Data-Plot'!C402-'Data-Plot'!D402)*$P$9)</f>
        <v/>
      </c>
    </row>
    <row r="403" spans="16:18" x14ac:dyDescent="0.25">
      <c r="P403" s="22" t="str">
        <f>IF('Data-Plot'!C403="","",$Q$11+('Data-Plot'!C403-'Data-Plot'!D403)*$P$9)</f>
        <v/>
      </c>
      <c r="Q403" s="22" t="str">
        <f>IF('Data-Plot'!C403="","",MAX('Data-Plot'!$C$11:$C$1010)*(1+$Q$9/100))</f>
        <v/>
      </c>
      <c r="R403" s="22" t="str">
        <f>IF('Data-Plot'!C403="","",('Data-Plot'!C403-'Data-Plot'!D403)*$P$9)</f>
        <v/>
      </c>
    </row>
    <row r="404" spans="16:18" x14ac:dyDescent="0.25">
      <c r="P404" s="22" t="str">
        <f>IF('Data-Plot'!C404="","",$Q$11+('Data-Plot'!C404-'Data-Plot'!D404)*$P$9)</f>
        <v/>
      </c>
      <c r="Q404" s="22" t="str">
        <f>IF('Data-Plot'!C404="","",MAX('Data-Plot'!$C$11:$C$1010)*(1+$Q$9/100))</f>
        <v/>
      </c>
      <c r="R404" s="22" t="str">
        <f>IF('Data-Plot'!C404="","",('Data-Plot'!C404-'Data-Plot'!D404)*$P$9)</f>
        <v/>
      </c>
    </row>
    <row r="405" spans="16:18" x14ac:dyDescent="0.25">
      <c r="P405" s="22" t="str">
        <f>IF('Data-Plot'!C405="","",$Q$11+('Data-Plot'!C405-'Data-Plot'!D405)*$P$9)</f>
        <v/>
      </c>
      <c r="Q405" s="22" t="str">
        <f>IF('Data-Plot'!C405="","",MAX('Data-Plot'!$C$11:$C$1010)*(1+$Q$9/100))</f>
        <v/>
      </c>
      <c r="R405" s="22" t="str">
        <f>IF('Data-Plot'!C405="","",('Data-Plot'!C405-'Data-Plot'!D405)*$P$9)</f>
        <v/>
      </c>
    </row>
    <row r="406" spans="16:18" x14ac:dyDescent="0.25">
      <c r="P406" s="22" t="str">
        <f>IF('Data-Plot'!C406="","",$Q$11+('Data-Plot'!C406-'Data-Plot'!D406)*$P$9)</f>
        <v/>
      </c>
      <c r="Q406" s="22" t="str">
        <f>IF('Data-Plot'!C406="","",MAX('Data-Plot'!$C$11:$C$1010)*(1+$Q$9/100))</f>
        <v/>
      </c>
      <c r="R406" s="22" t="str">
        <f>IF('Data-Plot'!C406="","",('Data-Plot'!C406-'Data-Plot'!D406)*$P$9)</f>
        <v/>
      </c>
    </row>
    <row r="407" spans="16:18" x14ac:dyDescent="0.25">
      <c r="P407" s="22" t="str">
        <f>IF('Data-Plot'!C407="","",$Q$11+('Data-Plot'!C407-'Data-Plot'!D407)*$P$9)</f>
        <v/>
      </c>
      <c r="Q407" s="22" t="str">
        <f>IF('Data-Plot'!C407="","",MAX('Data-Plot'!$C$11:$C$1010)*(1+$Q$9/100))</f>
        <v/>
      </c>
      <c r="R407" s="22" t="str">
        <f>IF('Data-Plot'!C407="","",('Data-Plot'!C407-'Data-Plot'!D407)*$P$9)</f>
        <v/>
      </c>
    </row>
    <row r="408" spans="16:18" x14ac:dyDescent="0.25">
      <c r="P408" s="22" t="str">
        <f>IF('Data-Plot'!C408="","",$Q$11+('Data-Plot'!C408-'Data-Plot'!D408)*$P$9)</f>
        <v/>
      </c>
      <c r="Q408" s="22" t="str">
        <f>IF('Data-Plot'!C408="","",MAX('Data-Plot'!$C$11:$C$1010)*(1+$Q$9/100))</f>
        <v/>
      </c>
      <c r="R408" s="22" t="str">
        <f>IF('Data-Plot'!C408="","",('Data-Plot'!C408-'Data-Plot'!D408)*$P$9)</f>
        <v/>
      </c>
    </row>
    <row r="409" spans="16:18" x14ac:dyDescent="0.25">
      <c r="P409" s="22" t="str">
        <f>IF('Data-Plot'!C409="","",$Q$11+('Data-Plot'!C409-'Data-Plot'!D409)*$P$9)</f>
        <v/>
      </c>
      <c r="Q409" s="22" t="str">
        <f>IF('Data-Plot'!C409="","",MAX('Data-Plot'!$C$11:$C$1010)*(1+$Q$9/100))</f>
        <v/>
      </c>
      <c r="R409" s="22" t="str">
        <f>IF('Data-Plot'!C409="","",('Data-Plot'!C409-'Data-Plot'!D409)*$P$9)</f>
        <v/>
      </c>
    </row>
    <row r="410" spans="16:18" x14ac:dyDescent="0.25">
      <c r="P410" s="22" t="str">
        <f>IF('Data-Plot'!C410="","",$Q$11+('Data-Plot'!C410-'Data-Plot'!D410)*$P$9)</f>
        <v/>
      </c>
      <c r="Q410" s="22" t="str">
        <f>IF('Data-Plot'!C410="","",MAX('Data-Plot'!$C$11:$C$1010)*(1+$Q$9/100))</f>
        <v/>
      </c>
      <c r="R410" s="22" t="str">
        <f>IF('Data-Plot'!C410="","",('Data-Plot'!C410-'Data-Plot'!D410)*$P$9)</f>
        <v/>
      </c>
    </row>
    <row r="411" spans="16:18" x14ac:dyDescent="0.25">
      <c r="P411" s="22" t="str">
        <f>IF('Data-Plot'!C411="","",$Q$11+('Data-Plot'!C411-'Data-Plot'!D411)*$P$9)</f>
        <v/>
      </c>
      <c r="Q411" s="22" t="str">
        <f>IF('Data-Plot'!C411="","",MAX('Data-Plot'!$C$11:$C$1010)*(1+$Q$9/100))</f>
        <v/>
      </c>
      <c r="R411" s="22" t="str">
        <f>IF('Data-Plot'!C411="","",('Data-Plot'!C411-'Data-Plot'!D411)*$P$9)</f>
        <v/>
      </c>
    </row>
    <row r="412" spans="16:18" x14ac:dyDescent="0.25">
      <c r="P412" s="22" t="str">
        <f>IF('Data-Plot'!C412="","",$Q$11+('Data-Plot'!C412-'Data-Plot'!D412)*$P$9)</f>
        <v/>
      </c>
      <c r="Q412" s="22" t="str">
        <f>IF('Data-Plot'!C412="","",MAX('Data-Plot'!$C$11:$C$1010)*(1+$Q$9/100))</f>
        <v/>
      </c>
      <c r="R412" s="22" t="str">
        <f>IF('Data-Plot'!C412="","",('Data-Plot'!C412-'Data-Plot'!D412)*$P$9)</f>
        <v/>
      </c>
    </row>
    <row r="413" spans="16:18" x14ac:dyDescent="0.25">
      <c r="P413" s="22" t="str">
        <f>IF('Data-Plot'!C413="","",$Q$11+('Data-Plot'!C413-'Data-Plot'!D413)*$P$9)</f>
        <v/>
      </c>
      <c r="Q413" s="22" t="str">
        <f>IF('Data-Plot'!C413="","",MAX('Data-Plot'!$C$11:$C$1010)*(1+$Q$9/100))</f>
        <v/>
      </c>
      <c r="R413" s="22" t="str">
        <f>IF('Data-Plot'!C413="","",('Data-Plot'!C413-'Data-Plot'!D413)*$P$9)</f>
        <v/>
      </c>
    </row>
    <row r="414" spans="16:18" x14ac:dyDescent="0.25">
      <c r="P414" s="22" t="str">
        <f>IF('Data-Plot'!C414="","",$Q$11+('Data-Plot'!C414-'Data-Plot'!D414)*$P$9)</f>
        <v/>
      </c>
      <c r="Q414" s="22" t="str">
        <f>IF('Data-Plot'!C414="","",MAX('Data-Plot'!$C$11:$C$1010)*(1+$Q$9/100))</f>
        <v/>
      </c>
      <c r="R414" s="22" t="str">
        <f>IF('Data-Plot'!C414="","",('Data-Plot'!C414-'Data-Plot'!D414)*$P$9)</f>
        <v/>
      </c>
    </row>
    <row r="415" spans="16:18" x14ac:dyDescent="0.25">
      <c r="P415" s="22" t="str">
        <f>IF('Data-Plot'!C415="","",$Q$11+('Data-Plot'!C415-'Data-Plot'!D415)*$P$9)</f>
        <v/>
      </c>
      <c r="Q415" s="22" t="str">
        <f>IF('Data-Plot'!C415="","",MAX('Data-Plot'!$C$11:$C$1010)*(1+$Q$9/100))</f>
        <v/>
      </c>
      <c r="R415" s="22" t="str">
        <f>IF('Data-Plot'!C415="","",('Data-Plot'!C415-'Data-Plot'!D415)*$P$9)</f>
        <v/>
      </c>
    </row>
    <row r="416" spans="16:18" x14ac:dyDescent="0.25">
      <c r="P416" s="22" t="str">
        <f>IF('Data-Plot'!C416="","",$Q$11+('Data-Plot'!C416-'Data-Plot'!D416)*$P$9)</f>
        <v/>
      </c>
      <c r="Q416" s="22" t="str">
        <f>IF('Data-Plot'!C416="","",MAX('Data-Plot'!$C$11:$C$1010)*(1+$Q$9/100))</f>
        <v/>
      </c>
      <c r="R416" s="22" t="str">
        <f>IF('Data-Plot'!C416="","",('Data-Plot'!C416-'Data-Plot'!D416)*$P$9)</f>
        <v/>
      </c>
    </row>
    <row r="417" spans="16:18" x14ac:dyDescent="0.25">
      <c r="P417" s="22" t="str">
        <f>IF('Data-Plot'!C417="","",$Q$11+('Data-Plot'!C417-'Data-Plot'!D417)*$P$9)</f>
        <v/>
      </c>
      <c r="Q417" s="22" t="str">
        <f>IF('Data-Plot'!C417="","",MAX('Data-Plot'!$C$11:$C$1010)*(1+$Q$9/100))</f>
        <v/>
      </c>
      <c r="R417" s="22" t="str">
        <f>IF('Data-Plot'!C417="","",('Data-Plot'!C417-'Data-Plot'!D417)*$P$9)</f>
        <v/>
      </c>
    </row>
    <row r="418" spans="16:18" x14ac:dyDescent="0.25">
      <c r="P418" s="22" t="str">
        <f>IF('Data-Plot'!C418="","",$Q$11+('Data-Plot'!C418-'Data-Plot'!D418)*$P$9)</f>
        <v/>
      </c>
      <c r="Q418" s="22" t="str">
        <f>IF('Data-Plot'!C418="","",MAX('Data-Plot'!$C$11:$C$1010)*(1+$Q$9/100))</f>
        <v/>
      </c>
      <c r="R418" s="22" t="str">
        <f>IF('Data-Plot'!C418="","",('Data-Plot'!C418-'Data-Plot'!D418)*$P$9)</f>
        <v/>
      </c>
    </row>
    <row r="419" spans="16:18" x14ac:dyDescent="0.25">
      <c r="P419" s="22" t="str">
        <f>IF('Data-Plot'!C419="","",$Q$11+('Data-Plot'!C419-'Data-Plot'!D419)*$P$9)</f>
        <v/>
      </c>
      <c r="Q419" s="22" t="str">
        <f>IF('Data-Plot'!C419="","",MAX('Data-Plot'!$C$11:$C$1010)*(1+$Q$9/100))</f>
        <v/>
      </c>
      <c r="R419" s="22" t="str">
        <f>IF('Data-Plot'!C419="","",('Data-Plot'!C419-'Data-Plot'!D419)*$P$9)</f>
        <v/>
      </c>
    </row>
    <row r="420" spans="16:18" x14ac:dyDescent="0.25">
      <c r="P420" s="22" t="str">
        <f>IF('Data-Plot'!C420="","",$Q$11+('Data-Plot'!C420-'Data-Plot'!D420)*$P$9)</f>
        <v/>
      </c>
      <c r="Q420" s="22" t="str">
        <f>IF('Data-Plot'!C420="","",MAX('Data-Plot'!$C$11:$C$1010)*(1+$Q$9/100))</f>
        <v/>
      </c>
      <c r="R420" s="22" t="str">
        <f>IF('Data-Plot'!C420="","",('Data-Plot'!C420-'Data-Plot'!D420)*$P$9)</f>
        <v/>
      </c>
    </row>
    <row r="421" spans="16:18" x14ac:dyDescent="0.25">
      <c r="P421" s="22" t="str">
        <f>IF('Data-Plot'!C421="","",$Q$11+('Data-Plot'!C421-'Data-Plot'!D421)*$P$9)</f>
        <v/>
      </c>
      <c r="Q421" s="22" t="str">
        <f>IF('Data-Plot'!C421="","",MAX('Data-Plot'!$C$11:$C$1010)*(1+$Q$9/100))</f>
        <v/>
      </c>
      <c r="R421" s="22" t="str">
        <f>IF('Data-Plot'!C421="","",('Data-Plot'!C421-'Data-Plot'!D421)*$P$9)</f>
        <v/>
      </c>
    </row>
    <row r="422" spans="16:18" x14ac:dyDescent="0.25">
      <c r="P422" s="22" t="str">
        <f>IF('Data-Plot'!C422="","",$Q$11+('Data-Plot'!C422-'Data-Plot'!D422)*$P$9)</f>
        <v/>
      </c>
      <c r="Q422" s="22" t="str">
        <f>IF('Data-Plot'!C422="","",MAX('Data-Plot'!$C$11:$C$1010)*(1+$Q$9/100))</f>
        <v/>
      </c>
      <c r="R422" s="22" t="str">
        <f>IF('Data-Plot'!C422="","",('Data-Plot'!C422-'Data-Plot'!D422)*$P$9)</f>
        <v/>
      </c>
    </row>
    <row r="423" spans="16:18" x14ac:dyDescent="0.25">
      <c r="P423" s="22" t="str">
        <f>IF('Data-Plot'!C423="","",$Q$11+('Data-Plot'!C423-'Data-Plot'!D423)*$P$9)</f>
        <v/>
      </c>
      <c r="Q423" s="22" t="str">
        <f>IF('Data-Plot'!C423="","",MAX('Data-Plot'!$C$11:$C$1010)*(1+$Q$9/100))</f>
        <v/>
      </c>
      <c r="R423" s="22" t="str">
        <f>IF('Data-Plot'!C423="","",('Data-Plot'!C423-'Data-Plot'!D423)*$P$9)</f>
        <v/>
      </c>
    </row>
    <row r="424" spans="16:18" x14ac:dyDescent="0.25">
      <c r="P424" s="22" t="str">
        <f>IF('Data-Plot'!C424="","",$Q$11+('Data-Plot'!C424-'Data-Plot'!D424)*$P$9)</f>
        <v/>
      </c>
      <c r="Q424" s="22" t="str">
        <f>IF('Data-Plot'!C424="","",MAX('Data-Plot'!$C$11:$C$1010)*(1+$Q$9/100))</f>
        <v/>
      </c>
      <c r="R424" s="22" t="str">
        <f>IF('Data-Plot'!C424="","",('Data-Plot'!C424-'Data-Plot'!D424)*$P$9)</f>
        <v/>
      </c>
    </row>
    <row r="425" spans="16:18" x14ac:dyDescent="0.25">
      <c r="P425" s="22" t="str">
        <f>IF('Data-Plot'!C425="","",$Q$11+('Data-Plot'!C425-'Data-Plot'!D425)*$P$9)</f>
        <v/>
      </c>
      <c r="Q425" s="22" t="str">
        <f>IF('Data-Plot'!C425="","",MAX('Data-Plot'!$C$11:$C$1010)*(1+$Q$9/100))</f>
        <v/>
      </c>
      <c r="R425" s="22" t="str">
        <f>IF('Data-Plot'!C425="","",('Data-Plot'!C425-'Data-Plot'!D425)*$P$9)</f>
        <v/>
      </c>
    </row>
    <row r="426" spans="16:18" x14ac:dyDescent="0.25">
      <c r="P426" s="22" t="str">
        <f>IF('Data-Plot'!C426="","",$Q$11+('Data-Plot'!C426-'Data-Plot'!D426)*$P$9)</f>
        <v/>
      </c>
      <c r="Q426" s="22" t="str">
        <f>IF('Data-Plot'!C426="","",MAX('Data-Plot'!$C$11:$C$1010)*(1+$Q$9/100))</f>
        <v/>
      </c>
      <c r="R426" s="22" t="str">
        <f>IF('Data-Plot'!C426="","",('Data-Plot'!C426-'Data-Plot'!D426)*$P$9)</f>
        <v/>
      </c>
    </row>
    <row r="427" spans="16:18" x14ac:dyDescent="0.25">
      <c r="P427" s="22" t="str">
        <f>IF('Data-Plot'!C427="","",$Q$11+('Data-Plot'!C427-'Data-Plot'!D427)*$P$9)</f>
        <v/>
      </c>
      <c r="Q427" s="22" t="str">
        <f>IF('Data-Plot'!C427="","",MAX('Data-Plot'!$C$11:$C$1010)*(1+$Q$9/100))</f>
        <v/>
      </c>
      <c r="R427" s="22" t="str">
        <f>IF('Data-Plot'!C427="","",('Data-Plot'!C427-'Data-Plot'!D427)*$P$9)</f>
        <v/>
      </c>
    </row>
    <row r="428" spans="16:18" x14ac:dyDescent="0.25">
      <c r="P428" s="22" t="str">
        <f>IF('Data-Plot'!C428="","",$Q$11+('Data-Plot'!C428-'Data-Plot'!D428)*$P$9)</f>
        <v/>
      </c>
      <c r="Q428" s="22" t="str">
        <f>IF('Data-Plot'!C428="","",MAX('Data-Plot'!$C$11:$C$1010)*(1+$Q$9/100))</f>
        <v/>
      </c>
      <c r="R428" s="22" t="str">
        <f>IF('Data-Plot'!C428="","",('Data-Plot'!C428-'Data-Plot'!D428)*$P$9)</f>
        <v/>
      </c>
    </row>
    <row r="429" spans="16:18" x14ac:dyDescent="0.25">
      <c r="P429" s="22" t="str">
        <f>IF('Data-Plot'!C429="","",$Q$11+('Data-Plot'!C429-'Data-Plot'!D429)*$P$9)</f>
        <v/>
      </c>
      <c r="Q429" s="22" t="str">
        <f>IF('Data-Plot'!C429="","",MAX('Data-Plot'!$C$11:$C$1010)*(1+$Q$9/100))</f>
        <v/>
      </c>
      <c r="R429" s="22" t="str">
        <f>IF('Data-Plot'!C429="","",('Data-Plot'!C429-'Data-Plot'!D429)*$P$9)</f>
        <v/>
      </c>
    </row>
    <row r="430" spans="16:18" x14ac:dyDescent="0.25">
      <c r="P430" s="22" t="str">
        <f>IF('Data-Plot'!C430="","",$Q$11+('Data-Plot'!C430-'Data-Plot'!D430)*$P$9)</f>
        <v/>
      </c>
      <c r="Q430" s="22" t="str">
        <f>IF('Data-Plot'!C430="","",MAX('Data-Plot'!$C$11:$C$1010)*(1+$Q$9/100))</f>
        <v/>
      </c>
      <c r="R430" s="22" t="str">
        <f>IF('Data-Plot'!C430="","",('Data-Plot'!C430-'Data-Plot'!D430)*$P$9)</f>
        <v/>
      </c>
    </row>
    <row r="431" spans="16:18" x14ac:dyDescent="0.25">
      <c r="P431" s="22" t="str">
        <f>IF('Data-Plot'!C431="","",$Q$11+('Data-Plot'!C431-'Data-Plot'!D431)*$P$9)</f>
        <v/>
      </c>
      <c r="Q431" s="22" t="str">
        <f>IF('Data-Plot'!C431="","",MAX('Data-Plot'!$C$11:$C$1010)*(1+$Q$9/100))</f>
        <v/>
      </c>
      <c r="R431" s="22" t="str">
        <f>IF('Data-Plot'!C431="","",('Data-Plot'!C431-'Data-Plot'!D431)*$P$9)</f>
        <v/>
      </c>
    </row>
    <row r="432" spans="16:18" x14ac:dyDescent="0.25">
      <c r="P432" s="22" t="str">
        <f>IF('Data-Plot'!C432="","",$Q$11+('Data-Plot'!C432-'Data-Plot'!D432)*$P$9)</f>
        <v/>
      </c>
      <c r="Q432" s="22" t="str">
        <f>IF('Data-Plot'!C432="","",MAX('Data-Plot'!$C$11:$C$1010)*(1+$Q$9/100))</f>
        <v/>
      </c>
      <c r="R432" s="22" t="str">
        <f>IF('Data-Plot'!C432="","",('Data-Plot'!C432-'Data-Plot'!D432)*$P$9)</f>
        <v/>
      </c>
    </row>
    <row r="433" spans="16:18" x14ac:dyDescent="0.25">
      <c r="P433" s="22" t="str">
        <f>IF('Data-Plot'!C433="","",$Q$11+('Data-Plot'!C433-'Data-Plot'!D433)*$P$9)</f>
        <v/>
      </c>
      <c r="Q433" s="22" t="str">
        <f>IF('Data-Plot'!C433="","",MAX('Data-Plot'!$C$11:$C$1010)*(1+$Q$9/100))</f>
        <v/>
      </c>
      <c r="R433" s="22" t="str">
        <f>IF('Data-Plot'!C433="","",('Data-Plot'!C433-'Data-Plot'!D433)*$P$9)</f>
        <v/>
      </c>
    </row>
    <row r="434" spans="16:18" x14ac:dyDescent="0.25">
      <c r="P434" s="22" t="str">
        <f>IF('Data-Plot'!C434="","",$Q$11+('Data-Plot'!C434-'Data-Plot'!D434)*$P$9)</f>
        <v/>
      </c>
      <c r="Q434" s="22" t="str">
        <f>IF('Data-Plot'!C434="","",MAX('Data-Plot'!$C$11:$C$1010)*(1+$Q$9/100))</f>
        <v/>
      </c>
      <c r="R434" s="22" t="str">
        <f>IF('Data-Plot'!C434="","",('Data-Plot'!C434-'Data-Plot'!D434)*$P$9)</f>
        <v/>
      </c>
    </row>
    <row r="435" spans="16:18" x14ac:dyDescent="0.25">
      <c r="P435" s="22" t="str">
        <f>IF('Data-Plot'!C435="","",$Q$11+('Data-Plot'!C435-'Data-Plot'!D435)*$P$9)</f>
        <v/>
      </c>
      <c r="Q435" s="22" t="str">
        <f>IF('Data-Plot'!C435="","",MAX('Data-Plot'!$C$11:$C$1010)*(1+$Q$9/100))</f>
        <v/>
      </c>
      <c r="R435" s="22" t="str">
        <f>IF('Data-Plot'!C435="","",('Data-Plot'!C435-'Data-Plot'!D435)*$P$9)</f>
        <v/>
      </c>
    </row>
    <row r="436" spans="16:18" x14ac:dyDescent="0.25">
      <c r="P436" s="22" t="str">
        <f>IF('Data-Plot'!C436="","",$Q$11+('Data-Plot'!C436-'Data-Plot'!D436)*$P$9)</f>
        <v/>
      </c>
      <c r="Q436" s="22" t="str">
        <f>IF('Data-Plot'!C436="","",MAX('Data-Plot'!$C$11:$C$1010)*(1+$Q$9/100))</f>
        <v/>
      </c>
      <c r="R436" s="22" t="str">
        <f>IF('Data-Plot'!C436="","",('Data-Plot'!C436-'Data-Plot'!D436)*$P$9)</f>
        <v/>
      </c>
    </row>
    <row r="437" spans="16:18" x14ac:dyDescent="0.25">
      <c r="P437" s="22" t="str">
        <f>IF('Data-Plot'!C437="","",$Q$11+('Data-Plot'!C437-'Data-Plot'!D437)*$P$9)</f>
        <v/>
      </c>
      <c r="Q437" s="22" t="str">
        <f>IF('Data-Plot'!C437="","",MAX('Data-Plot'!$C$11:$C$1010)*(1+$Q$9/100))</f>
        <v/>
      </c>
      <c r="R437" s="22" t="str">
        <f>IF('Data-Plot'!C437="","",('Data-Plot'!C437-'Data-Plot'!D437)*$P$9)</f>
        <v/>
      </c>
    </row>
    <row r="438" spans="16:18" x14ac:dyDescent="0.25">
      <c r="P438" s="22" t="str">
        <f>IF('Data-Plot'!C438="","",$Q$11+('Data-Plot'!C438-'Data-Plot'!D438)*$P$9)</f>
        <v/>
      </c>
      <c r="Q438" s="22" t="str">
        <f>IF('Data-Plot'!C438="","",MAX('Data-Plot'!$C$11:$C$1010)*(1+$Q$9/100))</f>
        <v/>
      </c>
      <c r="R438" s="22" t="str">
        <f>IF('Data-Plot'!C438="","",('Data-Plot'!C438-'Data-Plot'!D438)*$P$9)</f>
        <v/>
      </c>
    </row>
    <row r="439" spans="16:18" x14ac:dyDescent="0.25">
      <c r="P439" s="22" t="str">
        <f>IF('Data-Plot'!C439="","",$Q$11+('Data-Plot'!C439-'Data-Plot'!D439)*$P$9)</f>
        <v/>
      </c>
      <c r="Q439" s="22" t="str">
        <f>IF('Data-Plot'!C439="","",MAX('Data-Plot'!$C$11:$C$1010)*(1+$Q$9/100))</f>
        <v/>
      </c>
      <c r="R439" s="22" t="str">
        <f>IF('Data-Plot'!C439="","",('Data-Plot'!C439-'Data-Plot'!D439)*$P$9)</f>
        <v/>
      </c>
    </row>
    <row r="440" spans="16:18" x14ac:dyDescent="0.25">
      <c r="P440" s="22" t="str">
        <f>IF('Data-Plot'!C440="","",$Q$11+('Data-Plot'!C440-'Data-Plot'!D440)*$P$9)</f>
        <v/>
      </c>
      <c r="Q440" s="22" t="str">
        <f>IF('Data-Plot'!C440="","",MAX('Data-Plot'!$C$11:$C$1010)*(1+$Q$9/100))</f>
        <v/>
      </c>
      <c r="R440" s="22" t="str">
        <f>IF('Data-Plot'!C440="","",('Data-Plot'!C440-'Data-Plot'!D440)*$P$9)</f>
        <v/>
      </c>
    </row>
    <row r="441" spans="16:18" x14ac:dyDescent="0.25">
      <c r="P441" s="22" t="str">
        <f>IF('Data-Plot'!C441="","",$Q$11+('Data-Plot'!C441-'Data-Plot'!D441)*$P$9)</f>
        <v/>
      </c>
      <c r="Q441" s="22" t="str">
        <f>IF('Data-Plot'!C441="","",MAX('Data-Plot'!$C$11:$C$1010)*(1+$Q$9/100))</f>
        <v/>
      </c>
      <c r="R441" s="22" t="str">
        <f>IF('Data-Plot'!C441="","",('Data-Plot'!C441-'Data-Plot'!D441)*$P$9)</f>
        <v/>
      </c>
    </row>
    <row r="442" spans="16:18" x14ac:dyDescent="0.25">
      <c r="P442" s="22" t="str">
        <f>IF('Data-Plot'!C442="","",$Q$11+('Data-Plot'!C442-'Data-Plot'!D442)*$P$9)</f>
        <v/>
      </c>
      <c r="Q442" s="22" t="str">
        <f>IF('Data-Plot'!C442="","",MAX('Data-Plot'!$C$11:$C$1010)*(1+$Q$9/100))</f>
        <v/>
      </c>
      <c r="R442" s="22" t="str">
        <f>IF('Data-Plot'!C442="","",('Data-Plot'!C442-'Data-Plot'!D442)*$P$9)</f>
        <v/>
      </c>
    </row>
    <row r="443" spans="16:18" x14ac:dyDescent="0.25">
      <c r="P443" s="22" t="str">
        <f>IF('Data-Plot'!C443="","",$Q$11+('Data-Plot'!C443-'Data-Plot'!D443)*$P$9)</f>
        <v/>
      </c>
      <c r="Q443" s="22" t="str">
        <f>IF('Data-Plot'!C443="","",MAX('Data-Plot'!$C$11:$C$1010)*(1+$Q$9/100))</f>
        <v/>
      </c>
      <c r="R443" s="22" t="str">
        <f>IF('Data-Plot'!C443="","",('Data-Plot'!C443-'Data-Plot'!D443)*$P$9)</f>
        <v/>
      </c>
    </row>
    <row r="444" spans="16:18" x14ac:dyDescent="0.25">
      <c r="P444" s="22" t="str">
        <f>IF('Data-Plot'!C444="","",$Q$11+('Data-Plot'!C444-'Data-Plot'!D444)*$P$9)</f>
        <v/>
      </c>
      <c r="Q444" s="22" t="str">
        <f>IF('Data-Plot'!C444="","",MAX('Data-Plot'!$C$11:$C$1010)*(1+$Q$9/100))</f>
        <v/>
      </c>
      <c r="R444" s="22" t="str">
        <f>IF('Data-Plot'!C444="","",('Data-Plot'!C444-'Data-Plot'!D444)*$P$9)</f>
        <v/>
      </c>
    </row>
    <row r="445" spans="16:18" x14ac:dyDescent="0.25">
      <c r="P445" s="22" t="str">
        <f>IF('Data-Plot'!C445="","",$Q$11+('Data-Plot'!C445-'Data-Plot'!D445)*$P$9)</f>
        <v/>
      </c>
      <c r="Q445" s="22" t="str">
        <f>IF('Data-Plot'!C445="","",MAX('Data-Plot'!$C$11:$C$1010)*(1+$Q$9/100))</f>
        <v/>
      </c>
      <c r="R445" s="22" t="str">
        <f>IF('Data-Plot'!C445="","",('Data-Plot'!C445-'Data-Plot'!D445)*$P$9)</f>
        <v/>
      </c>
    </row>
    <row r="446" spans="16:18" x14ac:dyDescent="0.25">
      <c r="P446" s="22" t="str">
        <f>IF('Data-Plot'!C446="","",$Q$11+('Data-Plot'!C446-'Data-Plot'!D446)*$P$9)</f>
        <v/>
      </c>
      <c r="Q446" s="22" t="str">
        <f>IF('Data-Plot'!C446="","",MAX('Data-Plot'!$C$11:$C$1010)*(1+$Q$9/100))</f>
        <v/>
      </c>
      <c r="R446" s="22" t="str">
        <f>IF('Data-Plot'!C446="","",('Data-Plot'!C446-'Data-Plot'!D446)*$P$9)</f>
        <v/>
      </c>
    </row>
    <row r="447" spans="16:18" x14ac:dyDescent="0.25">
      <c r="P447" s="22" t="str">
        <f>IF('Data-Plot'!C447="","",$Q$11+('Data-Plot'!C447-'Data-Plot'!D447)*$P$9)</f>
        <v/>
      </c>
      <c r="Q447" s="22" t="str">
        <f>IF('Data-Plot'!C447="","",MAX('Data-Plot'!$C$11:$C$1010)*(1+$Q$9/100))</f>
        <v/>
      </c>
      <c r="R447" s="22" t="str">
        <f>IF('Data-Plot'!C447="","",('Data-Plot'!C447-'Data-Plot'!D447)*$P$9)</f>
        <v/>
      </c>
    </row>
    <row r="448" spans="16:18" x14ac:dyDescent="0.25">
      <c r="P448" s="22" t="str">
        <f>IF('Data-Plot'!C448="","",$Q$11+('Data-Plot'!C448-'Data-Plot'!D448)*$P$9)</f>
        <v/>
      </c>
      <c r="Q448" s="22" t="str">
        <f>IF('Data-Plot'!C448="","",MAX('Data-Plot'!$C$11:$C$1010)*(1+$Q$9/100))</f>
        <v/>
      </c>
      <c r="R448" s="22" t="str">
        <f>IF('Data-Plot'!C448="","",('Data-Plot'!C448-'Data-Plot'!D448)*$P$9)</f>
        <v/>
      </c>
    </row>
    <row r="449" spans="16:18" x14ac:dyDescent="0.25">
      <c r="P449" s="22" t="str">
        <f>IF('Data-Plot'!C449="","",$Q$11+('Data-Plot'!C449-'Data-Plot'!D449)*$P$9)</f>
        <v/>
      </c>
      <c r="Q449" s="22" t="str">
        <f>IF('Data-Plot'!C449="","",MAX('Data-Plot'!$C$11:$C$1010)*(1+$Q$9/100))</f>
        <v/>
      </c>
      <c r="R449" s="22" t="str">
        <f>IF('Data-Plot'!C449="","",('Data-Plot'!C449-'Data-Plot'!D449)*$P$9)</f>
        <v/>
      </c>
    </row>
    <row r="450" spans="16:18" x14ac:dyDescent="0.25">
      <c r="P450" s="22" t="str">
        <f>IF('Data-Plot'!C450="","",$Q$11+('Data-Plot'!C450-'Data-Plot'!D450)*$P$9)</f>
        <v/>
      </c>
      <c r="Q450" s="22" t="str">
        <f>IF('Data-Plot'!C450="","",MAX('Data-Plot'!$C$11:$C$1010)*(1+$Q$9/100))</f>
        <v/>
      </c>
      <c r="R450" s="22" t="str">
        <f>IF('Data-Plot'!C450="","",('Data-Plot'!C450-'Data-Plot'!D450)*$P$9)</f>
        <v/>
      </c>
    </row>
    <row r="451" spans="16:18" x14ac:dyDescent="0.25">
      <c r="P451" s="22" t="str">
        <f>IF('Data-Plot'!C451="","",$Q$11+('Data-Plot'!C451-'Data-Plot'!D451)*$P$9)</f>
        <v/>
      </c>
      <c r="Q451" s="22" t="str">
        <f>IF('Data-Plot'!C451="","",MAX('Data-Plot'!$C$11:$C$1010)*(1+$Q$9/100))</f>
        <v/>
      </c>
      <c r="R451" s="22" t="str">
        <f>IF('Data-Plot'!C451="","",('Data-Plot'!C451-'Data-Plot'!D451)*$P$9)</f>
        <v/>
      </c>
    </row>
    <row r="452" spans="16:18" x14ac:dyDescent="0.25">
      <c r="P452" s="22" t="str">
        <f>IF('Data-Plot'!C452="","",$Q$11+('Data-Plot'!C452-'Data-Plot'!D452)*$P$9)</f>
        <v/>
      </c>
      <c r="Q452" s="22" t="str">
        <f>IF('Data-Plot'!C452="","",MAX('Data-Plot'!$C$11:$C$1010)*(1+$Q$9/100))</f>
        <v/>
      </c>
      <c r="R452" s="22" t="str">
        <f>IF('Data-Plot'!C452="","",('Data-Plot'!C452-'Data-Plot'!D452)*$P$9)</f>
        <v/>
      </c>
    </row>
    <row r="453" spans="16:18" x14ac:dyDescent="0.25">
      <c r="P453" s="22" t="str">
        <f>IF('Data-Plot'!C453="","",$Q$11+('Data-Plot'!C453-'Data-Plot'!D453)*$P$9)</f>
        <v/>
      </c>
      <c r="Q453" s="22" t="str">
        <f>IF('Data-Plot'!C453="","",MAX('Data-Plot'!$C$11:$C$1010)*(1+$Q$9/100))</f>
        <v/>
      </c>
      <c r="R453" s="22" t="str">
        <f>IF('Data-Plot'!C453="","",('Data-Plot'!C453-'Data-Plot'!D453)*$P$9)</f>
        <v/>
      </c>
    </row>
    <row r="454" spans="16:18" x14ac:dyDescent="0.25">
      <c r="P454" s="22" t="str">
        <f>IF('Data-Plot'!C454="","",$Q$11+('Data-Plot'!C454-'Data-Plot'!D454)*$P$9)</f>
        <v/>
      </c>
      <c r="Q454" s="22" t="str">
        <f>IF('Data-Plot'!C454="","",MAX('Data-Plot'!$C$11:$C$1010)*(1+$Q$9/100))</f>
        <v/>
      </c>
      <c r="R454" s="22" t="str">
        <f>IF('Data-Plot'!C454="","",('Data-Plot'!C454-'Data-Plot'!D454)*$P$9)</f>
        <v/>
      </c>
    </row>
    <row r="455" spans="16:18" x14ac:dyDescent="0.25">
      <c r="P455" s="22" t="str">
        <f>IF('Data-Plot'!C455="","",$Q$11+('Data-Plot'!C455-'Data-Plot'!D455)*$P$9)</f>
        <v/>
      </c>
      <c r="Q455" s="22" t="str">
        <f>IF('Data-Plot'!C455="","",MAX('Data-Plot'!$C$11:$C$1010)*(1+$Q$9/100))</f>
        <v/>
      </c>
      <c r="R455" s="22" t="str">
        <f>IF('Data-Plot'!C455="","",('Data-Plot'!C455-'Data-Plot'!D455)*$P$9)</f>
        <v/>
      </c>
    </row>
    <row r="456" spans="16:18" x14ac:dyDescent="0.25">
      <c r="P456" s="22" t="str">
        <f>IF('Data-Plot'!C456="","",$Q$11+('Data-Plot'!C456-'Data-Plot'!D456)*$P$9)</f>
        <v/>
      </c>
      <c r="Q456" s="22" t="str">
        <f>IF('Data-Plot'!C456="","",MAX('Data-Plot'!$C$11:$C$1010)*(1+$Q$9/100))</f>
        <v/>
      </c>
      <c r="R456" s="22" t="str">
        <f>IF('Data-Plot'!C456="","",('Data-Plot'!C456-'Data-Plot'!D456)*$P$9)</f>
        <v/>
      </c>
    </row>
    <row r="457" spans="16:18" x14ac:dyDescent="0.25">
      <c r="P457" s="22" t="str">
        <f>IF('Data-Plot'!C457="","",$Q$11+('Data-Plot'!C457-'Data-Plot'!D457)*$P$9)</f>
        <v/>
      </c>
      <c r="Q457" s="22" t="str">
        <f>IF('Data-Plot'!C457="","",MAX('Data-Plot'!$C$11:$C$1010)*(1+$Q$9/100))</f>
        <v/>
      </c>
      <c r="R457" s="22" t="str">
        <f>IF('Data-Plot'!C457="","",('Data-Plot'!C457-'Data-Plot'!D457)*$P$9)</f>
        <v/>
      </c>
    </row>
    <row r="458" spans="16:18" x14ac:dyDescent="0.25">
      <c r="P458" s="22" t="str">
        <f>IF('Data-Plot'!C458="","",$Q$11+('Data-Plot'!C458-'Data-Plot'!D458)*$P$9)</f>
        <v/>
      </c>
      <c r="Q458" s="22" t="str">
        <f>IF('Data-Plot'!C458="","",MAX('Data-Plot'!$C$11:$C$1010)*(1+$Q$9/100))</f>
        <v/>
      </c>
      <c r="R458" s="22" t="str">
        <f>IF('Data-Plot'!C458="","",('Data-Plot'!C458-'Data-Plot'!D458)*$P$9)</f>
        <v/>
      </c>
    </row>
    <row r="459" spans="16:18" x14ac:dyDescent="0.25">
      <c r="P459" s="22" t="str">
        <f>IF('Data-Plot'!C459="","",$Q$11+('Data-Plot'!C459-'Data-Plot'!D459)*$P$9)</f>
        <v/>
      </c>
      <c r="Q459" s="22" t="str">
        <f>IF('Data-Plot'!C459="","",MAX('Data-Plot'!$C$11:$C$1010)*(1+$Q$9/100))</f>
        <v/>
      </c>
      <c r="R459" s="22" t="str">
        <f>IF('Data-Plot'!C459="","",('Data-Plot'!C459-'Data-Plot'!D459)*$P$9)</f>
        <v/>
      </c>
    </row>
    <row r="460" spans="16:18" x14ac:dyDescent="0.25">
      <c r="P460" s="22" t="str">
        <f>IF('Data-Plot'!C460="","",$Q$11+('Data-Plot'!C460-'Data-Plot'!D460)*$P$9)</f>
        <v/>
      </c>
      <c r="Q460" s="22" t="str">
        <f>IF('Data-Plot'!C460="","",MAX('Data-Plot'!$C$11:$C$1010)*(1+$Q$9/100))</f>
        <v/>
      </c>
      <c r="R460" s="22" t="str">
        <f>IF('Data-Plot'!C460="","",('Data-Plot'!C460-'Data-Plot'!D460)*$P$9)</f>
        <v/>
      </c>
    </row>
    <row r="461" spans="16:18" x14ac:dyDescent="0.25">
      <c r="P461" s="22" t="str">
        <f>IF('Data-Plot'!C461="","",$Q$11+('Data-Plot'!C461-'Data-Plot'!D461)*$P$9)</f>
        <v/>
      </c>
      <c r="Q461" s="22" t="str">
        <f>IF('Data-Plot'!C461="","",MAX('Data-Plot'!$C$11:$C$1010)*(1+$Q$9/100))</f>
        <v/>
      </c>
      <c r="R461" s="22" t="str">
        <f>IF('Data-Plot'!C461="","",('Data-Plot'!C461-'Data-Plot'!D461)*$P$9)</f>
        <v/>
      </c>
    </row>
    <row r="462" spans="16:18" x14ac:dyDescent="0.25">
      <c r="P462" s="22" t="str">
        <f>IF('Data-Plot'!C462="","",$Q$11+('Data-Plot'!C462-'Data-Plot'!D462)*$P$9)</f>
        <v/>
      </c>
      <c r="Q462" s="22" t="str">
        <f>IF('Data-Plot'!C462="","",MAX('Data-Plot'!$C$11:$C$1010)*(1+$Q$9/100))</f>
        <v/>
      </c>
      <c r="R462" s="22" t="str">
        <f>IF('Data-Plot'!C462="","",('Data-Plot'!C462-'Data-Plot'!D462)*$P$9)</f>
        <v/>
      </c>
    </row>
    <row r="463" spans="16:18" x14ac:dyDescent="0.25">
      <c r="P463" s="22" t="str">
        <f>IF('Data-Plot'!C463="","",$Q$11+('Data-Plot'!C463-'Data-Plot'!D463)*$P$9)</f>
        <v/>
      </c>
      <c r="Q463" s="22" t="str">
        <f>IF('Data-Plot'!C463="","",MAX('Data-Plot'!$C$11:$C$1010)*(1+$Q$9/100))</f>
        <v/>
      </c>
      <c r="R463" s="22" t="str">
        <f>IF('Data-Plot'!C463="","",('Data-Plot'!C463-'Data-Plot'!D463)*$P$9)</f>
        <v/>
      </c>
    </row>
    <row r="464" spans="16:18" x14ac:dyDescent="0.25">
      <c r="P464" s="22" t="str">
        <f>IF('Data-Plot'!C464="","",$Q$11+('Data-Plot'!C464-'Data-Plot'!D464)*$P$9)</f>
        <v/>
      </c>
      <c r="Q464" s="22" t="str">
        <f>IF('Data-Plot'!C464="","",MAX('Data-Plot'!$C$11:$C$1010)*(1+$Q$9/100))</f>
        <v/>
      </c>
      <c r="R464" s="22" t="str">
        <f>IF('Data-Plot'!C464="","",('Data-Plot'!C464-'Data-Plot'!D464)*$P$9)</f>
        <v/>
      </c>
    </row>
    <row r="465" spans="16:18" x14ac:dyDescent="0.25">
      <c r="P465" s="22" t="str">
        <f>IF('Data-Plot'!C465="","",$Q$11+('Data-Plot'!C465-'Data-Plot'!D465)*$P$9)</f>
        <v/>
      </c>
      <c r="Q465" s="22" t="str">
        <f>IF('Data-Plot'!C465="","",MAX('Data-Plot'!$C$11:$C$1010)*(1+$Q$9/100))</f>
        <v/>
      </c>
      <c r="R465" s="22" t="str">
        <f>IF('Data-Plot'!C465="","",('Data-Plot'!C465-'Data-Plot'!D465)*$P$9)</f>
        <v/>
      </c>
    </row>
    <row r="466" spans="16:18" x14ac:dyDescent="0.25">
      <c r="P466" s="22" t="str">
        <f>IF('Data-Plot'!C466="","",$Q$11+('Data-Plot'!C466-'Data-Plot'!D466)*$P$9)</f>
        <v/>
      </c>
      <c r="Q466" s="22" t="str">
        <f>IF('Data-Plot'!C466="","",MAX('Data-Plot'!$C$11:$C$1010)*(1+$Q$9/100))</f>
        <v/>
      </c>
      <c r="R466" s="22" t="str">
        <f>IF('Data-Plot'!C466="","",('Data-Plot'!C466-'Data-Plot'!D466)*$P$9)</f>
        <v/>
      </c>
    </row>
    <row r="467" spans="16:18" x14ac:dyDescent="0.25">
      <c r="P467" s="22" t="str">
        <f>IF('Data-Plot'!C467="","",$Q$11+('Data-Plot'!C467-'Data-Plot'!D467)*$P$9)</f>
        <v/>
      </c>
      <c r="Q467" s="22" t="str">
        <f>IF('Data-Plot'!C467="","",MAX('Data-Plot'!$C$11:$C$1010)*(1+$Q$9/100))</f>
        <v/>
      </c>
      <c r="R467" s="22" t="str">
        <f>IF('Data-Plot'!C467="","",('Data-Plot'!C467-'Data-Plot'!D467)*$P$9)</f>
        <v/>
      </c>
    </row>
    <row r="468" spans="16:18" x14ac:dyDescent="0.25">
      <c r="P468" s="22" t="str">
        <f>IF('Data-Plot'!C468="","",$Q$11+('Data-Plot'!C468-'Data-Plot'!D468)*$P$9)</f>
        <v/>
      </c>
      <c r="Q468" s="22" t="str">
        <f>IF('Data-Plot'!C468="","",MAX('Data-Plot'!$C$11:$C$1010)*(1+$Q$9/100))</f>
        <v/>
      </c>
      <c r="R468" s="22" t="str">
        <f>IF('Data-Plot'!C468="","",('Data-Plot'!C468-'Data-Plot'!D468)*$P$9)</f>
        <v/>
      </c>
    </row>
    <row r="469" spans="16:18" x14ac:dyDescent="0.25">
      <c r="P469" s="22" t="str">
        <f>IF('Data-Plot'!C469="","",$Q$11+('Data-Plot'!C469-'Data-Plot'!D469)*$P$9)</f>
        <v/>
      </c>
      <c r="Q469" s="22" t="str">
        <f>IF('Data-Plot'!C469="","",MAX('Data-Plot'!$C$11:$C$1010)*(1+$Q$9/100))</f>
        <v/>
      </c>
      <c r="R469" s="22" t="str">
        <f>IF('Data-Plot'!C469="","",('Data-Plot'!C469-'Data-Plot'!D469)*$P$9)</f>
        <v/>
      </c>
    </row>
    <row r="470" spans="16:18" x14ac:dyDescent="0.25">
      <c r="P470" s="22" t="str">
        <f>IF('Data-Plot'!C470="","",$Q$11+('Data-Plot'!C470-'Data-Plot'!D470)*$P$9)</f>
        <v/>
      </c>
      <c r="Q470" s="22" t="str">
        <f>IF('Data-Plot'!C470="","",MAX('Data-Plot'!$C$11:$C$1010)*(1+$Q$9/100))</f>
        <v/>
      </c>
      <c r="R470" s="22" t="str">
        <f>IF('Data-Plot'!C470="","",('Data-Plot'!C470-'Data-Plot'!D470)*$P$9)</f>
        <v/>
      </c>
    </row>
    <row r="471" spans="16:18" x14ac:dyDescent="0.25">
      <c r="P471" s="22" t="str">
        <f>IF('Data-Plot'!C471="","",$Q$11+('Data-Plot'!C471-'Data-Plot'!D471)*$P$9)</f>
        <v/>
      </c>
      <c r="Q471" s="22" t="str">
        <f>IF('Data-Plot'!C471="","",MAX('Data-Plot'!$C$11:$C$1010)*(1+$Q$9/100))</f>
        <v/>
      </c>
      <c r="R471" s="22" t="str">
        <f>IF('Data-Plot'!C471="","",('Data-Plot'!C471-'Data-Plot'!D471)*$P$9)</f>
        <v/>
      </c>
    </row>
    <row r="472" spans="16:18" x14ac:dyDescent="0.25">
      <c r="P472" s="22" t="str">
        <f>IF('Data-Plot'!C472="","",$Q$11+('Data-Plot'!C472-'Data-Plot'!D472)*$P$9)</f>
        <v/>
      </c>
      <c r="Q472" s="22" t="str">
        <f>IF('Data-Plot'!C472="","",MAX('Data-Plot'!$C$11:$C$1010)*(1+$Q$9/100))</f>
        <v/>
      </c>
      <c r="R472" s="22" t="str">
        <f>IF('Data-Plot'!C472="","",('Data-Plot'!C472-'Data-Plot'!D472)*$P$9)</f>
        <v/>
      </c>
    </row>
    <row r="473" spans="16:18" x14ac:dyDescent="0.25">
      <c r="P473" s="22" t="str">
        <f>IF('Data-Plot'!C473="","",$Q$11+('Data-Plot'!C473-'Data-Plot'!D473)*$P$9)</f>
        <v/>
      </c>
      <c r="Q473" s="22" t="str">
        <f>IF('Data-Plot'!C473="","",MAX('Data-Plot'!$C$11:$C$1010)*(1+$Q$9/100))</f>
        <v/>
      </c>
      <c r="R473" s="22" t="str">
        <f>IF('Data-Plot'!C473="","",('Data-Plot'!C473-'Data-Plot'!D473)*$P$9)</f>
        <v/>
      </c>
    </row>
    <row r="474" spans="16:18" x14ac:dyDescent="0.25">
      <c r="P474" s="22" t="str">
        <f>IF('Data-Plot'!C474="","",$Q$11+('Data-Plot'!C474-'Data-Plot'!D474)*$P$9)</f>
        <v/>
      </c>
      <c r="Q474" s="22" t="str">
        <f>IF('Data-Plot'!C474="","",MAX('Data-Plot'!$C$11:$C$1010)*(1+$Q$9/100))</f>
        <v/>
      </c>
      <c r="R474" s="22" t="str">
        <f>IF('Data-Plot'!C474="","",('Data-Plot'!C474-'Data-Plot'!D474)*$P$9)</f>
        <v/>
      </c>
    </row>
    <row r="475" spans="16:18" x14ac:dyDescent="0.25">
      <c r="P475" s="22" t="str">
        <f>IF('Data-Plot'!C475="","",$Q$11+('Data-Plot'!C475-'Data-Plot'!D475)*$P$9)</f>
        <v/>
      </c>
      <c r="Q475" s="22" t="str">
        <f>IF('Data-Plot'!C475="","",MAX('Data-Plot'!$C$11:$C$1010)*(1+$Q$9/100))</f>
        <v/>
      </c>
      <c r="R475" s="22" t="str">
        <f>IF('Data-Plot'!C475="","",('Data-Plot'!C475-'Data-Plot'!D475)*$P$9)</f>
        <v/>
      </c>
    </row>
    <row r="476" spans="16:18" x14ac:dyDescent="0.25">
      <c r="P476" s="22" t="str">
        <f>IF('Data-Plot'!C476="","",$Q$11+('Data-Plot'!C476-'Data-Plot'!D476)*$P$9)</f>
        <v/>
      </c>
      <c r="Q476" s="22" t="str">
        <f>IF('Data-Plot'!C476="","",MAX('Data-Plot'!$C$11:$C$1010)*(1+$Q$9/100))</f>
        <v/>
      </c>
      <c r="R476" s="22" t="str">
        <f>IF('Data-Plot'!C476="","",('Data-Plot'!C476-'Data-Plot'!D476)*$P$9)</f>
        <v/>
      </c>
    </row>
    <row r="477" spans="16:18" x14ac:dyDescent="0.25">
      <c r="P477" s="22" t="str">
        <f>IF('Data-Plot'!C477="","",$Q$11+('Data-Plot'!C477-'Data-Plot'!D477)*$P$9)</f>
        <v/>
      </c>
      <c r="Q477" s="22" t="str">
        <f>IF('Data-Plot'!C477="","",MAX('Data-Plot'!$C$11:$C$1010)*(1+$Q$9/100))</f>
        <v/>
      </c>
      <c r="R477" s="22" t="str">
        <f>IF('Data-Plot'!C477="","",('Data-Plot'!C477-'Data-Plot'!D477)*$P$9)</f>
        <v/>
      </c>
    </row>
    <row r="478" spans="16:18" x14ac:dyDescent="0.25">
      <c r="P478" s="22" t="str">
        <f>IF('Data-Plot'!C478="","",$Q$11+('Data-Plot'!C478-'Data-Plot'!D478)*$P$9)</f>
        <v/>
      </c>
      <c r="Q478" s="22" t="str">
        <f>IF('Data-Plot'!C478="","",MAX('Data-Plot'!$C$11:$C$1010)*(1+$Q$9/100))</f>
        <v/>
      </c>
      <c r="R478" s="22" t="str">
        <f>IF('Data-Plot'!C478="","",('Data-Plot'!C478-'Data-Plot'!D478)*$P$9)</f>
        <v/>
      </c>
    </row>
    <row r="479" spans="16:18" x14ac:dyDescent="0.25">
      <c r="P479" s="22" t="str">
        <f>IF('Data-Plot'!C479="","",$Q$11+('Data-Plot'!C479-'Data-Plot'!D479)*$P$9)</f>
        <v/>
      </c>
      <c r="Q479" s="22" t="str">
        <f>IF('Data-Plot'!C479="","",MAX('Data-Plot'!$C$11:$C$1010)*(1+$Q$9/100))</f>
        <v/>
      </c>
      <c r="R479" s="22" t="str">
        <f>IF('Data-Plot'!C479="","",('Data-Plot'!C479-'Data-Plot'!D479)*$P$9)</f>
        <v/>
      </c>
    </row>
    <row r="480" spans="16:18" x14ac:dyDescent="0.25">
      <c r="P480" s="22" t="str">
        <f>IF('Data-Plot'!C480="","",$Q$11+('Data-Plot'!C480-'Data-Plot'!D480)*$P$9)</f>
        <v/>
      </c>
      <c r="Q480" s="22" t="str">
        <f>IF('Data-Plot'!C480="","",MAX('Data-Plot'!$C$11:$C$1010)*(1+$Q$9/100))</f>
        <v/>
      </c>
      <c r="R480" s="22" t="str">
        <f>IF('Data-Plot'!C480="","",('Data-Plot'!C480-'Data-Plot'!D480)*$P$9)</f>
        <v/>
      </c>
    </row>
    <row r="481" spans="16:18" x14ac:dyDescent="0.25">
      <c r="P481" s="22" t="str">
        <f>IF('Data-Plot'!C481="","",$Q$11+('Data-Plot'!C481-'Data-Plot'!D481)*$P$9)</f>
        <v/>
      </c>
      <c r="Q481" s="22" t="str">
        <f>IF('Data-Plot'!C481="","",MAX('Data-Plot'!$C$11:$C$1010)*(1+$Q$9/100))</f>
        <v/>
      </c>
      <c r="R481" s="22" t="str">
        <f>IF('Data-Plot'!C481="","",('Data-Plot'!C481-'Data-Plot'!D481)*$P$9)</f>
        <v/>
      </c>
    </row>
    <row r="482" spans="16:18" x14ac:dyDescent="0.25">
      <c r="P482" s="22" t="str">
        <f>IF('Data-Plot'!C482="","",$Q$11+('Data-Plot'!C482-'Data-Plot'!D482)*$P$9)</f>
        <v/>
      </c>
      <c r="Q482" s="22" t="str">
        <f>IF('Data-Plot'!C482="","",MAX('Data-Plot'!$C$11:$C$1010)*(1+$Q$9/100))</f>
        <v/>
      </c>
      <c r="R482" s="22" t="str">
        <f>IF('Data-Plot'!C482="","",('Data-Plot'!C482-'Data-Plot'!D482)*$P$9)</f>
        <v/>
      </c>
    </row>
    <row r="483" spans="16:18" x14ac:dyDescent="0.25">
      <c r="P483" s="22" t="str">
        <f>IF('Data-Plot'!C483="","",$Q$11+('Data-Plot'!C483-'Data-Plot'!D483)*$P$9)</f>
        <v/>
      </c>
      <c r="Q483" s="22" t="str">
        <f>IF('Data-Plot'!C483="","",MAX('Data-Plot'!$C$11:$C$1010)*(1+$Q$9/100))</f>
        <v/>
      </c>
      <c r="R483" s="22" t="str">
        <f>IF('Data-Plot'!C483="","",('Data-Plot'!C483-'Data-Plot'!D483)*$P$9)</f>
        <v/>
      </c>
    </row>
    <row r="484" spans="16:18" x14ac:dyDescent="0.25">
      <c r="P484" s="22" t="str">
        <f>IF('Data-Plot'!C484="","",$Q$11+('Data-Plot'!C484-'Data-Plot'!D484)*$P$9)</f>
        <v/>
      </c>
      <c r="Q484" s="22" t="str">
        <f>IF('Data-Plot'!C484="","",MAX('Data-Plot'!$C$11:$C$1010)*(1+$Q$9/100))</f>
        <v/>
      </c>
      <c r="R484" s="22" t="str">
        <f>IF('Data-Plot'!C484="","",('Data-Plot'!C484-'Data-Plot'!D484)*$P$9)</f>
        <v/>
      </c>
    </row>
    <row r="485" spans="16:18" x14ac:dyDescent="0.25">
      <c r="P485" s="22" t="str">
        <f>IF('Data-Plot'!C485="","",$Q$11+('Data-Plot'!C485-'Data-Plot'!D485)*$P$9)</f>
        <v/>
      </c>
      <c r="Q485" s="22" t="str">
        <f>IF('Data-Plot'!C485="","",MAX('Data-Plot'!$C$11:$C$1010)*(1+$Q$9/100))</f>
        <v/>
      </c>
      <c r="R485" s="22" t="str">
        <f>IF('Data-Plot'!C485="","",('Data-Plot'!C485-'Data-Plot'!D485)*$P$9)</f>
        <v/>
      </c>
    </row>
    <row r="486" spans="16:18" x14ac:dyDescent="0.25">
      <c r="P486" s="22" t="str">
        <f>IF('Data-Plot'!C486="","",$Q$11+('Data-Plot'!C486-'Data-Plot'!D486)*$P$9)</f>
        <v/>
      </c>
      <c r="Q486" s="22" t="str">
        <f>IF('Data-Plot'!C486="","",MAX('Data-Plot'!$C$11:$C$1010)*(1+$Q$9/100))</f>
        <v/>
      </c>
      <c r="R486" s="22" t="str">
        <f>IF('Data-Plot'!C486="","",('Data-Plot'!C486-'Data-Plot'!D486)*$P$9)</f>
        <v/>
      </c>
    </row>
    <row r="487" spans="16:18" x14ac:dyDescent="0.25">
      <c r="P487" s="22" t="str">
        <f>IF('Data-Plot'!C487="","",$Q$11+('Data-Plot'!C487-'Data-Plot'!D487)*$P$9)</f>
        <v/>
      </c>
      <c r="Q487" s="22" t="str">
        <f>IF('Data-Plot'!C487="","",MAX('Data-Plot'!$C$11:$C$1010)*(1+$Q$9/100))</f>
        <v/>
      </c>
      <c r="R487" s="22" t="str">
        <f>IF('Data-Plot'!C487="","",('Data-Plot'!C487-'Data-Plot'!D487)*$P$9)</f>
        <v/>
      </c>
    </row>
    <row r="488" spans="16:18" x14ac:dyDescent="0.25">
      <c r="P488" s="22" t="str">
        <f>IF('Data-Plot'!C488="","",$Q$11+('Data-Plot'!C488-'Data-Plot'!D488)*$P$9)</f>
        <v/>
      </c>
      <c r="Q488" s="22" t="str">
        <f>IF('Data-Plot'!C488="","",MAX('Data-Plot'!$C$11:$C$1010)*(1+$Q$9/100))</f>
        <v/>
      </c>
      <c r="R488" s="22" t="str">
        <f>IF('Data-Plot'!C488="","",('Data-Plot'!C488-'Data-Plot'!D488)*$P$9)</f>
        <v/>
      </c>
    </row>
    <row r="489" spans="16:18" x14ac:dyDescent="0.25">
      <c r="P489" s="22" t="str">
        <f>IF('Data-Plot'!C489="","",$Q$11+('Data-Plot'!C489-'Data-Plot'!D489)*$P$9)</f>
        <v/>
      </c>
      <c r="Q489" s="22" t="str">
        <f>IF('Data-Plot'!C489="","",MAX('Data-Plot'!$C$11:$C$1010)*(1+$Q$9/100))</f>
        <v/>
      </c>
      <c r="R489" s="22" t="str">
        <f>IF('Data-Plot'!C489="","",('Data-Plot'!C489-'Data-Plot'!D489)*$P$9)</f>
        <v/>
      </c>
    </row>
    <row r="490" spans="16:18" x14ac:dyDescent="0.25">
      <c r="P490" s="22" t="str">
        <f>IF('Data-Plot'!C490="","",$Q$11+('Data-Plot'!C490-'Data-Plot'!D490)*$P$9)</f>
        <v/>
      </c>
      <c r="Q490" s="22" t="str">
        <f>IF('Data-Plot'!C490="","",MAX('Data-Plot'!$C$11:$C$1010)*(1+$Q$9/100))</f>
        <v/>
      </c>
      <c r="R490" s="22" t="str">
        <f>IF('Data-Plot'!C490="","",('Data-Plot'!C490-'Data-Plot'!D490)*$P$9)</f>
        <v/>
      </c>
    </row>
    <row r="491" spans="16:18" x14ac:dyDescent="0.25">
      <c r="P491" s="22" t="str">
        <f>IF('Data-Plot'!C491="","",$Q$11+('Data-Plot'!C491-'Data-Plot'!D491)*$P$9)</f>
        <v/>
      </c>
      <c r="Q491" s="22" t="str">
        <f>IF('Data-Plot'!C491="","",MAX('Data-Plot'!$C$11:$C$1010)*(1+$Q$9/100))</f>
        <v/>
      </c>
      <c r="R491" s="22" t="str">
        <f>IF('Data-Plot'!C491="","",('Data-Plot'!C491-'Data-Plot'!D491)*$P$9)</f>
        <v/>
      </c>
    </row>
    <row r="492" spans="16:18" x14ac:dyDescent="0.25">
      <c r="P492" s="22" t="str">
        <f>IF('Data-Plot'!C492="","",$Q$11+('Data-Plot'!C492-'Data-Plot'!D492)*$P$9)</f>
        <v/>
      </c>
      <c r="Q492" s="22" t="str">
        <f>IF('Data-Plot'!C492="","",MAX('Data-Plot'!$C$11:$C$1010)*(1+$Q$9/100))</f>
        <v/>
      </c>
      <c r="R492" s="22" t="str">
        <f>IF('Data-Plot'!C492="","",('Data-Plot'!C492-'Data-Plot'!D492)*$P$9)</f>
        <v/>
      </c>
    </row>
    <row r="493" spans="16:18" x14ac:dyDescent="0.25">
      <c r="P493" s="22" t="str">
        <f>IF('Data-Plot'!C493="","",$Q$11+('Data-Plot'!C493-'Data-Plot'!D493)*$P$9)</f>
        <v/>
      </c>
      <c r="Q493" s="22" t="str">
        <f>IF('Data-Plot'!C493="","",MAX('Data-Plot'!$C$11:$C$1010)*(1+$Q$9/100))</f>
        <v/>
      </c>
      <c r="R493" s="22" t="str">
        <f>IF('Data-Plot'!C493="","",('Data-Plot'!C493-'Data-Plot'!D493)*$P$9)</f>
        <v/>
      </c>
    </row>
    <row r="494" spans="16:18" x14ac:dyDescent="0.25">
      <c r="P494" s="22" t="str">
        <f>IF('Data-Plot'!C494="","",$Q$11+('Data-Plot'!C494-'Data-Plot'!D494)*$P$9)</f>
        <v/>
      </c>
      <c r="Q494" s="22" t="str">
        <f>IF('Data-Plot'!C494="","",MAX('Data-Plot'!$C$11:$C$1010)*(1+$Q$9/100))</f>
        <v/>
      </c>
      <c r="R494" s="22" t="str">
        <f>IF('Data-Plot'!C494="","",('Data-Plot'!C494-'Data-Plot'!D494)*$P$9)</f>
        <v/>
      </c>
    </row>
    <row r="495" spans="16:18" x14ac:dyDescent="0.25">
      <c r="P495" s="22" t="str">
        <f>IF('Data-Plot'!C495="","",$Q$11+('Data-Plot'!C495-'Data-Plot'!D495)*$P$9)</f>
        <v/>
      </c>
      <c r="Q495" s="22" t="str">
        <f>IF('Data-Plot'!C495="","",MAX('Data-Plot'!$C$11:$C$1010)*(1+$Q$9/100))</f>
        <v/>
      </c>
      <c r="R495" s="22" t="str">
        <f>IF('Data-Plot'!C495="","",('Data-Plot'!C495-'Data-Plot'!D495)*$P$9)</f>
        <v/>
      </c>
    </row>
    <row r="496" spans="16:18" x14ac:dyDescent="0.25">
      <c r="P496" s="22" t="str">
        <f>IF('Data-Plot'!C496="","",$Q$11+('Data-Plot'!C496-'Data-Plot'!D496)*$P$9)</f>
        <v/>
      </c>
      <c r="Q496" s="22" t="str">
        <f>IF('Data-Plot'!C496="","",MAX('Data-Plot'!$C$11:$C$1010)*(1+$Q$9/100))</f>
        <v/>
      </c>
      <c r="R496" s="22" t="str">
        <f>IF('Data-Plot'!C496="","",('Data-Plot'!C496-'Data-Plot'!D496)*$P$9)</f>
        <v/>
      </c>
    </row>
    <row r="497" spans="16:18" x14ac:dyDescent="0.25">
      <c r="P497" s="22" t="str">
        <f>IF('Data-Plot'!C497="","",$Q$11+('Data-Plot'!C497-'Data-Plot'!D497)*$P$9)</f>
        <v/>
      </c>
      <c r="Q497" s="22" t="str">
        <f>IF('Data-Plot'!C497="","",MAX('Data-Plot'!$C$11:$C$1010)*(1+$Q$9/100))</f>
        <v/>
      </c>
      <c r="R497" s="22" t="str">
        <f>IF('Data-Plot'!C497="","",('Data-Plot'!C497-'Data-Plot'!D497)*$P$9)</f>
        <v/>
      </c>
    </row>
    <row r="498" spans="16:18" x14ac:dyDescent="0.25">
      <c r="P498" s="22" t="str">
        <f>IF('Data-Plot'!C498="","",$Q$11+('Data-Plot'!C498-'Data-Plot'!D498)*$P$9)</f>
        <v/>
      </c>
      <c r="Q498" s="22" t="str">
        <f>IF('Data-Plot'!C498="","",MAX('Data-Plot'!$C$11:$C$1010)*(1+$Q$9/100))</f>
        <v/>
      </c>
      <c r="R498" s="22" t="str">
        <f>IF('Data-Plot'!C498="","",('Data-Plot'!C498-'Data-Plot'!D498)*$P$9)</f>
        <v/>
      </c>
    </row>
    <row r="499" spans="16:18" x14ac:dyDescent="0.25">
      <c r="P499" s="22" t="str">
        <f>IF('Data-Plot'!C499="","",$Q$11+('Data-Plot'!C499-'Data-Plot'!D499)*$P$9)</f>
        <v/>
      </c>
      <c r="Q499" s="22" t="str">
        <f>IF('Data-Plot'!C499="","",MAX('Data-Plot'!$C$11:$C$1010)*(1+$Q$9/100))</f>
        <v/>
      </c>
      <c r="R499" s="22" t="str">
        <f>IF('Data-Plot'!C499="","",('Data-Plot'!C499-'Data-Plot'!D499)*$P$9)</f>
        <v/>
      </c>
    </row>
    <row r="500" spans="16:18" x14ac:dyDescent="0.25">
      <c r="P500" s="22" t="str">
        <f>IF('Data-Plot'!C500="","",$Q$11+('Data-Plot'!C500-'Data-Plot'!D500)*$P$9)</f>
        <v/>
      </c>
      <c r="Q500" s="22" t="str">
        <f>IF('Data-Plot'!C500="","",MAX('Data-Plot'!$C$11:$C$1010)*(1+$Q$9/100))</f>
        <v/>
      </c>
      <c r="R500" s="22" t="str">
        <f>IF('Data-Plot'!C500="","",('Data-Plot'!C500-'Data-Plot'!D500)*$P$9)</f>
        <v/>
      </c>
    </row>
    <row r="501" spans="16:18" x14ac:dyDescent="0.25">
      <c r="P501" s="22" t="str">
        <f>IF('Data-Plot'!C501="","",$Q$11+('Data-Plot'!C501-'Data-Plot'!D501)*$P$9)</f>
        <v/>
      </c>
      <c r="Q501" s="22" t="str">
        <f>IF('Data-Plot'!C501="","",MAX('Data-Plot'!$C$11:$C$1010)*(1+$Q$9/100))</f>
        <v/>
      </c>
      <c r="R501" s="22" t="str">
        <f>IF('Data-Plot'!C501="","",('Data-Plot'!C501-'Data-Plot'!D501)*$P$9)</f>
        <v/>
      </c>
    </row>
    <row r="502" spans="16:18" x14ac:dyDescent="0.25">
      <c r="P502" s="22" t="str">
        <f>IF('Data-Plot'!C502="","",$Q$11+('Data-Plot'!C502-'Data-Plot'!D502)*$P$9)</f>
        <v/>
      </c>
      <c r="Q502" s="22" t="str">
        <f>IF('Data-Plot'!C502="","",MAX('Data-Plot'!$C$11:$C$1010)*(1+$Q$9/100))</f>
        <v/>
      </c>
      <c r="R502" s="22" t="str">
        <f>IF('Data-Plot'!C502="","",('Data-Plot'!C502-'Data-Plot'!D502)*$P$9)</f>
        <v/>
      </c>
    </row>
    <row r="503" spans="16:18" x14ac:dyDescent="0.25">
      <c r="P503" s="22" t="str">
        <f>IF('Data-Plot'!C503="","",$Q$11+('Data-Plot'!C503-'Data-Plot'!D503)*$P$9)</f>
        <v/>
      </c>
      <c r="Q503" s="22" t="str">
        <f>IF('Data-Plot'!C503="","",MAX('Data-Plot'!$C$11:$C$1010)*(1+$Q$9/100))</f>
        <v/>
      </c>
      <c r="R503" s="22" t="str">
        <f>IF('Data-Plot'!C503="","",('Data-Plot'!C503-'Data-Plot'!D503)*$P$9)</f>
        <v/>
      </c>
    </row>
    <row r="504" spans="16:18" x14ac:dyDescent="0.25">
      <c r="P504" s="22" t="str">
        <f>IF('Data-Plot'!C504="","",$Q$11+('Data-Plot'!C504-'Data-Plot'!D504)*$P$9)</f>
        <v/>
      </c>
      <c r="Q504" s="22" t="str">
        <f>IF('Data-Plot'!C504="","",MAX('Data-Plot'!$C$11:$C$1010)*(1+$Q$9/100))</f>
        <v/>
      </c>
      <c r="R504" s="22" t="str">
        <f>IF('Data-Plot'!C504="","",('Data-Plot'!C504-'Data-Plot'!D504)*$P$9)</f>
        <v/>
      </c>
    </row>
    <row r="505" spans="16:18" x14ac:dyDescent="0.25">
      <c r="P505" s="22" t="str">
        <f>IF('Data-Plot'!C505="","",$Q$11+('Data-Plot'!C505-'Data-Plot'!D505)*$P$9)</f>
        <v/>
      </c>
      <c r="Q505" s="22" t="str">
        <f>IF('Data-Plot'!C505="","",MAX('Data-Plot'!$C$11:$C$1010)*(1+$Q$9/100))</f>
        <v/>
      </c>
      <c r="R505" s="22" t="str">
        <f>IF('Data-Plot'!C505="","",('Data-Plot'!C505-'Data-Plot'!D505)*$P$9)</f>
        <v/>
      </c>
    </row>
    <row r="506" spans="16:18" x14ac:dyDescent="0.25">
      <c r="P506" s="22" t="str">
        <f>IF('Data-Plot'!C506="","",$Q$11+('Data-Plot'!C506-'Data-Plot'!D506)*$P$9)</f>
        <v/>
      </c>
      <c r="Q506" s="22" t="str">
        <f>IF('Data-Plot'!C506="","",MAX('Data-Plot'!$C$11:$C$1010)*(1+$Q$9/100))</f>
        <v/>
      </c>
      <c r="R506" s="22" t="str">
        <f>IF('Data-Plot'!C506="","",('Data-Plot'!C506-'Data-Plot'!D506)*$P$9)</f>
        <v/>
      </c>
    </row>
    <row r="507" spans="16:18" x14ac:dyDescent="0.25">
      <c r="P507" s="22" t="str">
        <f>IF('Data-Plot'!C507="","",$Q$11+('Data-Plot'!C507-'Data-Plot'!D507)*$P$9)</f>
        <v/>
      </c>
      <c r="Q507" s="22" t="str">
        <f>IF('Data-Plot'!C507="","",MAX('Data-Plot'!$C$11:$C$1010)*(1+$Q$9/100))</f>
        <v/>
      </c>
      <c r="R507" s="22" t="str">
        <f>IF('Data-Plot'!C507="","",('Data-Plot'!C507-'Data-Plot'!D507)*$P$9)</f>
        <v/>
      </c>
    </row>
    <row r="508" spans="16:18" x14ac:dyDescent="0.25">
      <c r="P508" s="22" t="str">
        <f>IF('Data-Plot'!C508="","",$Q$11+('Data-Plot'!C508-'Data-Plot'!D508)*$P$9)</f>
        <v/>
      </c>
      <c r="Q508" s="22" t="str">
        <f>IF('Data-Plot'!C508="","",MAX('Data-Plot'!$C$11:$C$1010)*(1+$Q$9/100))</f>
        <v/>
      </c>
      <c r="R508" s="22" t="str">
        <f>IF('Data-Plot'!C508="","",('Data-Plot'!C508-'Data-Plot'!D508)*$P$9)</f>
        <v/>
      </c>
    </row>
    <row r="509" spans="16:18" x14ac:dyDescent="0.25">
      <c r="P509" s="22" t="str">
        <f>IF('Data-Plot'!C509="","",$Q$11+('Data-Plot'!C509-'Data-Plot'!D509)*$P$9)</f>
        <v/>
      </c>
      <c r="Q509" s="22" t="str">
        <f>IF('Data-Plot'!C509="","",MAX('Data-Plot'!$C$11:$C$1010)*(1+$Q$9/100))</f>
        <v/>
      </c>
      <c r="R509" s="22" t="str">
        <f>IF('Data-Plot'!C509="","",('Data-Plot'!C509-'Data-Plot'!D509)*$P$9)</f>
        <v/>
      </c>
    </row>
    <row r="510" spans="16:18" x14ac:dyDescent="0.25">
      <c r="P510" s="22" t="str">
        <f>IF('Data-Plot'!C510="","",$Q$11+('Data-Plot'!C510-'Data-Plot'!D510)*$P$9)</f>
        <v/>
      </c>
      <c r="Q510" s="22" t="str">
        <f>IF('Data-Plot'!C510="","",MAX('Data-Plot'!$C$11:$C$1010)*(1+$Q$9/100))</f>
        <v/>
      </c>
      <c r="R510" s="22" t="str">
        <f>IF('Data-Plot'!C510="","",('Data-Plot'!C510-'Data-Plot'!D510)*$P$9)</f>
        <v/>
      </c>
    </row>
    <row r="511" spans="16:18" x14ac:dyDescent="0.25">
      <c r="P511" s="22" t="str">
        <f>IF('Data-Plot'!C511="","",$Q$11+('Data-Plot'!C511-'Data-Plot'!D511)*$P$9)</f>
        <v/>
      </c>
      <c r="Q511" s="22" t="str">
        <f>IF('Data-Plot'!C511="","",MAX('Data-Plot'!$C$11:$C$1010)*(1+$Q$9/100))</f>
        <v/>
      </c>
      <c r="R511" s="22" t="str">
        <f>IF('Data-Plot'!C511="","",('Data-Plot'!C511-'Data-Plot'!D511)*$P$9)</f>
        <v/>
      </c>
    </row>
    <row r="512" spans="16:18" x14ac:dyDescent="0.25">
      <c r="P512" s="22" t="str">
        <f>IF('Data-Plot'!C512="","",$Q$11+('Data-Plot'!C512-'Data-Plot'!D512)*$P$9)</f>
        <v/>
      </c>
      <c r="Q512" s="22" t="str">
        <f>IF('Data-Plot'!C512="","",MAX('Data-Plot'!$C$11:$C$1010)*(1+$Q$9/100))</f>
        <v/>
      </c>
      <c r="R512" s="22" t="str">
        <f>IF('Data-Plot'!C512="","",('Data-Plot'!C512-'Data-Plot'!D512)*$P$9)</f>
        <v/>
      </c>
    </row>
    <row r="513" spans="16:18" x14ac:dyDescent="0.25">
      <c r="P513" s="22" t="str">
        <f>IF('Data-Plot'!C513="","",$Q$11+('Data-Plot'!C513-'Data-Plot'!D513)*$P$9)</f>
        <v/>
      </c>
      <c r="Q513" s="22" t="str">
        <f>IF('Data-Plot'!C513="","",MAX('Data-Plot'!$C$11:$C$1010)*(1+$Q$9/100))</f>
        <v/>
      </c>
      <c r="R513" s="22" t="str">
        <f>IF('Data-Plot'!C513="","",('Data-Plot'!C513-'Data-Plot'!D513)*$P$9)</f>
        <v/>
      </c>
    </row>
    <row r="514" spans="16:18" x14ac:dyDescent="0.25">
      <c r="P514" s="22" t="str">
        <f>IF('Data-Plot'!C514="","",$Q$11+('Data-Plot'!C514-'Data-Plot'!D514)*$P$9)</f>
        <v/>
      </c>
      <c r="Q514" s="22" t="str">
        <f>IF('Data-Plot'!C514="","",MAX('Data-Plot'!$C$11:$C$1010)*(1+$Q$9/100))</f>
        <v/>
      </c>
      <c r="R514" s="22" t="str">
        <f>IF('Data-Plot'!C514="","",('Data-Plot'!C514-'Data-Plot'!D514)*$P$9)</f>
        <v/>
      </c>
    </row>
    <row r="515" spans="16:18" x14ac:dyDescent="0.25">
      <c r="P515" s="22" t="str">
        <f>IF('Data-Plot'!C515="","",$Q$11+('Data-Plot'!C515-'Data-Plot'!D515)*$P$9)</f>
        <v/>
      </c>
      <c r="Q515" s="22" t="str">
        <f>IF('Data-Plot'!C515="","",MAX('Data-Plot'!$C$11:$C$1010)*(1+$Q$9/100))</f>
        <v/>
      </c>
      <c r="R515" s="22" t="str">
        <f>IF('Data-Plot'!C515="","",('Data-Plot'!C515-'Data-Plot'!D515)*$P$9)</f>
        <v/>
      </c>
    </row>
    <row r="516" spans="16:18" x14ac:dyDescent="0.25">
      <c r="P516" s="22" t="str">
        <f>IF('Data-Plot'!C516="","",$Q$11+('Data-Plot'!C516-'Data-Plot'!D516)*$P$9)</f>
        <v/>
      </c>
      <c r="Q516" s="22" t="str">
        <f>IF('Data-Plot'!C516="","",MAX('Data-Plot'!$C$11:$C$1010)*(1+$Q$9/100))</f>
        <v/>
      </c>
      <c r="R516" s="22" t="str">
        <f>IF('Data-Plot'!C516="","",('Data-Plot'!C516-'Data-Plot'!D516)*$P$9)</f>
        <v/>
      </c>
    </row>
    <row r="517" spans="16:18" x14ac:dyDescent="0.25">
      <c r="P517" s="22" t="str">
        <f>IF('Data-Plot'!C517="","",$Q$11+('Data-Plot'!C517-'Data-Plot'!D517)*$P$9)</f>
        <v/>
      </c>
      <c r="Q517" s="22" t="str">
        <f>IF('Data-Plot'!C517="","",MAX('Data-Plot'!$C$11:$C$1010)*(1+$Q$9/100))</f>
        <v/>
      </c>
      <c r="R517" s="22" t="str">
        <f>IF('Data-Plot'!C517="","",('Data-Plot'!C517-'Data-Plot'!D517)*$P$9)</f>
        <v/>
      </c>
    </row>
    <row r="518" spans="16:18" x14ac:dyDescent="0.25">
      <c r="P518" s="22" t="str">
        <f>IF('Data-Plot'!C518="","",$Q$11+('Data-Plot'!C518-'Data-Plot'!D518)*$P$9)</f>
        <v/>
      </c>
      <c r="Q518" s="22" t="str">
        <f>IF('Data-Plot'!C518="","",MAX('Data-Plot'!$C$11:$C$1010)*(1+$Q$9/100))</f>
        <v/>
      </c>
      <c r="R518" s="22" t="str">
        <f>IF('Data-Plot'!C518="","",('Data-Plot'!C518-'Data-Plot'!D518)*$P$9)</f>
        <v/>
      </c>
    </row>
    <row r="519" spans="16:18" x14ac:dyDescent="0.25">
      <c r="P519" s="22" t="str">
        <f>IF('Data-Plot'!C519="","",$Q$11+('Data-Plot'!C519-'Data-Plot'!D519)*$P$9)</f>
        <v/>
      </c>
      <c r="Q519" s="22" t="str">
        <f>IF('Data-Plot'!C519="","",MAX('Data-Plot'!$C$11:$C$1010)*(1+$Q$9/100))</f>
        <v/>
      </c>
      <c r="R519" s="22" t="str">
        <f>IF('Data-Plot'!C519="","",('Data-Plot'!C519-'Data-Plot'!D519)*$P$9)</f>
        <v/>
      </c>
    </row>
    <row r="520" spans="16:18" x14ac:dyDescent="0.25">
      <c r="P520" s="22" t="str">
        <f>IF('Data-Plot'!C520="","",$Q$11+('Data-Plot'!C520-'Data-Plot'!D520)*$P$9)</f>
        <v/>
      </c>
      <c r="Q520" s="22" t="str">
        <f>IF('Data-Plot'!C520="","",MAX('Data-Plot'!$C$11:$C$1010)*(1+$Q$9/100))</f>
        <v/>
      </c>
      <c r="R520" s="22" t="str">
        <f>IF('Data-Plot'!C520="","",('Data-Plot'!C520-'Data-Plot'!D520)*$P$9)</f>
        <v/>
      </c>
    </row>
    <row r="521" spans="16:18" x14ac:dyDescent="0.25">
      <c r="P521" s="22" t="str">
        <f>IF('Data-Plot'!C521="","",$Q$11+('Data-Plot'!C521-'Data-Plot'!D521)*$P$9)</f>
        <v/>
      </c>
      <c r="Q521" s="22" t="str">
        <f>IF('Data-Plot'!C521="","",MAX('Data-Plot'!$C$11:$C$1010)*(1+$Q$9/100))</f>
        <v/>
      </c>
      <c r="R521" s="22" t="str">
        <f>IF('Data-Plot'!C521="","",('Data-Plot'!C521-'Data-Plot'!D521)*$P$9)</f>
        <v/>
      </c>
    </row>
    <row r="522" spans="16:18" x14ac:dyDescent="0.25">
      <c r="P522" s="22" t="str">
        <f>IF('Data-Plot'!C522="","",$Q$11+('Data-Plot'!C522-'Data-Plot'!D522)*$P$9)</f>
        <v/>
      </c>
      <c r="Q522" s="22" t="str">
        <f>IF('Data-Plot'!C522="","",MAX('Data-Plot'!$C$11:$C$1010)*(1+$Q$9/100))</f>
        <v/>
      </c>
      <c r="R522" s="22" t="str">
        <f>IF('Data-Plot'!C522="","",('Data-Plot'!C522-'Data-Plot'!D522)*$P$9)</f>
        <v/>
      </c>
    </row>
    <row r="523" spans="16:18" x14ac:dyDescent="0.25">
      <c r="P523" s="22" t="str">
        <f>IF('Data-Plot'!C523="","",$Q$11+('Data-Plot'!C523-'Data-Plot'!D523)*$P$9)</f>
        <v/>
      </c>
      <c r="Q523" s="22" t="str">
        <f>IF('Data-Plot'!C523="","",MAX('Data-Plot'!$C$11:$C$1010)*(1+$Q$9/100))</f>
        <v/>
      </c>
      <c r="R523" s="22" t="str">
        <f>IF('Data-Plot'!C523="","",('Data-Plot'!C523-'Data-Plot'!D523)*$P$9)</f>
        <v/>
      </c>
    </row>
    <row r="524" spans="16:18" x14ac:dyDescent="0.25">
      <c r="P524" s="22" t="str">
        <f>IF('Data-Plot'!C524="","",$Q$11+('Data-Plot'!C524-'Data-Plot'!D524)*$P$9)</f>
        <v/>
      </c>
      <c r="Q524" s="22" t="str">
        <f>IF('Data-Plot'!C524="","",MAX('Data-Plot'!$C$11:$C$1010)*(1+$Q$9/100))</f>
        <v/>
      </c>
      <c r="R524" s="22" t="str">
        <f>IF('Data-Plot'!C524="","",('Data-Plot'!C524-'Data-Plot'!D524)*$P$9)</f>
        <v/>
      </c>
    </row>
    <row r="525" spans="16:18" x14ac:dyDescent="0.25">
      <c r="P525" s="22" t="str">
        <f>IF('Data-Plot'!C525="","",$Q$11+('Data-Plot'!C525-'Data-Plot'!D525)*$P$9)</f>
        <v/>
      </c>
      <c r="Q525" s="22" t="str">
        <f>IF('Data-Plot'!C525="","",MAX('Data-Plot'!$C$11:$C$1010)*(1+$Q$9/100))</f>
        <v/>
      </c>
      <c r="R525" s="22" t="str">
        <f>IF('Data-Plot'!C525="","",('Data-Plot'!C525-'Data-Plot'!D525)*$P$9)</f>
        <v/>
      </c>
    </row>
    <row r="526" spans="16:18" x14ac:dyDescent="0.25">
      <c r="P526" s="22" t="str">
        <f>IF('Data-Plot'!C526="","",$Q$11+('Data-Plot'!C526-'Data-Plot'!D526)*$P$9)</f>
        <v/>
      </c>
      <c r="Q526" s="22" t="str">
        <f>IF('Data-Plot'!C526="","",MAX('Data-Plot'!$C$11:$C$1010)*(1+$Q$9/100))</f>
        <v/>
      </c>
      <c r="R526" s="22" t="str">
        <f>IF('Data-Plot'!C526="","",('Data-Plot'!C526-'Data-Plot'!D526)*$P$9)</f>
        <v/>
      </c>
    </row>
    <row r="527" spans="16:18" x14ac:dyDescent="0.25">
      <c r="P527" s="22" t="str">
        <f>IF('Data-Plot'!C527="","",$Q$11+('Data-Plot'!C527-'Data-Plot'!D527)*$P$9)</f>
        <v/>
      </c>
      <c r="Q527" s="22" t="str">
        <f>IF('Data-Plot'!C527="","",MAX('Data-Plot'!$C$11:$C$1010)*(1+$Q$9/100))</f>
        <v/>
      </c>
      <c r="R527" s="22" t="str">
        <f>IF('Data-Plot'!C527="","",('Data-Plot'!C527-'Data-Plot'!D527)*$P$9)</f>
        <v/>
      </c>
    </row>
    <row r="528" spans="16:18" x14ac:dyDescent="0.25">
      <c r="P528" s="22" t="str">
        <f>IF('Data-Plot'!C528="","",$Q$11+('Data-Plot'!C528-'Data-Plot'!D528)*$P$9)</f>
        <v/>
      </c>
      <c r="Q528" s="22" t="str">
        <f>IF('Data-Plot'!C528="","",MAX('Data-Plot'!$C$11:$C$1010)*(1+$Q$9/100))</f>
        <v/>
      </c>
      <c r="R528" s="22" t="str">
        <f>IF('Data-Plot'!C528="","",('Data-Plot'!C528-'Data-Plot'!D528)*$P$9)</f>
        <v/>
      </c>
    </row>
    <row r="529" spans="16:18" x14ac:dyDescent="0.25">
      <c r="P529" s="22" t="str">
        <f>IF('Data-Plot'!C529="","",$Q$11+('Data-Plot'!C529-'Data-Plot'!D529)*$P$9)</f>
        <v/>
      </c>
      <c r="Q529" s="22" t="str">
        <f>IF('Data-Plot'!C529="","",MAX('Data-Plot'!$C$11:$C$1010)*(1+$Q$9/100))</f>
        <v/>
      </c>
      <c r="R529" s="22" t="str">
        <f>IF('Data-Plot'!C529="","",('Data-Plot'!C529-'Data-Plot'!D529)*$P$9)</f>
        <v/>
      </c>
    </row>
    <row r="530" spans="16:18" x14ac:dyDescent="0.25">
      <c r="P530" s="22" t="str">
        <f>IF('Data-Plot'!C530="","",$Q$11+('Data-Plot'!C530-'Data-Plot'!D530)*$P$9)</f>
        <v/>
      </c>
      <c r="Q530" s="22" t="str">
        <f>IF('Data-Plot'!C530="","",MAX('Data-Plot'!$C$11:$C$1010)*(1+$Q$9/100))</f>
        <v/>
      </c>
      <c r="R530" s="22" t="str">
        <f>IF('Data-Plot'!C530="","",('Data-Plot'!C530-'Data-Plot'!D530)*$P$9)</f>
        <v/>
      </c>
    </row>
    <row r="531" spans="16:18" x14ac:dyDescent="0.25">
      <c r="P531" s="22" t="str">
        <f>IF('Data-Plot'!C531="","",$Q$11+('Data-Plot'!C531-'Data-Plot'!D531)*$P$9)</f>
        <v/>
      </c>
      <c r="Q531" s="22" t="str">
        <f>IF('Data-Plot'!C531="","",MAX('Data-Plot'!$C$11:$C$1010)*(1+$Q$9/100))</f>
        <v/>
      </c>
      <c r="R531" s="22" t="str">
        <f>IF('Data-Plot'!C531="","",('Data-Plot'!C531-'Data-Plot'!D531)*$P$9)</f>
        <v/>
      </c>
    </row>
    <row r="532" spans="16:18" x14ac:dyDescent="0.25">
      <c r="P532" s="22" t="str">
        <f>IF('Data-Plot'!C532="","",$Q$11+('Data-Plot'!C532-'Data-Plot'!D532)*$P$9)</f>
        <v/>
      </c>
      <c r="Q532" s="22" t="str">
        <f>IF('Data-Plot'!C532="","",MAX('Data-Plot'!$C$11:$C$1010)*(1+$Q$9/100))</f>
        <v/>
      </c>
      <c r="R532" s="22" t="str">
        <f>IF('Data-Plot'!C532="","",('Data-Plot'!C532-'Data-Plot'!D532)*$P$9)</f>
        <v/>
      </c>
    </row>
    <row r="533" spans="16:18" x14ac:dyDescent="0.25">
      <c r="P533" s="22" t="str">
        <f>IF('Data-Plot'!C533="","",$Q$11+('Data-Plot'!C533-'Data-Plot'!D533)*$P$9)</f>
        <v/>
      </c>
      <c r="Q533" s="22" t="str">
        <f>IF('Data-Plot'!C533="","",MAX('Data-Plot'!$C$11:$C$1010)*(1+$Q$9/100))</f>
        <v/>
      </c>
      <c r="R533" s="22" t="str">
        <f>IF('Data-Plot'!C533="","",('Data-Plot'!C533-'Data-Plot'!D533)*$P$9)</f>
        <v/>
      </c>
    </row>
    <row r="534" spans="16:18" x14ac:dyDescent="0.25">
      <c r="P534" s="22" t="str">
        <f>IF('Data-Plot'!C534="","",$Q$11+('Data-Plot'!C534-'Data-Plot'!D534)*$P$9)</f>
        <v/>
      </c>
      <c r="Q534" s="22" t="str">
        <f>IF('Data-Plot'!C534="","",MAX('Data-Plot'!$C$11:$C$1010)*(1+$Q$9/100))</f>
        <v/>
      </c>
      <c r="R534" s="22" t="str">
        <f>IF('Data-Plot'!C534="","",('Data-Plot'!C534-'Data-Plot'!D534)*$P$9)</f>
        <v/>
      </c>
    </row>
    <row r="535" spans="16:18" x14ac:dyDescent="0.25">
      <c r="P535" s="22" t="str">
        <f>IF('Data-Plot'!C535="","",$Q$11+('Data-Plot'!C535-'Data-Plot'!D535)*$P$9)</f>
        <v/>
      </c>
      <c r="Q535" s="22" t="str">
        <f>IF('Data-Plot'!C535="","",MAX('Data-Plot'!$C$11:$C$1010)*(1+$Q$9/100))</f>
        <v/>
      </c>
      <c r="R535" s="22" t="str">
        <f>IF('Data-Plot'!C535="","",('Data-Plot'!C535-'Data-Plot'!D535)*$P$9)</f>
        <v/>
      </c>
    </row>
    <row r="536" spans="16:18" x14ac:dyDescent="0.25">
      <c r="P536" s="22" t="str">
        <f>IF('Data-Plot'!C536="","",$Q$11+('Data-Plot'!C536-'Data-Plot'!D536)*$P$9)</f>
        <v/>
      </c>
      <c r="Q536" s="22" t="str">
        <f>IF('Data-Plot'!C536="","",MAX('Data-Plot'!$C$11:$C$1010)*(1+$Q$9/100))</f>
        <v/>
      </c>
      <c r="R536" s="22" t="str">
        <f>IF('Data-Plot'!C536="","",('Data-Plot'!C536-'Data-Plot'!D536)*$P$9)</f>
        <v/>
      </c>
    </row>
    <row r="537" spans="16:18" x14ac:dyDescent="0.25">
      <c r="P537" s="22" t="str">
        <f>IF('Data-Plot'!C537="","",$Q$11+('Data-Plot'!C537-'Data-Plot'!D537)*$P$9)</f>
        <v/>
      </c>
      <c r="Q537" s="22" t="str">
        <f>IF('Data-Plot'!C537="","",MAX('Data-Plot'!$C$11:$C$1010)*(1+$Q$9/100))</f>
        <v/>
      </c>
      <c r="R537" s="22" t="str">
        <f>IF('Data-Plot'!C537="","",('Data-Plot'!C537-'Data-Plot'!D537)*$P$9)</f>
        <v/>
      </c>
    </row>
    <row r="538" spans="16:18" x14ac:dyDescent="0.25">
      <c r="P538" s="22" t="str">
        <f>IF('Data-Plot'!C538="","",$Q$11+('Data-Plot'!C538-'Data-Plot'!D538)*$P$9)</f>
        <v/>
      </c>
      <c r="Q538" s="22" t="str">
        <f>IF('Data-Plot'!C538="","",MAX('Data-Plot'!$C$11:$C$1010)*(1+$Q$9/100))</f>
        <v/>
      </c>
      <c r="R538" s="22" t="str">
        <f>IF('Data-Plot'!C538="","",('Data-Plot'!C538-'Data-Plot'!D538)*$P$9)</f>
        <v/>
      </c>
    </row>
    <row r="539" spans="16:18" x14ac:dyDescent="0.25">
      <c r="P539" s="22" t="str">
        <f>IF('Data-Plot'!C539="","",$Q$11+('Data-Plot'!C539-'Data-Plot'!D539)*$P$9)</f>
        <v/>
      </c>
      <c r="Q539" s="22" t="str">
        <f>IF('Data-Plot'!C539="","",MAX('Data-Plot'!$C$11:$C$1010)*(1+$Q$9/100))</f>
        <v/>
      </c>
      <c r="R539" s="22" t="str">
        <f>IF('Data-Plot'!C539="","",('Data-Plot'!C539-'Data-Plot'!D539)*$P$9)</f>
        <v/>
      </c>
    </row>
    <row r="540" spans="16:18" x14ac:dyDescent="0.25">
      <c r="P540" s="22" t="str">
        <f>IF('Data-Plot'!C540="","",$Q$11+('Data-Plot'!C540-'Data-Plot'!D540)*$P$9)</f>
        <v/>
      </c>
      <c r="Q540" s="22" t="str">
        <f>IF('Data-Plot'!C540="","",MAX('Data-Plot'!$C$11:$C$1010)*(1+$Q$9/100))</f>
        <v/>
      </c>
      <c r="R540" s="22" t="str">
        <f>IF('Data-Plot'!C540="","",('Data-Plot'!C540-'Data-Plot'!D540)*$P$9)</f>
        <v/>
      </c>
    </row>
    <row r="541" spans="16:18" x14ac:dyDescent="0.25">
      <c r="P541" s="22" t="str">
        <f>IF('Data-Plot'!C541="","",$Q$11+('Data-Plot'!C541-'Data-Plot'!D541)*$P$9)</f>
        <v/>
      </c>
      <c r="Q541" s="22" t="str">
        <f>IF('Data-Plot'!C541="","",MAX('Data-Plot'!$C$11:$C$1010)*(1+$Q$9/100))</f>
        <v/>
      </c>
      <c r="R541" s="22" t="str">
        <f>IF('Data-Plot'!C541="","",('Data-Plot'!C541-'Data-Plot'!D541)*$P$9)</f>
        <v/>
      </c>
    </row>
    <row r="542" spans="16:18" x14ac:dyDescent="0.25">
      <c r="P542" s="22" t="str">
        <f>IF('Data-Plot'!C542="","",$Q$11+('Data-Plot'!C542-'Data-Plot'!D542)*$P$9)</f>
        <v/>
      </c>
      <c r="Q542" s="22" t="str">
        <f>IF('Data-Plot'!C542="","",MAX('Data-Plot'!$C$11:$C$1010)*(1+$Q$9/100))</f>
        <v/>
      </c>
      <c r="R542" s="22" t="str">
        <f>IF('Data-Plot'!C542="","",('Data-Plot'!C542-'Data-Plot'!D542)*$P$9)</f>
        <v/>
      </c>
    </row>
    <row r="543" spans="16:18" x14ac:dyDescent="0.25">
      <c r="P543" s="22" t="str">
        <f>IF('Data-Plot'!C543="","",$Q$11+('Data-Plot'!C543-'Data-Plot'!D543)*$P$9)</f>
        <v/>
      </c>
      <c r="Q543" s="22" t="str">
        <f>IF('Data-Plot'!C543="","",MAX('Data-Plot'!$C$11:$C$1010)*(1+$Q$9/100))</f>
        <v/>
      </c>
      <c r="R543" s="22" t="str">
        <f>IF('Data-Plot'!C543="","",('Data-Plot'!C543-'Data-Plot'!D543)*$P$9)</f>
        <v/>
      </c>
    </row>
    <row r="544" spans="16:18" x14ac:dyDescent="0.25">
      <c r="P544" s="22" t="str">
        <f>IF('Data-Plot'!C544="","",$Q$11+('Data-Plot'!C544-'Data-Plot'!D544)*$P$9)</f>
        <v/>
      </c>
      <c r="Q544" s="22" t="str">
        <f>IF('Data-Plot'!C544="","",MAX('Data-Plot'!$C$11:$C$1010)*(1+$Q$9/100))</f>
        <v/>
      </c>
      <c r="R544" s="22" t="str">
        <f>IF('Data-Plot'!C544="","",('Data-Plot'!C544-'Data-Plot'!D544)*$P$9)</f>
        <v/>
      </c>
    </row>
    <row r="545" spans="16:18" x14ac:dyDescent="0.25">
      <c r="P545" s="22" t="str">
        <f>IF('Data-Plot'!C545="","",$Q$11+('Data-Plot'!C545-'Data-Plot'!D545)*$P$9)</f>
        <v/>
      </c>
      <c r="Q545" s="22" t="str">
        <f>IF('Data-Plot'!C545="","",MAX('Data-Plot'!$C$11:$C$1010)*(1+$Q$9/100))</f>
        <v/>
      </c>
      <c r="R545" s="22" t="str">
        <f>IF('Data-Plot'!C545="","",('Data-Plot'!C545-'Data-Plot'!D545)*$P$9)</f>
        <v/>
      </c>
    </row>
    <row r="546" spans="16:18" x14ac:dyDescent="0.25">
      <c r="P546" s="22" t="str">
        <f>IF('Data-Plot'!C546="","",$Q$11+('Data-Plot'!C546-'Data-Plot'!D546)*$P$9)</f>
        <v/>
      </c>
      <c r="Q546" s="22" t="str">
        <f>IF('Data-Plot'!C546="","",MAX('Data-Plot'!$C$11:$C$1010)*(1+$Q$9/100))</f>
        <v/>
      </c>
      <c r="R546" s="22" t="str">
        <f>IF('Data-Plot'!C546="","",('Data-Plot'!C546-'Data-Plot'!D546)*$P$9)</f>
        <v/>
      </c>
    </row>
    <row r="547" spans="16:18" x14ac:dyDescent="0.25">
      <c r="P547" s="22" t="str">
        <f>IF('Data-Plot'!C547="","",$Q$11+('Data-Plot'!C547-'Data-Plot'!D547)*$P$9)</f>
        <v/>
      </c>
      <c r="Q547" s="22" t="str">
        <f>IF('Data-Plot'!C547="","",MAX('Data-Plot'!$C$11:$C$1010)*(1+$Q$9/100))</f>
        <v/>
      </c>
      <c r="R547" s="22" t="str">
        <f>IF('Data-Plot'!C547="","",('Data-Plot'!C547-'Data-Plot'!D547)*$P$9)</f>
        <v/>
      </c>
    </row>
    <row r="548" spans="16:18" x14ac:dyDescent="0.25">
      <c r="P548" s="22" t="str">
        <f>IF('Data-Plot'!C548="","",$Q$11+('Data-Plot'!C548-'Data-Plot'!D548)*$P$9)</f>
        <v/>
      </c>
      <c r="Q548" s="22" t="str">
        <f>IF('Data-Plot'!C548="","",MAX('Data-Plot'!$C$11:$C$1010)*(1+$Q$9/100))</f>
        <v/>
      </c>
      <c r="R548" s="22" t="str">
        <f>IF('Data-Plot'!C548="","",('Data-Plot'!C548-'Data-Plot'!D548)*$P$9)</f>
        <v/>
      </c>
    </row>
    <row r="549" spans="16:18" x14ac:dyDescent="0.25">
      <c r="P549" s="22" t="str">
        <f>IF('Data-Plot'!C549="","",$Q$11+('Data-Plot'!C549-'Data-Plot'!D549)*$P$9)</f>
        <v/>
      </c>
      <c r="Q549" s="22" t="str">
        <f>IF('Data-Plot'!C549="","",MAX('Data-Plot'!$C$11:$C$1010)*(1+$Q$9/100))</f>
        <v/>
      </c>
      <c r="R549" s="22" t="str">
        <f>IF('Data-Plot'!C549="","",('Data-Plot'!C549-'Data-Plot'!D549)*$P$9)</f>
        <v/>
      </c>
    </row>
    <row r="550" spans="16:18" x14ac:dyDescent="0.25">
      <c r="P550" s="22" t="str">
        <f>IF('Data-Plot'!C550="","",$Q$11+('Data-Plot'!C550-'Data-Plot'!D550)*$P$9)</f>
        <v/>
      </c>
      <c r="Q550" s="22" t="str">
        <f>IF('Data-Plot'!C550="","",MAX('Data-Plot'!$C$11:$C$1010)*(1+$Q$9/100))</f>
        <v/>
      </c>
      <c r="R550" s="22" t="str">
        <f>IF('Data-Plot'!C550="","",('Data-Plot'!C550-'Data-Plot'!D550)*$P$9)</f>
        <v/>
      </c>
    </row>
    <row r="551" spans="16:18" x14ac:dyDescent="0.25">
      <c r="P551" s="22" t="str">
        <f>IF('Data-Plot'!C551="","",$Q$11+('Data-Plot'!C551-'Data-Plot'!D551)*$P$9)</f>
        <v/>
      </c>
      <c r="Q551" s="22" t="str">
        <f>IF('Data-Plot'!C551="","",MAX('Data-Plot'!$C$11:$C$1010)*(1+$Q$9/100))</f>
        <v/>
      </c>
      <c r="R551" s="22" t="str">
        <f>IF('Data-Plot'!C551="","",('Data-Plot'!C551-'Data-Plot'!D551)*$P$9)</f>
        <v/>
      </c>
    </row>
    <row r="552" spans="16:18" x14ac:dyDescent="0.25">
      <c r="P552" s="22" t="str">
        <f>IF('Data-Plot'!C552="","",$Q$11+('Data-Plot'!C552-'Data-Plot'!D552)*$P$9)</f>
        <v/>
      </c>
      <c r="Q552" s="22" t="str">
        <f>IF('Data-Plot'!C552="","",MAX('Data-Plot'!$C$11:$C$1010)*(1+$Q$9/100))</f>
        <v/>
      </c>
      <c r="R552" s="22" t="str">
        <f>IF('Data-Plot'!C552="","",('Data-Plot'!C552-'Data-Plot'!D552)*$P$9)</f>
        <v/>
      </c>
    </row>
    <row r="553" spans="16:18" x14ac:dyDescent="0.25">
      <c r="P553" s="22" t="str">
        <f>IF('Data-Plot'!C553="","",$Q$11+('Data-Plot'!C553-'Data-Plot'!D553)*$P$9)</f>
        <v/>
      </c>
      <c r="Q553" s="22" t="str">
        <f>IF('Data-Plot'!C553="","",MAX('Data-Plot'!$C$11:$C$1010)*(1+$Q$9/100))</f>
        <v/>
      </c>
      <c r="R553" s="22" t="str">
        <f>IF('Data-Plot'!C553="","",('Data-Plot'!C553-'Data-Plot'!D553)*$P$9)</f>
        <v/>
      </c>
    </row>
    <row r="554" spans="16:18" x14ac:dyDescent="0.25">
      <c r="P554" s="22" t="str">
        <f>IF('Data-Plot'!C554="","",$Q$11+('Data-Plot'!C554-'Data-Plot'!D554)*$P$9)</f>
        <v/>
      </c>
      <c r="Q554" s="22" t="str">
        <f>IF('Data-Plot'!C554="","",MAX('Data-Plot'!$C$11:$C$1010)*(1+$Q$9/100))</f>
        <v/>
      </c>
      <c r="R554" s="22" t="str">
        <f>IF('Data-Plot'!C554="","",('Data-Plot'!C554-'Data-Plot'!D554)*$P$9)</f>
        <v/>
      </c>
    </row>
    <row r="555" spans="16:18" x14ac:dyDescent="0.25">
      <c r="P555" s="22" t="str">
        <f>IF('Data-Plot'!C555="","",$Q$11+('Data-Plot'!C555-'Data-Plot'!D555)*$P$9)</f>
        <v/>
      </c>
      <c r="Q555" s="22" t="str">
        <f>IF('Data-Plot'!C555="","",MAX('Data-Plot'!$C$11:$C$1010)*(1+$Q$9/100))</f>
        <v/>
      </c>
      <c r="R555" s="22" t="str">
        <f>IF('Data-Plot'!C555="","",('Data-Plot'!C555-'Data-Plot'!D555)*$P$9)</f>
        <v/>
      </c>
    </row>
    <row r="556" spans="16:18" x14ac:dyDescent="0.25">
      <c r="P556" s="22" t="str">
        <f>IF('Data-Plot'!C556="","",$Q$11+('Data-Plot'!C556-'Data-Plot'!D556)*$P$9)</f>
        <v/>
      </c>
      <c r="Q556" s="22" t="str">
        <f>IF('Data-Plot'!C556="","",MAX('Data-Plot'!$C$11:$C$1010)*(1+$Q$9/100))</f>
        <v/>
      </c>
      <c r="R556" s="22" t="str">
        <f>IF('Data-Plot'!C556="","",('Data-Plot'!C556-'Data-Plot'!D556)*$P$9)</f>
        <v/>
      </c>
    </row>
    <row r="557" spans="16:18" x14ac:dyDescent="0.25">
      <c r="P557" s="22" t="str">
        <f>IF('Data-Plot'!C557="","",$Q$11+('Data-Plot'!C557-'Data-Plot'!D557)*$P$9)</f>
        <v/>
      </c>
      <c r="Q557" s="22" t="str">
        <f>IF('Data-Plot'!C557="","",MAX('Data-Plot'!$C$11:$C$1010)*(1+$Q$9/100))</f>
        <v/>
      </c>
      <c r="R557" s="22" t="str">
        <f>IF('Data-Plot'!C557="","",('Data-Plot'!C557-'Data-Plot'!D557)*$P$9)</f>
        <v/>
      </c>
    </row>
    <row r="558" spans="16:18" x14ac:dyDescent="0.25">
      <c r="P558" s="22" t="str">
        <f>IF('Data-Plot'!C558="","",$Q$11+('Data-Plot'!C558-'Data-Plot'!D558)*$P$9)</f>
        <v/>
      </c>
      <c r="Q558" s="22" t="str">
        <f>IF('Data-Plot'!C558="","",MAX('Data-Plot'!$C$11:$C$1010)*(1+$Q$9/100))</f>
        <v/>
      </c>
      <c r="R558" s="22" t="str">
        <f>IF('Data-Plot'!C558="","",('Data-Plot'!C558-'Data-Plot'!D558)*$P$9)</f>
        <v/>
      </c>
    </row>
    <row r="559" spans="16:18" x14ac:dyDescent="0.25">
      <c r="P559" s="22" t="str">
        <f>IF('Data-Plot'!C559="","",$Q$11+('Data-Plot'!C559-'Data-Plot'!D559)*$P$9)</f>
        <v/>
      </c>
      <c r="Q559" s="22" t="str">
        <f>IF('Data-Plot'!C559="","",MAX('Data-Plot'!$C$11:$C$1010)*(1+$Q$9/100))</f>
        <v/>
      </c>
      <c r="R559" s="22" t="str">
        <f>IF('Data-Plot'!C559="","",('Data-Plot'!C559-'Data-Plot'!D559)*$P$9)</f>
        <v/>
      </c>
    </row>
    <row r="560" spans="16:18" x14ac:dyDescent="0.25">
      <c r="P560" s="22" t="str">
        <f>IF('Data-Plot'!C560="","",$Q$11+('Data-Plot'!C560-'Data-Plot'!D560)*$P$9)</f>
        <v/>
      </c>
      <c r="Q560" s="22" t="str">
        <f>IF('Data-Plot'!C560="","",MAX('Data-Plot'!$C$11:$C$1010)*(1+$Q$9/100))</f>
        <v/>
      </c>
      <c r="R560" s="22" t="str">
        <f>IF('Data-Plot'!C560="","",('Data-Plot'!C560-'Data-Plot'!D560)*$P$9)</f>
        <v/>
      </c>
    </row>
    <row r="561" spans="16:18" x14ac:dyDescent="0.25">
      <c r="P561" s="22" t="str">
        <f>IF('Data-Plot'!C561="","",$Q$11+('Data-Plot'!C561-'Data-Plot'!D561)*$P$9)</f>
        <v/>
      </c>
      <c r="Q561" s="22" t="str">
        <f>IF('Data-Plot'!C561="","",MAX('Data-Plot'!$C$11:$C$1010)*(1+$Q$9/100))</f>
        <v/>
      </c>
      <c r="R561" s="22" t="str">
        <f>IF('Data-Plot'!C561="","",('Data-Plot'!C561-'Data-Plot'!D561)*$P$9)</f>
        <v/>
      </c>
    </row>
    <row r="562" spans="16:18" x14ac:dyDescent="0.25">
      <c r="P562" s="22" t="str">
        <f>IF('Data-Plot'!C562="","",$Q$11+('Data-Plot'!C562-'Data-Plot'!D562)*$P$9)</f>
        <v/>
      </c>
      <c r="Q562" s="22" t="str">
        <f>IF('Data-Plot'!C562="","",MAX('Data-Plot'!$C$11:$C$1010)*(1+$Q$9/100))</f>
        <v/>
      </c>
      <c r="R562" s="22" t="str">
        <f>IF('Data-Plot'!C562="","",('Data-Plot'!C562-'Data-Plot'!D562)*$P$9)</f>
        <v/>
      </c>
    </row>
    <row r="563" spans="16:18" x14ac:dyDescent="0.25">
      <c r="P563" s="22" t="str">
        <f>IF('Data-Plot'!C563="","",$Q$11+('Data-Plot'!C563-'Data-Plot'!D563)*$P$9)</f>
        <v/>
      </c>
      <c r="Q563" s="22" t="str">
        <f>IF('Data-Plot'!C563="","",MAX('Data-Plot'!$C$11:$C$1010)*(1+$Q$9/100))</f>
        <v/>
      </c>
      <c r="R563" s="22" t="str">
        <f>IF('Data-Plot'!C563="","",('Data-Plot'!C563-'Data-Plot'!D563)*$P$9)</f>
        <v/>
      </c>
    </row>
    <row r="564" spans="16:18" x14ac:dyDescent="0.25">
      <c r="P564" s="22" t="str">
        <f>IF('Data-Plot'!C564="","",$Q$11+('Data-Plot'!C564-'Data-Plot'!D564)*$P$9)</f>
        <v/>
      </c>
      <c r="Q564" s="22" t="str">
        <f>IF('Data-Plot'!C564="","",MAX('Data-Plot'!$C$11:$C$1010)*(1+$Q$9/100))</f>
        <v/>
      </c>
      <c r="R564" s="22" t="str">
        <f>IF('Data-Plot'!C564="","",('Data-Plot'!C564-'Data-Plot'!D564)*$P$9)</f>
        <v/>
      </c>
    </row>
    <row r="565" spans="16:18" x14ac:dyDescent="0.25">
      <c r="P565" s="22" t="str">
        <f>IF('Data-Plot'!C565="","",$Q$11+('Data-Plot'!C565-'Data-Plot'!D565)*$P$9)</f>
        <v/>
      </c>
      <c r="Q565" s="22" t="str">
        <f>IF('Data-Plot'!C565="","",MAX('Data-Plot'!$C$11:$C$1010)*(1+$Q$9/100))</f>
        <v/>
      </c>
      <c r="R565" s="22" t="str">
        <f>IF('Data-Plot'!C565="","",('Data-Plot'!C565-'Data-Plot'!D565)*$P$9)</f>
        <v/>
      </c>
    </row>
    <row r="566" spans="16:18" x14ac:dyDescent="0.25">
      <c r="P566" s="22" t="str">
        <f>IF('Data-Plot'!C566="","",$Q$11+('Data-Plot'!C566-'Data-Plot'!D566)*$P$9)</f>
        <v/>
      </c>
      <c r="Q566" s="22" t="str">
        <f>IF('Data-Plot'!C566="","",MAX('Data-Plot'!$C$11:$C$1010)*(1+$Q$9/100))</f>
        <v/>
      </c>
      <c r="R566" s="22" t="str">
        <f>IF('Data-Plot'!C566="","",('Data-Plot'!C566-'Data-Plot'!D566)*$P$9)</f>
        <v/>
      </c>
    </row>
    <row r="567" spans="16:18" x14ac:dyDescent="0.25">
      <c r="P567" s="22" t="str">
        <f>IF('Data-Plot'!C567="","",$Q$11+('Data-Plot'!C567-'Data-Plot'!D567)*$P$9)</f>
        <v/>
      </c>
      <c r="Q567" s="22" t="str">
        <f>IF('Data-Plot'!C567="","",MAX('Data-Plot'!$C$11:$C$1010)*(1+$Q$9/100))</f>
        <v/>
      </c>
      <c r="R567" s="22" t="str">
        <f>IF('Data-Plot'!C567="","",('Data-Plot'!C567-'Data-Plot'!D567)*$P$9)</f>
        <v/>
      </c>
    </row>
    <row r="568" spans="16:18" x14ac:dyDescent="0.25">
      <c r="P568" s="22" t="str">
        <f>IF('Data-Plot'!C568="","",$Q$11+('Data-Plot'!C568-'Data-Plot'!D568)*$P$9)</f>
        <v/>
      </c>
      <c r="Q568" s="22" t="str">
        <f>IF('Data-Plot'!C568="","",MAX('Data-Plot'!$C$11:$C$1010)*(1+$Q$9/100))</f>
        <v/>
      </c>
      <c r="R568" s="22" t="str">
        <f>IF('Data-Plot'!C568="","",('Data-Plot'!C568-'Data-Plot'!D568)*$P$9)</f>
        <v/>
      </c>
    </row>
    <row r="569" spans="16:18" x14ac:dyDescent="0.25">
      <c r="P569" s="22" t="str">
        <f>IF('Data-Plot'!C569="","",$Q$11+('Data-Plot'!C569-'Data-Plot'!D569)*$P$9)</f>
        <v/>
      </c>
      <c r="Q569" s="22" t="str">
        <f>IF('Data-Plot'!C569="","",MAX('Data-Plot'!$C$11:$C$1010)*(1+$Q$9/100))</f>
        <v/>
      </c>
      <c r="R569" s="22" t="str">
        <f>IF('Data-Plot'!C569="","",('Data-Plot'!C569-'Data-Plot'!D569)*$P$9)</f>
        <v/>
      </c>
    </row>
    <row r="570" spans="16:18" x14ac:dyDescent="0.25">
      <c r="P570" s="22" t="str">
        <f>IF('Data-Plot'!C570="","",$Q$11+('Data-Plot'!C570-'Data-Plot'!D570)*$P$9)</f>
        <v/>
      </c>
      <c r="Q570" s="22" t="str">
        <f>IF('Data-Plot'!C570="","",MAX('Data-Plot'!$C$11:$C$1010)*(1+$Q$9/100))</f>
        <v/>
      </c>
      <c r="R570" s="22" t="str">
        <f>IF('Data-Plot'!C570="","",('Data-Plot'!C570-'Data-Plot'!D570)*$P$9)</f>
        <v/>
      </c>
    </row>
    <row r="571" spans="16:18" x14ac:dyDescent="0.25">
      <c r="P571" s="22" t="str">
        <f>IF('Data-Plot'!C571="","",$Q$11+('Data-Plot'!C571-'Data-Plot'!D571)*$P$9)</f>
        <v/>
      </c>
      <c r="Q571" s="22" t="str">
        <f>IF('Data-Plot'!C571="","",MAX('Data-Plot'!$C$11:$C$1010)*(1+$Q$9/100))</f>
        <v/>
      </c>
      <c r="R571" s="22" t="str">
        <f>IF('Data-Plot'!C571="","",('Data-Plot'!C571-'Data-Plot'!D571)*$P$9)</f>
        <v/>
      </c>
    </row>
    <row r="572" spans="16:18" x14ac:dyDescent="0.25">
      <c r="P572" s="22" t="str">
        <f>IF('Data-Plot'!C572="","",$Q$11+('Data-Plot'!C572-'Data-Plot'!D572)*$P$9)</f>
        <v/>
      </c>
      <c r="Q572" s="22" t="str">
        <f>IF('Data-Plot'!C572="","",MAX('Data-Plot'!$C$11:$C$1010)*(1+$Q$9/100))</f>
        <v/>
      </c>
      <c r="R572" s="22" t="str">
        <f>IF('Data-Plot'!C572="","",('Data-Plot'!C572-'Data-Plot'!D572)*$P$9)</f>
        <v/>
      </c>
    </row>
    <row r="573" spans="16:18" x14ac:dyDescent="0.25">
      <c r="P573" s="22" t="str">
        <f>IF('Data-Plot'!C573="","",$Q$11+('Data-Plot'!C573-'Data-Plot'!D573)*$P$9)</f>
        <v/>
      </c>
      <c r="Q573" s="22" t="str">
        <f>IF('Data-Plot'!C573="","",MAX('Data-Plot'!$C$11:$C$1010)*(1+$Q$9/100))</f>
        <v/>
      </c>
      <c r="R573" s="22" t="str">
        <f>IF('Data-Plot'!C573="","",('Data-Plot'!C573-'Data-Plot'!D573)*$P$9)</f>
        <v/>
      </c>
    </row>
    <row r="574" spans="16:18" x14ac:dyDescent="0.25">
      <c r="P574" s="22" t="str">
        <f>IF('Data-Plot'!C574="","",$Q$11+('Data-Plot'!C574-'Data-Plot'!D574)*$P$9)</f>
        <v/>
      </c>
      <c r="Q574" s="22" t="str">
        <f>IF('Data-Plot'!C574="","",MAX('Data-Plot'!$C$11:$C$1010)*(1+$Q$9/100))</f>
        <v/>
      </c>
      <c r="R574" s="22" t="str">
        <f>IF('Data-Plot'!C574="","",('Data-Plot'!C574-'Data-Plot'!D574)*$P$9)</f>
        <v/>
      </c>
    </row>
    <row r="575" spans="16:18" x14ac:dyDescent="0.25">
      <c r="P575" s="22" t="str">
        <f>IF('Data-Plot'!C575="","",$Q$11+('Data-Plot'!C575-'Data-Plot'!D575)*$P$9)</f>
        <v/>
      </c>
      <c r="Q575" s="22" t="str">
        <f>IF('Data-Plot'!C575="","",MAX('Data-Plot'!$C$11:$C$1010)*(1+$Q$9/100))</f>
        <v/>
      </c>
      <c r="R575" s="22" t="str">
        <f>IF('Data-Plot'!C575="","",('Data-Plot'!C575-'Data-Plot'!D575)*$P$9)</f>
        <v/>
      </c>
    </row>
    <row r="576" spans="16:18" x14ac:dyDescent="0.25">
      <c r="P576" s="22" t="str">
        <f>IF('Data-Plot'!C576="","",$Q$11+('Data-Plot'!C576-'Data-Plot'!D576)*$P$9)</f>
        <v/>
      </c>
      <c r="Q576" s="22" t="str">
        <f>IF('Data-Plot'!C576="","",MAX('Data-Plot'!$C$11:$C$1010)*(1+$Q$9/100))</f>
        <v/>
      </c>
      <c r="R576" s="22" t="str">
        <f>IF('Data-Plot'!C576="","",('Data-Plot'!C576-'Data-Plot'!D576)*$P$9)</f>
        <v/>
      </c>
    </row>
    <row r="577" spans="16:18" x14ac:dyDescent="0.25">
      <c r="P577" s="22" t="str">
        <f>IF('Data-Plot'!C577="","",$Q$11+('Data-Plot'!C577-'Data-Plot'!D577)*$P$9)</f>
        <v/>
      </c>
      <c r="Q577" s="22" t="str">
        <f>IF('Data-Plot'!C577="","",MAX('Data-Plot'!$C$11:$C$1010)*(1+$Q$9/100))</f>
        <v/>
      </c>
      <c r="R577" s="22" t="str">
        <f>IF('Data-Plot'!C577="","",('Data-Plot'!C577-'Data-Plot'!D577)*$P$9)</f>
        <v/>
      </c>
    </row>
    <row r="578" spans="16:18" x14ac:dyDescent="0.25">
      <c r="P578" s="22" t="str">
        <f>IF('Data-Plot'!C578="","",$Q$11+('Data-Plot'!C578-'Data-Plot'!D578)*$P$9)</f>
        <v/>
      </c>
      <c r="Q578" s="22" t="str">
        <f>IF('Data-Plot'!C578="","",MAX('Data-Plot'!$C$11:$C$1010)*(1+$Q$9/100))</f>
        <v/>
      </c>
      <c r="R578" s="22" t="str">
        <f>IF('Data-Plot'!C578="","",('Data-Plot'!C578-'Data-Plot'!D578)*$P$9)</f>
        <v/>
      </c>
    </row>
    <row r="579" spans="16:18" x14ac:dyDescent="0.25">
      <c r="P579" s="22" t="str">
        <f>IF('Data-Plot'!C579="","",$Q$11+('Data-Plot'!C579-'Data-Plot'!D579)*$P$9)</f>
        <v/>
      </c>
      <c r="Q579" s="22" t="str">
        <f>IF('Data-Plot'!C579="","",MAX('Data-Plot'!$C$11:$C$1010)*(1+$Q$9/100))</f>
        <v/>
      </c>
      <c r="R579" s="22" t="str">
        <f>IF('Data-Plot'!C579="","",('Data-Plot'!C579-'Data-Plot'!D579)*$P$9)</f>
        <v/>
      </c>
    </row>
    <row r="580" spans="16:18" x14ac:dyDescent="0.25">
      <c r="P580" s="22" t="str">
        <f>IF('Data-Plot'!C580="","",$Q$11+('Data-Plot'!C580-'Data-Plot'!D580)*$P$9)</f>
        <v/>
      </c>
      <c r="Q580" s="22" t="str">
        <f>IF('Data-Plot'!C580="","",MAX('Data-Plot'!$C$11:$C$1010)*(1+$Q$9/100))</f>
        <v/>
      </c>
      <c r="R580" s="22" t="str">
        <f>IF('Data-Plot'!C580="","",('Data-Plot'!C580-'Data-Plot'!D580)*$P$9)</f>
        <v/>
      </c>
    </row>
    <row r="581" spans="16:18" x14ac:dyDescent="0.25">
      <c r="P581" s="22" t="str">
        <f>IF('Data-Plot'!C581="","",$Q$11+('Data-Plot'!C581-'Data-Plot'!D581)*$P$9)</f>
        <v/>
      </c>
      <c r="Q581" s="22" t="str">
        <f>IF('Data-Plot'!C581="","",MAX('Data-Plot'!$C$11:$C$1010)*(1+$Q$9/100))</f>
        <v/>
      </c>
      <c r="R581" s="22" t="str">
        <f>IF('Data-Plot'!C581="","",('Data-Plot'!C581-'Data-Plot'!D581)*$P$9)</f>
        <v/>
      </c>
    </row>
    <row r="582" spans="16:18" x14ac:dyDescent="0.25">
      <c r="P582" s="22" t="str">
        <f>IF('Data-Plot'!C582="","",$Q$11+('Data-Plot'!C582-'Data-Plot'!D582)*$P$9)</f>
        <v/>
      </c>
      <c r="Q582" s="22" t="str">
        <f>IF('Data-Plot'!C582="","",MAX('Data-Plot'!$C$11:$C$1010)*(1+$Q$9/100))</f>
        <v/>
      </c>
      <c r="R582" s="22" t="str">
        <f>IF('Data-Plot'!C582="","",('Data-Plot'!C582-'Data-Plot'!D582)*$P$9)</f>
        <v/>
      </c>
    </row>
    <row r="583" spans="16:18" x14ac:dyDescent="0.25">
      <c r="P583" s="22" t="str">
        <f>IF('Data-Plot'!C583="","",$Q$11+('Data-Plot'!C583-'Data-Plot'!D583)*$P$9)</f>
        <v/>
      </c>
      <c r="Q583" s="22" t="str">
        <f>IF('Data-Plot'!C583="","",MAX('Data-Plot'!$C$11:$C$1010)*(1+$Q$9/100))</f>
        <v/>
      </c>
      <c r="R583" s="22" t="str">
        <f>IF('Data-Plot'!C583="","",('Data-Plot'!C583-'Data-Plot'!D583)*$P$9)</f>
        <v/>
      </c>
    </row>
    <row r="584" spans="16:18" x14ac:dyDescent="0.25">
      <c r="P584" s="22" t="str">
        <f>IF('Data-Plot'!C584="","",$Q$11+('Data-Plot'!C584-'Data-Plot'!D584)*$P$9)</f>
        <v/>
      </c>
      <c r="Q584" s="22" t="str">
        <f>IF('Data-Plot'!C584="","",MAX('Data-Plot'!$C$11:$C$1010)*(1+$Q$9/100))</f>
        <v/>
      </c>
      <c r="R584" s="22" t="str">
        <f>IF('Data-Plot'!C584="","",('Data-Plot'!C584-'Data-Plot'!D584)*$P$9)</f>
        <v/>
      </c>
    </row>
    <row r="585" spans="16:18" x14ac:dyDescent="0.25">
      <c r="P585" s="22" t="str">
        <f>IF('Data-Plot'!C585="","",$Q$11+('Data-Plot'!C585-'Data-Plot'!D585)*$P$9)</f>
        <v/>
      </c>
      <c r="Q585" s="22" t="str">
        <f>IF('Data-Plot'!C585="","",MAX('Data-Plot'!$C$11:$C$1010)*(1+$Q$9/100))</f>
        <v/>
      </c>
      <c r="R585" s="22" t="str">
        <f>IF('Data-Plot'!C585="","",('Data-Plot'!C585-'Data-Plot'!D585)*$P$9)</f>
        <v/>
      </c>
    </row>
    <row r="586" spans="16:18" x14ac:dyDescent="0.25">
      <c r="P586" s="22" t="str">
        <f>IF('Data-Plot'!C586="","",$Q$11+('Data-Plot'!C586-'Data-Plot'!D586)*$P$9)</f>
        <v/>
      </c>
      <c r="Q586" s="22" t="str">
        <f>IF('Data-Plot'!C586="","",MAX('Data-Plot'!$C$11:$C$1010)*(1+$Q$9/100))</f>
        <v/>
      </c>
      <c r="R586" s="22" t="str">
        <f>IF('Data-Plot'!C586="","",('Data-Plot'!C586-'Data-Plot'!D586)*$P$9)</f>
        <v/>
      </c>
    </row>
    <row r="587" spans="16:18" x14ac:dyDescent="0.25">
      <c r="P587" s="22" t="str">
        <f>IF('Data-Plot'!C587="","",$Q$11+('Data-Plot'!C587-'Data-Plot'!D587)*$P$9)</f>
        <v/>
      </c>
      <c r="Q587" s="22" t="str">
        <f>IF('Data-Plot'!C587="","",MAX('Data-Plot'!$C$11:$C$1010)*(1+$Q$9/100))</f>
        <v/>
      </c>
      <c r="R587" s="22" t="str">
        <f>IF('Data-Plot'!C587="","",('Data-Plot'!C587-'Data-Plot'!D587)*$P$9)</f>
        <v/>
      </c>
    </row>
    <row r="588" spans="16:18" x14ac:dyDescent="0.25">
      <c r="P588" s="22" t="str">
        <f>IF('Data-Plot'!C588="","",$Q$11+('Data-Plot'!C588-'Data-Plot'!D588)*$P$9)</f>
        <v/>
      </c>
      <c r="Q588" s="22" t="str">
        <f>IF('Data-Plot'!C588="","",MAX('Data-Plot'!$C$11:$C$1010)*(1+$Q$9/100))</f>
        <v/>
      </c>
      <c r="R588" s="22" t="str">
        <f>IF('Data-Plot'!C588="","",('Data-Plot'!C588-'Data-Plot'!D588)*$P$9)</f>
        <v/>
      </c>
    </row>
    <row r="589" spans="16:18" x14ac:dyDescent="0.25">
      <c r="P589" s="22" t="str">
        <f>IF('Data-Plot'!C589="","",$Q$11+('Data-Plot'!C589-'Data-Plot'!D589)*$P$9)</f>
        <v/>
      </c>
      <c r="Q589" s="22" t="str">
        <f>IF('Data-Plot'!C589="","",MAX('Data-Plot'!$C$11:$C$1010)*(1+$Q$9/100))</f>
        <v/>
      </c>
      <c r="R589" s="22" t="str">
        <f>IF('Data-Plot'!C589="","",('Data-Plot'!C589-'Data-Plot'!D589)*$P$9)</f>
        <v/>
      </c>
    </row>
    <row r="590" spans="16:18" x14ac:dyDescent="0.25">
      <c r="P590" s="22" t="str">
        <f>IF('Data-Plot'!C590="","",$Q$11+('Data-Plot'!C590-'Data-Plot'!D590)*$P$9)</f>
        <v/>
      </c>
      <c r="Q590" s="22" t="str">
        <f>IF('Data-Plot'!C590="","",MAX('Data-Plot'!$C$11:$C$1010)*(1+$Q$9/100))</f>
        <v/>
      </c>
      <c r="R590" s="22" t="str">
        <f>IF('Data-Plot'!C590="","",('Data-Plot'!C590-'Data-Plot'!D590)*$P$9)</f>
        <v/>
      </c>
    </row>
    <row r="591" spans="16:18" x14ac:dyDescent="0.25">
      <c r="P591" s="22" t="str">
        <f>IF('Data-Plot'!C591="","",$Q$11+('Data-Plot'!C591-'Data-Plot'!D591)*$P$9)</f>
        <v/>
      </c>
      <c r="Q591" s="22" t="str">
        <f>IF('Data-Plot'!C591="","",MAX('Data-Plot'!$C$11:$C$1010)*(1+$Q$9/100))</f>
        <v/>
      </c>
      <c r="R591" s="22" t="str">
        <f>IF('Data-Plot'!C591="","",('Data-Plot'!C591-'Data-Plot'!D591)*$P$9)</f>
        <v/>
      </c>
    </row>
    <row r="592" spans="16:18" x14ac:dyDescent="0.25">
      <c r="P592" s="22" t="str">
        <f>IF('Data-Plot'!C592="","",$Q$11+('Data-Plot'!C592-'Data-Plot'!D592)*$P$9)</f>
        <v/>
      </c>
      <c r="Q592" s="22" t="str">
        <f>IF('Data-Plot'!C592="","",MAX('Data-Plot'!$C$11:$C$1010)*(1+$Q$9/100))</f>
        <v/>
      </c>
      <c r="R592" s="22" t="str">
        <f>IF('Data-Plot'!C592="","",('Data-Plot'!C592-'Data-Plot'!D592)*$P$9)</f>
        <v/>
      </c>
    </row>
    <row r="593" spans="16:18" x14ac:dyDescent="0.25">
      <c r="P593" s="22" t="str">
        <f>IF('Data-Plot'!C593="","",$Q$11+('Data-Plot'!C593-'Data-Plot'!D593)*$P$9)</f>
        <v/>
      </c>
      <c r="Q593" s="22" t="str">
        <f>IF('Data-Plot'!C593="","",MAX('Data-Plot'!$C$11:$C$1010)*(1+$Q$9/100))</f>
        <v/>
      </c>
      <c r="R593" s="22" t="str">
        <f>IF('Data-Plot'!C593="","",('Data-Plot'!C593-'Data-Plot'!D593)*$P$9)</f>
        <v/>
      </c>
    </row>
    <row r="594" spans="16:18" x14ac:dyDescent="0.25">
      <c r="P594" s="22" t="str">
        <f>IF('Data-Plot'!C594="","",$Q$11+('Data-Plot'!C594-'Data-Plot'!D594)*$P$9)</f>
        <v/>
      </c>
      <c r="Q594" s="22" t="str">
        <f>IF('Data-Plot'!C594="","",MAX('Data-Plot'!$C$11:$C$1010)*(1+$Q$9/100))</f>
        <v/>
      </c>
      <c r="R594" s="22" t="str">
        <f>IF('Data-Plot'!C594="","",('Data-Plot'!C594-'Data-Plot'!D594)*$P$9)</f>
        <v/>
      </c>
    </row>
    <row r="595" spans="16:18" x14ac:dyDescent="0.25">
      <c r="P595" s="22" t="str">
        <f>IF('Data-Plot'!C595="","",$Q$11+('Data-Plot'!C595-'Data-Plot'!D595)*$P$9)</f>
        <v/>
      </c>
      <c r="Q595" s="22" t="str">
        <f>IF('Data-Plot'!C595="","",MAX('Data-Plot'!$C$11:$C$1010)*(1+$Q$9/100))</f>
        <v/>
      </c>
      <c r="R595" s="22" t="str">
        <f>IF('Data-Plot'!C595="","",('Data-Plot'!C595-'Data-Plot'!D595)*$P$9)</f>
        <v/>
      </c>
    </row>
    <row r="596" spans="16:18" x14ac:dyDescent="0.25">
      <c r="P596" s="22" t="str">
        <f>IF('Data-Plot'!C596="","",$Q$11+('Data-Plot'!C596-'Data-Plot'!D596)*$P$9)</f>
        <v/>
      </c>
      <c r="Q596" s="22" t="str">
        <f>IF('Data-Plot'!C596="","",MAX('Data-Plot'!$C$11:$C$1010)*(1+$Q$9/100))</f>
        <v/>
      </c>
      <c r="R596" s="22" t="str">
        <f>IF('Data-Plot'!C596="","",('Data-Plot'!C596-'Data-Plot'!D596)*$P$9)</f>
        <v/>
      </c>
    </row>
    <row r="597" spans="16:18" x14ac:dyDescent="0.25">
      <c r="P597" s="22" t="str">
        <f>IF('Data-Plot'!C597="","",$Q$11+('Data-Plot'!C597-'Data-Plot'!D597)*$P$9)</f>
        <v/>
      </c>
      <c r="Q597" s="22" t="str">
        <f>IF('Data-Plot'!C597="","",MAX('Data-Plot'!$C$11:$C$1010)*(1+$Q$9/100))</f>
        <v/>
      </c>
      <c r="R597" s="22" t="str">
        <f>IF('Data-Plot'!C597="","",('Data-Plot'!C597-'Data-Plot'!D597)*$P$9)</f>
        <v/>
      </c>
    </row>
    <row r="598" spans="16:18" x14ac:dyDescent="0.25">
      <c r="P598" s="22" t="str">
        <f>IF('Data-Plot'!C598="","",$Q$11+('Data-Plot'!C598-'Data-Plot'!D598)*$P$9)</f>
        <v/>
      </c>
      <c r="Q598" s="22" t="str">
        <f>IF('Data-Plot'!C598="","",MAX('Data-Plot'!$C$11:$C$1010)*(1+$Q$9/100))</f>
        <v/>
      </c>
      <c r="R598" s="22" t="str">
        <f>IF('Data-Plot'!C598="","",('Data-Plot'!C598-'Data-Plot'!D598)*$P$9)</f>
        <v/>
      </c>
    </row>
    <row r="599" spans="16:18" x14ac:dyDescent="0.25">
      <c r="P599" s="22" t="str">
        <f>IF('Data-Plot'!C599="","",$Q$11+('Data-Plot'!C599-'Data-Plot'!D599)*$P$9)</f>
        <v/>
      </c>
      <c r="Q599" s="22" t="str">
        <f>IF('Data-Plot'!C599="","",MAX('Data-Plot'!$C$11:$C$1010)*(1+$Q$9/100))</f>
        <v/>
      </c>
      <c r="R599" s="22" t="str">
        <f>IF('Data-Plot'!C599="","",('Data-Plot'!C599-'Data-Plot'!D599)*$P$9)</f>
        <v/>
      </c>
    </row>
    <row r="600" spans="16:18" x14ac:dyDescent="0.25">
      <c r="P600" s="22" t="str">
        <f>IF('Data-Plot'!C600="","",$Q$11+('Data-Plot'!C600-'Data-Plot'!D600)*$P$9)</f>
        <v/>
      </c>
      <c r="Q600" s="22" t="str">
        <f>IF('Data-Plot'!C600="","",MAX('Data-Plot'!$C$11:$C$1010)*(1+$Q$9/100))</f>
        <v/>
      </c>
      <c r="R600" s="22" t="str">
        <f>IF('Data-Plot'!C600="","",('Data-Plot'!C600-'Data-Plot'!D600)*$P$9)</f>
        <v/>
      </c>
    </row>
    <row r="601" spans="16:18" x14ac:dyDescent="0.25">
      <c r="P601" s="22" t="str">
        <f>IF('Data-Plot'!C601="","",$Q$11+('Data-Plot'!C601-'Data-Plot'!D601)*$P$9)</f>
        <v/>
      </c>
      <c r="Q601" s="22" t="str">
        <f>IF('Data-Plot'!C601="","",MAX('Data-Plot'!$C$11:$C$1010)*(1+$Q$9/100))</f>
        <v/>
      </c>
      <c r="R601" s="22" t="str">
        <f>IF('Data-Plot'!C601="","",('Data-Plot'!C601-'Data-Plot'!D601)*$P$9)</f>
        <v/>
      </c>
    </row>
    <row r="602" spans="16:18" x14ac:dyDescent="0.25">
      <c r="P602" s="22" t="str">
        <f>IF('Data-Plot'!C602="","",$Q$11+('Data-Plot'!C602-'Data-Plot'!D602)*$P$9)</f>
        <v/>
      </c>
      <c r="Q602" s="22" t="str">
        <f>IF('Data-Plot'!C602="","",MAX('Data-Plot'!$C$11:$C$1010)*(1+$Q$9/100))</f>
        <v/>
      </c>
      <c r="R602" s="22" t="str">
        <f>IF('Data-Plot'!C602="","",('Data-Plot'!C602-'Data-Plot'!D602)*$P$9)</f>
        <v/>
      </c>
    </row>
    <row r="603" spans="16:18" x14ac:dyDescent="0.25">
      <c r="P603" s="22" t="str">
        <f>IF('Data-Plot'!C603="","",$Q$11+('Data-Plot'!C603-'Data-Plot'!D603)*$P$9)</f>
        <v/>
      </c>
      <c r="Q603" s="22" t="str">
        <f>IF('Data-Plot'!C603="","",MAX('Data-Plot'!$C$11:$C$1010)*(1+$Q$9/100))</f>
        <v/>
      </c>
      <c r="R603" s="22" t="str">
        <f>IF('Data-Plot'!C603="","",('Data-Plot'!C603-'Data-Plot'!D603)*$P$9)</f>
        <v/>
      </c>
    </row>
    <row r="604" spans="16:18" x14ac:dyDescent="0.25">
      <c r="P604" s="22" t="str">
        <f>IF('Data-Plot'!C604="","",$Q$11+('Data-Plot'!C604-'Data-Plot'!D604)*$P$9)</f>
        <v/>
      </c>
      <c r="Q604" s="22" t="str">
        <f>IF('Data-Plot'!C604="","",MAX('Data-Plot'!$C$11:$C$1010)*(1+$Q$9/100))</f>
        <v/>
      </c>
      <c r="R604" s="22" t="str">
        <f>IF('Data-Plot'!C604="","",('Data-Plot'!C604-'Data-Plot'!D604)*$P$9)</f>
        <v/>
      </c>
    </row>
    <row r="605" spans="16:18" x14ac:dyDescent="0.25">
      <c r="P605" s="22" t="str">
        <f>IF('Data-Plot'!C605="","",$Q$11+('Data-Plot'!C605-'Data-Plot'!D605)*$P$9)</f>
        <v/>
      </c>
      <c r="Q605" s="22" t="str">
        <f>IF('Data-Plot'!C605="","",MAX('Data-Plot'!$C$11:$C$1010)*(1+$Q$9/100))</f>
        <v/>
      </c>
      <c r="R605" s="22" t="str">
        <f>IF('Data-Plot'!C605="","",('Data-Plot'!C605-'Data-Plot'!D605)*$P$9)</f>
        <v/>
      </c>
    </row>
    <row r="606" spans="16:18" x14ac:dyDescent="0.25">
      <c r="P606" s="22" t="str">
        <f>IF('Data-Plot'!C606="","",$Q$11+('Data-Plot'!C606-'Data-Plot'!D606)*$P$9)</f>
        <v/>
      </c>
      <c r="Q606" s="22" t="str">
        <f>IF('Data-Plot'!C606="","",MAX('Data-Plot'!$C$11:$C$1010)*(1+$Q$9/100))</f>
        <v/>
      </c>
      <c r="R606" s="22" t="str">
        <f>IF('Data-Plot'!C606="","",('Data-Plot'!C606-'Data-Plot'!D606)*$P$9)</f>
        <v/>
      </c>
    </row>
    <row r="607" spans="16:18" x14ac:dyDescent="0.25">
      <c r="P607" s="22" t="str">
        <f>IF('Data-Plot'!C607="","",$Q$11+('Data-Plot'!C607-'Data-Plot'!D607)*$P$9)</f>
        <v/>
      </c>
      <c r="Q607" s="22" t="str">
        <f>IF('Data-Plot'!C607="","",MAX('Data-Plot'!$C$11:$C$1010)*(1+$Q$9/100))</f>
        <v/>
      </c>
      <c r="R607" s="22" t="str">
        <f>IF('Data-Plot'!C607="","",('Data-Plot'!C607-'Data-Plot'!D607)*$P$9)</f>
        <v/>
      </c>
    </row>
    <row r="608" spans="16:18" x14ac:dyDescent="0.25">
      <c r="P608" s="22" t="str">
        <f>IF('Data-Plot'!C608="","",$Q$11+('Data-Plot'!C608-'Data-Plot'!D608)*$P$9)</f>
        <v/>
      </c>
      <c r="Q608" s="22" t="str">
        <f>IF('Data-Plot'!C608="","",MAX('Data-Plot'!$C$11:$C$1010)*(1+$Q$9/100))</f>
        <v/>
      </c>
      <c r="R608" s="22" t="str">
        <f>IF('Data-Plot'!C608="","",('Data-Plot'!C608-'Data-Plot'!D608)*$P$9)</f>
        <v/>
      </c>
    </row>
    <row r="609" spans="16:18" x14ac:dyDescent="0.25">
      <c r="P609" s="22" t="str">
        <f>IF('Data-Plot'!C609="","",$Q$11+('Data-Plot'!C609-'Data-Plot'!D609)*$P$9)</f>
        <v/>
      </c>
      <c r="Q609" s="22" t="str">
        <f>IF('Data-Plot'!C609="","",MAX('Data-Plot'!$C$11:$C$1010)*(1+$Q$9/100))</f>
        <v/>
      </c>
      <c r="R609" s="22" t="str">
        <f>IF('Data-Plot'!C609="","",('Data-Plot'!C609-'Data-Plot'!D609)*$P$9)</f>
        <v/>
      </c>
    </row>
    <row r="610" spans="16:18" x14ac:dyDescent="0.25">
      <c r="P610" s="22" t="str">
        <f>IF('Data-Plot'!C610="","",$Q$11+('Data-Plot'!C610-'Data-Plot'!D610)*$P$9)</f>
        <v/>
      </c>
      <c r="Q610" s="22" t="str">
        <f>IF('Data-Plot'!C610="","",MAX('Data-Plot'!$C$11:$C$1010)*(1+$Q$9/100))</f>
        <v/>
      </c>
      <c r="R610" s="22" t="str">
        <f>IF('Data-Plot'!C610="","",('Data-Plot'!C610-'Data-Plot'!D610)*$P$9)</f>
        <v/>
      </c>
    </row>
    <row r="611" spans="16:18" x14ac:dyDescent="0.25">
      <c r="P611" s="22" t="str">
        <f>IF('Data-Plot'!C611="","",$Q$11+('Data-Plot'!C611-'Data-Plot'!D611)*$P$9)</f>
        <v/>
      </c>
      <c r="Q611" s="22" t="str">
        <f>IF('Data-Plot'!C611="","",MAX('Data-Plot'!$C$11:$C$1010)*(1+$Q$9/100))</f>
        <v/>
      </c>
      <c r="R611" s="22" t="str">
        <f>IF('Data-Plot'!C611="","",('Data-Plot'!C611-'Data-Plot'!D611)*$P$9)</f>
        <v/>
      </c>
    </row>
    <row r="612" spans="16:18" x14ac:dyDescent="0.25">
      <c r="P612" s="22" t="str">
        <f>IF('Data-Plot'!C612="","",$Q$11+('Data-Plot'!C612-'Data-Plot'!D612)*$P$9)</f>
        <v/>
      </c>
      <c r="Q612" s="22" t="str">
        <f>IF('Data-Plot'!C612="","",MAX('Data-Plot'!$C$11:$C$1010)*(1+$Q$9/100))</f>
        <v/>
      </c>
      <c r="R612" s="22" t="str">
        <f>IF('Data-Plot'!C612="","",('Data-Plot'!C612-'Data-Plot'!D612)*$P$9)</f>
        <v/>
      </c>
    </row>
    <row r="613" spans="16:18" x14ac:dyDescent="0.25">
      <c r="P613" s="22" t="str">
        <f>IF('Data-Plot'!C613="","",$Q$11+('Data-Plot'!C613-'Data-Plot'!D613)*$P$9)</f>
        <v/>
      </c>
      <c r="Q613" s="22" t="str">
        <f>IF('Data-Plot'!C613="","",MAX('Data-Plot'!$C$11:$C$1010)*(1+$Q$9/100))</f>
        <v/>
      </c>
      <c r="R613" s="22" t="str">
        <f>IF('Data-Plot'!C613="","",('Data-Plot'!C613-'Data-Plot'!D613)*$P$9)</f>
        <v/>
      </c>
    </row>
    <row r="614" spans="16:18" x14ac:dyDescent="0.25">
      <c r="P614" s="22" t="str">
        <f>IF('Data-Plot'!C614="","",$Q$11+('Data-Plot'!C614-'Data-Plot'!D614)*$P$9)</f>
        <v/>
      </c>
      <c r="Q614" s="22" t="str">
        <f>IF('Data-Plot'!C614="","",MAX('Data-Plot'!$C$11:$C$1010)*(1+$Q$9/100))</f>
        <v/>
      </c>
      <c r="R614" s="22" t="str">
        <f>IF('Data-Plot'!C614="","",('Data-Plot'!C614-'Data-Plot'!D614)*$P$9)</f>
        <v/>
      </c>
    </row>
    <row r="615" spans="16:18" x14ac:dyDescent="0.25">
      <c r="P615" s="22" t="str">
        <f>IF('Data-Plot'!C615="","",$Q$11+('Data-Plot'!C615-'Data-Plot'!D615)*$P$9)</f>
        <v/>
      </c>
      <c r="Q615" s="22" t="str">
        <f>IF('Data-Plot'!C615="","",MAX('Data-Plot'!$C$11:$C$1010)*(1+$Q$9/100))</f>
        <v/>
      </c>
      <c r="R615" s="22" t="str">
        <f>IF('Data-Plot'!C615="","",('Data-Plot'!C615-'Data-Plot'!D615)*$P$9)</f>
        <v/>
      </c>
    </row>
    <row r="616" spans="16:18" x14ac:dyDescent="0.25">
      <c r="P616" s="22" t="str">
        <f>IF('Data-Plot'!C616="","",$Q$11+('Data-Plot'!C616-'Data-Plot'!D616)*$P$9)</f>
        <v/>
      </c>
      <c r="Q616" s="22" t="str">
        <f>IF('Data-Plot'!C616="","",MAX('Data-Plot'!$C$11:$C$1010)*(1+$Q$9/100))</f>
        <v/>
      </c>
      <c r="R616" s="22" t="str">
        <f>IF('Data-Plot'!C616="","",('Data-Plot'!C616-'Data-Plot'!D616)*$P$9)</f>
        <v/>
      </c>
    </row>
    <row r="617" spans="16:18" x14ac:dyDescent="0.25">
      <c r="P617" s="22" t="str">
        <f>IF('Data-Plot'!C617="","",$Q$11+('Data-Plot'!C617-'Data-Plot'!D617)*$P$9)</f>
        <v/>
      </c>
      <c r="Q617" s="22" t="str">
        <f>IF('Data-Plot'!C617="","",MAX('Data-Plot'!$C$11:$C$1010)*(1+$Q$9/100))</f>
        <v/>
      </c>
      <c r="R617" s="22" t="str">
        <f>IF('Data-Plot'!C617="","",('Data-Plot'!C617-'Data-Plot'!D617)*$P$9)</f>
        <v/>
      </c>
    </row>
    <row r="618" spans="16:18" x14ac:dyDescent="0.25">
      <c r="P618" s="22" t="str">
        <f>IF('Data-Plot'!C618="","",$Q$11+('Data-Plot'!C618-'Data-Plot'!D618)*$P$9)</f>
        <v/>
      </c>
      <c r="Q618" s="22" t="str">
        <f>IF('Data-Plot'!C618="","",MAX('Data-Plot'!$C$11:$C$1010)*(1+$Q$9/100))</f>
        <v/>
      </c>
      <c r="R618" s="22" t="str">
        <f>IF('Data-Plot'!C618="","",('Data-Plot'!C618-'Data-Plot'!D618)*$P$9)</f>
        <v/>
      </c>
    </row>
    <row r="619" spans="16:18" x14ac:dyDescent="0.25">
      <c r="P619" s="22" t="str">
        <f>IF('Data-Plot'!C619="","",$Q$11+('Data-Plot'!C619-'Data-Plot'!D619)*$P$9)</f>
        <v/>
      </c>
      <c r="Q619" s="22" t="str">
        <f>IF('Data-Plot'!C619="","",MAX('Data-Plot'!$C$11:$C$1010)*(1+$Q$9/100))</f>
        <v/>
      </c>
      <c r="R619" s="22" t="str">
        <f>IF('Data-Plot'!C619="","",('Data-Plot'!C619-'Data-Plot'!D619)*$P$9)</f>
        <v/>
      </c>
    </row>
    <row r="620" spans="16:18" x14ac:dyDescent="0.25">
      <c r="P620" s="22" t="str">
        <f>IF('Data-Plot'!C620="","",$Q$11+('Data-Plot'!C620-'Data-Plot'!D620)*$P$9)</f>
        <v/>
      </c>
      <c r="Q620" s="22" t="str">
        <f>IF('Data-Plot'!C620="","",MAX('Data-Plot'!$C$11:$C$1010)*(1+$Q$9/100))</f>
        <v/>
      </c>
      <c r="R620" s="22" t="str">
        <f>IF('Data-Plot'!C620="","",('Data-Plot'!C620-'Data-Plot'!D620)*$P$9)</f>
        <v/>
      </c>
    </row>
    <row r="621" spans="16:18" x14ac:dyDescent="0.25">
      <c r="P621" s="22" t="str">
        <f>IF('Data-Plot'!C621="","",$Q$11+('Data-Plot'!C621-'Data-Plot'!D621)*$P$9)</f>
        <v/>
      </c>
      <c r="Q621" s="22" t="str">
        <f>IF('Data-Plot'!C621="","",MAX('Data-Plot'!$C$11:$C$1010)*(1+$Q$9/100))</f>
        <v/>
      </c>
      <c r="R621" s="22" t="str">
        <f>IF('Data-Plot'!C621="","",('Data-Plot'!C621-'Data-Plot'!D621)*$P$9)</f>
        <v/>
      </c>
    </row>
    <row r="622" spans="16:18" x14ac:dyDescent="0.25">
      <c r="P622" s="22" t="str">
        <f>IF('Data-Plot'!C622="","",$Q$11+('Data-Plot'!C622-'Data-Plot'!D622)*$P$9)</f>
        <v/>
      </c>
      <c r="Q622" s="22" t="str">
        <f>IF('Data-Plot'!C622="","",MAX('Data-Plot'!$C$11:$C$1010)*(1+$Q$9/100))</f>
        <v/>
      </c>
      <c r="R622" s="22" t="str">
        <f>IF('Data-Plot'!C622="","",('Data-Plot'!C622-'Data-Plot'!D622)*$P$9)</f>
        <v/>
      </c>
    </row>
    <row r="623" spans="16:18" x14ac:dyDescent="0.25">
      <c r="P623" s="22" t="str">
        <f>IF('Data-Plot'!C623="","",$Q$11+('Data-Plot'!C623-'Data-Plot'!D623)*$P$9)</f>
        <v/>
      </c>
      <c r="Q623" s="22" t="str">
        <f>IF('Data-Plot'!C623="","",MAX('Data-Plot'!$C$11:$C$1010)*(1+$Q$9/100))</f>
        <v/>
      </c>
      <c r="R623" s="22" t="str">
        <f>IF('Data-Plot'!C623="","",('Data-Plot'!C623-'Data-Plot'!D623)*$P$9)</f>
        <v/>
      </c>
    </row>
    <row r="624" spans="16:18" x14ac:dyDescent="0.25">
      <c r="P624" s="22" t="str">
        <f>IF('Data-Plot'!C624="","",$Q$11+('Data-Plot'!C624-'Data-Plot'!D624)*$P$9)</f>
        <v/>
      </c>
      <c r="Q624" s="22" t="str">
        <f>IF('Data-Plot'!C624="","",MAX('Data-Plot'!$C$11:$C$1010)*(1+$Q$9/100))</f>
        <v/>
      </c>
      <c r="R624" s="22" t="str">
        <f>IF('Data-Plot'!C624="","",('Data-Plot'!C624-'Data-Plot'!D624)*$P$9)</f>
        <v/>
      </c>
    </row>
    <row r="625" spans="16:18" x14ac:dyDescent="0.25">
      <c r="P625" s="22" t="str">
        <f>IF('Data-Plot'!C625="","",$Q$11+('Data-Plot'!C625-'Data-Plot'!D625)*$P$9)</f>
        <v/>
      </c>
      <c r="Q625" s="22" t="str">
        <f>IF('Data-Plot'!C625="","",MAX('Data-Plot'!$C$11:$C$1010)*(1+$Q$9/100))</f>
        <v/>
      </c>
      <c r="R625" s="22" t="str">
        <f>IF('Data-Plot'!C625="","",('Data-Plot'!C625-'Data-Plot'!D625)*$P$9)</f>
        <v/>
      </c>
    </row>
    <row r="626" spans="16:18" x14ac:dyDescent="0.25">
      <c r="P626" s="22" t="str">
        <f>IF('Data-Plot'!C626="","",$Q$11+('Data-Plot'!C626-'Data-Plot'!D626)*$P$9)</f>
        <v/>
      </c>
      <c r="Q626" s="22" t="str">
        <f>IF('Data-Plot'!C626="","",MAX('Data-Plot'!$C$11:$C$1010)*(1+$Q$9/100))</f>
        <v/>
      </c>
      <c r="R626" s="22" t="str">
        <f>IF('Data-Plot'!C626="","",('Data-Plot'!C626-'Data-Plot'!D626)*$P$9)</f>
        <v/>
      </c>
    </row>
    <row r="627" spans="16:18" x14ac:dyDescent="0.25">
      <c r="P627" s="22" t="str">
        <f>IF('Data-Plot'!C627="","",$Q$11+('Data-Plot'!C627-'Data-Plot'!D627)*$P$9)</f>
        <v/>
      </c>
      <c r="Q627" s="22" t="str">
        <f>IF('Data-Plot'!C627="","",MAX('Data-Plot'!$C$11:$C$1010)*(1+$Q$9/100))</f>
        <v/>
      </c>
      <c r="R627" s="22" t="str">
        <f>IF('Data-Plot'!C627="","",('Data-Plot'!C627-'Data-Plot'!D627)*$P$9)</f>
        <v/>
      </c>
    </row>
    <row r="628" spans="16:18" x14ac:dyDescent="0.25">
      <c r="P628" s="22" t="str">
        <f>IF('Data-Plot'!C628="","",$Q$11+('Data-Plot'!C628-'Data-Plot'!D628)*$P$9)</f>
        <v/>
      </c>
      <c r="Q628" s="22" t="str">
        <f>IF('Data-Plot'!C628="","",MAX('Data-Plot'!$C$11:$C$1010)*(1+$Q$9/100))</f>
        <v/>
      </c>
      <c r="R628" s="22" t="str">
        <f>IF('Data-Plot'!C628="","",('Data-Plot'!C628-'Data-Plot'!D628)*$P$9)</f>
        <v/>
      </c>
    </row>
    <row r="629" spans="16:18" x14ac:dyDescent="0.25">
      <c r="P629" s="22" t="str">
        <f>IF('Data-Plot'!C629="","",$Q$11+('Data-Plot'!C629-'Data-Plot'!D629)*$P$9)</f>
        <v/>
      </c>
      <c r="Q629" s="22" t="str">
        <f>IF('Data-Plot'!C629="","",MAX('Data-Plot'!$C$11:$C$1010)*(1+$Q$9/100))</f>
        <v/>
      </c>
      <c r="R629" s="22" t="str">
        <f>IF('Data-Plot'!C629="","",('Data-Plot'!C629-'Data-Plot'!D629)*$P$9)</f>
        <v/>
      </c>
    </row>
    <row r="630" spans="16:18" x14ac:dyDescent="0.25">
      <c r="P630" s="22" t="str">
        <f>IF('Data-Plot'!C630="","",$Q$11+('Data-Plot'!C630-'Data-Plot'!D630)*$P$9)</f>
        <v/>
      </c>
      <c r="Q630" s="22" t="str">
        <f>IF('Data-Plot'!C630="","",MAX('Data-Plot'!$C$11:$C$1010)*(1+$Q$9/100))</f>
        <v/>
      </c>
      <c r="R630" s="22" t="str">
        <f>IF('Data-Plot'!C630="","",('Data-Plot'!C630-'Data-Plot'!D630)*$P$9)</f>
        <v/>
      </c>
    </row>
    <row r="631" spans="16:18" x14ac:dyDescent="0.25">
      <c r="P631" s="22" t="str">
        <f>IF('Data-Plot'!C631="","",$Q$11+('Data-Plot'!C631-'Data-Plot'!D631)*$P$9)</f>
        <v/>
      </c>
      <c r="Q631" s="22" t="str">
        <f>IF('Data-Plot'!C631="","",MAX('Data-Plot'!$C$11:$C$1010)*(1+$Q$9/100))</f>
        <v/>
      </c>
      <c r="R631" s="22" t="str">
        <f>IF('Data-Plot'!C631="","",('Data-Plot'!C631-'Data-Plot'!D631)*$P$9)</f>
        <v/>
      </c>
    </row>
    <row r="632" spans="16:18" x14ac:dyDescent="0.25">
      <c r="P632" s="22" t="str">
        <f>IF('Data-Plot'!C632="","",$Q$11+('Data-Plot'!C632-'Data-Plot'!D632)*$P$9)</f>
        <v/>
      </c>
      <c r="Q632" s="22" t="str">
        <f>IF('Data-Plot'!C632="","",MAX('Data-Plot'!$C$11:$C$1010)*(1+$Q$9/100))</f>
        <v/>
      </c>
      <c r="R632" s="22" t="str">
        <f>IF('Data-Plot'!C632="","",('Data-Plot'!C632-'Data-Plot'!D632)*$P$9)</f>
        <v/>
      </c>
    </row>
    <row r="633" spans="16:18" x14ac:dyDescent="0.25">
      <c r="P633" s="22" t="str">
        <f>IF('Data-Plot'!C633="","",$Q$11+('Data-Plot'!C633-'Data-Plot'!D633)*$P$9)</f>
        <v/>
      </c>
      <c r="Q633" s="22" t="str">
        <f>IF('Data-Plot'!C633="","",MAX('Data-Plot'!$C$11:$C$1010)*(1+$Q$9/100))</f>
        <v/>
      </c>
      <c r="R633" s="22" t="str">
        <f>IF('Data-Plot'!C633="","",('Data-Plot'!C633-'Data-Plot'!D633)*$P$9)</f>
        <v/>
      </c>
    </row>
    <row r="634" spans="16:18" x14ac:dyDescent="0.25">
      <c r="P634" s="22" t="str">
        <f>IF('Data-Plot'!C634="","",$Q$11+('Data-Plot'!C634-'Data-Plot'!D634)*$P$9)</f>
        <v/>
      </c>
      <c r="Q634" s="22" t="str">
        <f>IF('Data-Plot'!C634="","",MAX('Data-Plot'!$C$11:$C$1010)*(1+$Q$9/100))</f>
        <v/>
      </c>
      <c r="R634" s="22" t="str">
        <f>IF('Data-Plot'!C634="","",('Data-Plot'!C634-'Data-Plot'!D634)*$P$9)</f>
        <v/>
      </c>
    </row>
    <row r="635" spans="16:18" x14ac:dyDescent="0.25">
      <c r="P635" s="22" t="str">
        <f>IF('Data-Plot'!C635="","",$Q$11+('Data-Plot'!C635-'Data-Plot'!D635)*$P$9)</f>
        <v/>
      </c>
      <c r="Q635" s="22" t="str">
        <f>IF('Data-Plot'!C635="","",MAX('Data-Plot'!$C$11:$C$1010)*(1+$Q$9/100))</f>
        <v/>
      </c>
      <c r="R635" s="22" t="str">
        <f>IF('Data-Plot'!C635="","",('Data-Plot'!C635-'Data-Plot'!D635)*$P$9)</f>
        <v/>
      </c>
    </row>
    <row r="636" spans="16:18" x14ac:dyDescent="0.25">
      <c r="P636" s="22" t="str">
        <f>IF('Data-Plot'!C636="","",$Q$11+('Data-Plot'!C636-'Data-Plot'!D636)*$P$9)</f>
        <v/>
      </c>
      <c r="Q636" s="22" t="str">
        <f>IF('Data-Plot'!C636="","",MAX('Data-Plot'!$C$11:$C$1010)*(1+$Q$9/100))</f>
        <v/>
      </c>
      <c r="R636" s="22" t="str">
        <f>IF('Data-Plot'!C636="","",('Data-Plot'!C636-'Data-Plot'!D636)*$P$9)</f>
        <v/>
      </c>
    </row>
    <row r="637" spans="16:18" x14ac:dyDescent="0.25">
      <c r="P637" s="22" t="str">
        <f>IF('Data-Plot'!C637="","",$Q$11+('Data-Plot'!C637-'Data-Plot'!D637)*$P$9)</f>
        <v/>
      </c>
      <c r="Q637" s="22" t="str">
        <f>IF('Data-Plot'!C637="","",MAX('Data-Plot'!$C$11:$C$1010)*(1+$Q$9/100))</f>
        <v/>
      </c>
      <c r="R637" s="22" t="str">
        <f>IF('Data-Plot'!C637="","",('Data-Plot'!C637-'Data-Plot'!D637)*$P$9)</f>
        <v/>
      </c>
    </row>
    <row r="638" spans="16:18" x14ac:dyDescent="0.25">
      <c r="P638" s="22" t="str">
        <f>IF('Data-Plot'!C638="","",$Q$11+('Data-Plot'!C638-'Data-Plot'!D638)*$P$9)</f>
        <v/>
      </c>
      <c r="Q638" s="22" t="str">
        <f>IF('Data-Plot'!C638="","",MAX('Data-Plot'!$C$11:$C$1010)*(1+$Q$9/100))</f>
        <v/>
      </c>
      <c r="R638" s="22" t="str">
        <f>IF('Data-Plot'!C638="","",('Data-Plot'!C638-'Data-Plot'!D638)*$P$9)</f>
        <v/>
      </c>
    </row>
    <row r="639" spans="16:18" x14ac:dyDescent="0.25">
      <c r="P639" s="22" t="str">
        <f>IF('Data-Plot'!C639="","",$Q$11+('Data-Plot'!C639-'Data-Plot'!D639)*$P$9)</f>
        <v/>
      </c>
      <c r="Q639" s="22" t="str">
        <f>IF('Data-Plot'!C639="","",MAX('Data-Plot'!$C$11:$C$1010)*(1+$Q$9/100))</f>
        <v/>
      </c>
      <c r="R639" s="22" t="str">
        <f>IF('Data-Plot'!C639="","",('Data-Plot'!C639-'Data-Plot'!D639)*$P$9)</f>
        <v/>
      </c>
    </row>
    <row r="640" spans="16:18" x14ac:dyDescent="0.25">
      <c r="P640" s="22" t="str">
        <f>IF('Data-Plot'!C640="","",$Q$11+('Data-Plot'!C640-'Data-Plot'!D640)*$P$9)</f>
        <v/>
      </c>
      <c r="Q640" s="22" t="str">
        <f>IF('Data-Plot'!C640="","",MAX('Data-Plot'!$C$11:$C$1010)*(1+$Q$9/100))</f>
        <v/>
      </c>
      <c r="R640" s="22" t="str">
        <f>IF('Data-Plot'!C640="","",('Data-Plot'!C640-'Data-Plot'!D640)*$P$9)</f>
        <v/>
      </c>
    </row>
    <row r="641" spans="16:18" x14ac:dyDescent="0.25">
      <c r="P641" s="22" t="str">
        <f>IF('Data-Plot'!C641="","",$Q$11+('Data-Plot'!C641-'Data-Plot'!D641)*$P$9)</f>
        <v/>
      </c>
      <c r="Q641" s="22" t="str">
        <f>IF('Data-Plot'!C641="","",MAX('Data-Plot'!$C$11:$C$1010)*(1+$Q$9/100))</f>
        <v/>
      </c>
      <c r="R641" s="22" t="str">
        <f>IF('Data-Plot'!C641="","",('Data-Plot'!C641-'Data-Plot'!D641)*$P$9)</f>
        <v/>
      </c>
    </row>
    <row r="642" spans="16:18" x14ac:dyDescent="0.25">
      <c r="P642" s="22" t="str">
        <f>IF('Data-Plot'!C642="","",$Q$11+('Data-Plot'!C642-'Data-Plot'!D642)*$P$9)</f>
        <v/>
      </c>
      <c r="Q642" s="22" t="str">
        <f>IF('Data-Plot'!C642="","",MAX('Data-Plot'!$C$11:$C$1010)*(1+$Q$9/100))</f>
        <v/>
      </c>
      <c r="R642" s="22" t="str">
        <f>IF('Data-Plot'!C642="","",('Data-Plot'!C642-'Data-Plot'!D642)*$P$9)</f>
        <v/>
      </c>
    </row>
    <row r="643" spans="16:18" x14ac:dyDescent="0.25">
      <c r="P643" s="22" t="str">
        <f>IF('Data-Plot'!C643="","",$Q$11+('Data-Plot'!C643-'Data-Plot'!D643)*$P$9)</f>
        <v/>
      </c>
      <c r="Q643" s="22" t="str">
        <f>IF('Data-Plot'!C643="","",MAX('Data-Plot'!$C$11:$C$1010)*(1+$Q$9/100))</f>
        <v/>
      </c>
      <c r="R643" s="22" t="str">
        <f>IF('Data-Plot'!C643="","",('Data-Plot'!C643-'Data-Plot'!D643)*$P$9)</f>
        <v/>
      </c>
    </row>
    <row r="644" spans="16:18" x14ac:dyDescent="0.25">
      <c r="P644" s="22" t="str">
        <f>IF('Data-Plot'!C644="","",$Q$11+('Data-Plot'!C644-'Data-Plot'!D644)*$P$9)</f>
        <v/>
      </c>
      <c r="Q644" s="22" t="str">
        <f>IF('Data-Plot'!C644="","",MAX('Data-Plot'!$C$11:$C$1010)*(1+$Q$9/100))</f>
        <v/>
      </c>
      <c r="R644" s="22" t="str">
        <f>IF('Data-Plot'!C644="","",('Data-Plot'!C644-'Data-Plot'!D644)*$P$9)</f>
        <v/>
      </c>
    </row>
    <row r="645" spans="16:18" x14ac:dyDescent="0.25">
      <c r="P645" s="22" t="str">
        <f>IF('Data-Plot'!C645="","",$Q$11+('Data-Plot'!C645-'Data-Plot'!D645)*$P$9)</f>
        <v/>
      </c>
      <c r="Q645" s="22" t="str">
        <f>IF('Data-Plot'!C645="","",MAX('Data-Plot'!$C$11:$C$1010)*(1+$Q$9/100))</f>
        <v/>
      </c>
      <c r="R645" s="22" t="str">
        <f>IF('Data-Plot'!C645="","",('Data-Plot'!C645-'Data-Plot'!D645)*$P$9)</f>
        <v/>
      </c>
    </row>
    <row r="646" spans="16:18" x14ac:dyDescent="0.25">
      <c r="P646" s="22" t="str">
        <f>IF('Data-Plot'!C646="","",$Q$11+('Data-Plot'!C646-'Data-Plot'!D646)*$P$9)</f>
        <v/>
      </c>
      <c r="Q646" s="22" t="str">
        <f>IF('Data-Plot'!C646="","",MAX('Data-Plot'!$C$11:$C$1010)*(1+$Q$9/100))</f>
        <v/>
      </c>
      <c r="R646" s="22" t="str">
        <f>IF('Data-Plot'!C646="","",('Data-Plot'!C646-'Data-Plot'!D646)*$P$9)</f>
        <v/>
      </c>
    </row>
    <row r="647" spans="16:18" x14ac:dyDescent="0.25">
      <c r="P647" s="22" t="str">
        <f>IF('Data-Plot'!C647="","",$Q$11+('Data-Plot'!C647-'Data-Plot'!D647)*$P$9)</f>
        <v/>
      </c>
      <c r="Q647" s="22" t="str">
        <f>IF('Data-Plot'!C647="","",MAX('Data-Plot'!$C$11:$C$1010)*(1+$Q$9/100))</f>
        <v/>
      </c>
      <c r="R647" s="22" t="str">
        <f>IF('Data-Plot'!C647="","",('Data-Plot'!C647-'Data-Plot'!D647)*$P$9)</f>
        <v/>
      </c>
    </row>
    <row r="648" spans="16:18" x14ac:dyDescent="0.25">
      <c r="P648" s="22" t="str">
        <f>IF('Data-Plot'!C648="","",$Q$11+('Data-Plot'!C648-'Data-Plot'!D648)*$P$9)</f>
        <v/>
      </c>
      <c r="Q648" s="22" t="str">
        <f>IF('Data-Plot'!C648="","",MAX('Data-Plot'!$C$11:$C$1010)*(1+$Q$9/100))</f>
        <v/>
      </c>
      <c r="R648" s="22" t="str">
        <f>IF('Data-Plot'!C648="","",('Data-Plot'!C648-'Data-Plot'!D648)*$P$9)</f>
        <v/>
      </c>
    </row>
    <row r="649" spans="16:18" x14ac:dyDescent="0.25">
      <c r="P649" s="22" t="str">
        <f>IF('Data-Plot'!C649="","",$Q$11+('Data-Plot'!C649-'Data-Plot'!D649)*$P$9)</f>
        <v/>
      </c>
      <c r="Q649" s="22" t="str">
        <f>IF('Data-Plot'!C649="","",MAX('Data-Plot'!$C$11:$C$1010)*(1+$Q$9/100))</f>
        <v/>
      </c>
      <c r="R649" s="22" t="str">
        <f>IF('Data-Plot'!C649="","",('Data-Plot'!C649-'Data-Plot'!D649)*$P$9)</f>
        <v/>
      </c>
    </row>
    <row r="650" spans="16:18" x14ac:dyDescent="0.25">
      <c r="P650" s="22" t="str">
        <f>IF('Data-Plot'!C650="","",$Q$11+('Data-Plot'!C650-'Data-Plot'!D650)*$P$9)</f>
        <v/>
      </c>
      <c r="Q650" s="22" t="str">
        <f>IF('Data-Plot'!C650="","",MAX('Data-Plot'!$C$11:$C$1010)*(1+$Q$9/100))</f>
        <v/>
      </c>
      <c r="R650" s="22" t="str">
        <f>IF('Data-Plot'!C650="","",('Data-Plot'!C650-'Data-Plot'!D650)*$P$9)</f>
        <v/>
      </c>
    </row>
    <row r="651" spans="16:18" x14ac:dyDescent="0.25">
      <c r="P651" s="22" t="str">
        <f>IF('Data-Plot'!C651="","",$Q$11+('Data-Plot'!C651-'Data-Plot'!D651)*$P$9)</f>
        <v/>
      </c>
      <c r="Q651" s="22" t="str">
        <f>IF('Data-Plot'!C651="","",MAX('Data-Plot'!$C$11:$C$1010)*(1+$Q$9/100))</f>
        <v/>
      </c>
      <c r="R651" s="22" t="str">
        <f>IF('Data-Plot'!C651="","",('Data-Plot'!C651-'Data-Plot'!D651)*$P$9)</f>
        <v/>
      </c>
    </row>
    <row r="652" spans="16:18" x14ac:dyDescent="0.25">
      <c r="P652" s="22" t="str">
        <f>IF('Data-Plot'!C652="","",$Q$11+('Data-Plot'!C652-'Data-Plot'!D652)*$P$9)</f>
        <v/>
      </c>
      <c r="Q652" s="22" t="str">
        <f>IF('Data-Plot'!C652="","",MAX('Data-Plot'!$C$11:$C$1010)*(1+$Q$9/100))</f>
        <v/>
      </c>
      <c r="R652" s="22" t="str">
        <f>IF('Data-Plot'!C652="","",('Data-Plot'!C652-'Data-Plot'!D652)*$P$9)</f>
        <v/>
      </c>
    </row>
    <row r="653" spans="16:18" x14ac:dyDescent="0.25">
      <c r="P653" s="22" t="str">
        <f>IF('Data-Plot'!C653="","",$Q$11+('Data-Plot'!C653-'Data-Plot'!D653)*$P$9)</f>
        <v/>
      </c>
      <c r="Q653" s="22" t="str">
        <f>IF('Data-Plot'!C653="","",MAX('Data-Plot'!$C$11:$C$1010)*(1+$Q$9/100))</f>
        <v/>
      </c>
      <c r="R653" s="22" t="str">
        <f>IF('Data-Plot'!C653="","",('Data-Plot'!C653-'Data-Plot'!D653)*$P$9)</f>
        <v/>
      </c>
    </row>
    <row r="654" spans="16:18" x14ac:dyDescent="0.25">
      <c r="P654" s="22" t="str">
        <f>IF('Data-Plot'!C654="","",$Q$11+('Data-Plot'!C654-'Data-Plot'!D654)*$P$9)</f>
        <v/>
      </c>
      <c r="Q654" s="22" t="str">
        <f>IF('Data-Plot'!C654="","",MAX('Data-Plot'!$C$11:$C$1010)*(1+$Q$9/100))</f>
        <v/>
      </c>
      <c r="R654" s="22" t="str">
        <f>IF('Data-Plot'!C654="","",('Data-Plot'!C654-'Data-Plot'!D654)*$P$9)</f>
        <v/>
      </c>
    </row>
    <row r="655" spans="16:18" x14ac:dyDescent="0.25">
      <c r="P655" s="22" t="str">
        <f>IF('Data-Plot'!C655="","",$Q$11+('Data-Plot'!C655-'Data-Plot'!D655)*$P$9)</f>
        <v/>
      </c>
      <c r="Q655" s="22" t="str">
        <f>IF('Data-Plot'!C655="","",MAX('Data-Plot'!$C$11:$C$1010)*(1+$Q$9/100))</f>
        <v/>
      </c>
      <c r="R655" s="22" t="str">
        <f>IF('Data-Plot'!C655="","",('Data-Plot'!C655-'Data-Plot'!D655)*$P$9)</f>
        <v/>
      </c>
    </row>
    <row r="656" spans="16:18" x14ac:dyDescent="0.25">
      <c r="P656" s="22" t="str">
        <f>IF('Data-Plot'!C656="","",$Q$11+('Data-Plot'!C656-'Data-Plot'!D656)*$P$9)</f>
        <v/>
      </c>
      <c r="Q656" s="22" t="str">
        <f>IF('Data-Plot'!C656="","",MAX('Data-Plot'!$C$11:$C$1010)*(1+$Q$9/100))</f>
        <v/>
      </c>
      <c r="R656" s="22" t="str">
        <f>IF('Data-Plot'!C656="","",('Data-Plot'!C656-'Data-Plot'!D656)*$P$9)</f>
        <v/>
      </c>
    </row>
    <row r="657" spans="16:18" x14ac:dyDescent="0.25">
      <c r="P657" s="22" t="str">
        <f>IF('Data-Plot'!C657="","",$Q$11+('Data-Plot'!C657-'Data-Plot'!D657)*$P$9)</f>
        <v/>
      </c>
      <c r="Q657" s="22" t="str">
        <f>IF('Data-Plot'!C657="","",MAX('Data-Plot'!$C$11:$C$1010)*(1+$Q$9/100))</f>
        <v/>
      </c>
      <c r="R657" s="22" t="str">
        <f>IF('Data-Plot'!C657="","",('Data-Plot'!C657-'Data-Plot'!D657)*$P$9)</f>
        <v/>
      </c>
    </row>
    <row r="658" spans="16:18" x14ac:dyDescent="0.25">
      <c r="P658" s="22" t="str">
        <f>IF('Data-Plot'!C658="","",$Q$11+('Data-Plot'!C658-'Data-Plot'!D658)*$P$9)</f>
        <v/>
      </c>
      <c r="Q658" s="22" t="str">
        <f>IF('Data-Plot'!C658="","",MAX('Data-Plot'!$C$11:$C$1010)*(1+$Q$9/100))</f>
        <v/>
      </c>
      <c r="R658" s="22" t="str">
        <f>IF('Data-Plot'!C658="","",('Data-Plot'!C658-'Data-Plot'!D658)*$P$9)</f>
        <v/>
      </c>
    </row>
    <row r="659" spans="16:18" x14ac:dyDescent="0.25">
      <c r="P659" s="22" t="str">
        <f>IF('Data-Plot'!C659="","",$Q$11+('Data-Plot'!C659-'Data-Plot'!D659)*$P$9)</f>
        <v/>
      </c>
      <c r="Q659" s="22" t="str">
        <f>IF('Data-Plot'!C659="","",MAX('Data-Plot'!$C$11:$C$1010)*(1+$Q$9/100))</f>
        <v/>
      </c>
      <c r="R659" s="22" t="str">
        <f>IF('Data-Plot'!C659="","",('Data-Plot'!C659-'Data-Plot'!D659)*$P$9)</f>
        <v/>
      </c>
    </row>
    <row r="660" spans="16:18" x14ac:dyDescent="0.25">
      <c r="P660" s="22" t="str">
        <f>IF('Data-Plot'!C660="","",$Q$11+('Data-Plot'!C660-'Data-Plot'!D660)*$P$9)</f>
        <v/>
      </c>
      <c r="Q660" s="22" t="str">
        <f>IF('Data-Plot'!C660="","",MAX('Data-Plot'!$C$11:$C$1010)*(1+$Q$9/100))</f>
        <v/>
      </c>
      <c r="R660" s="22" t="str">
        <f>IF('Data-Plot'!C660="","",('Data-Plot'!C660-'Data-Plot'!D660)*$P$9)</f>
        <v/>
      </c>
    </row>
    <row r="661" spans="16:18" x14ac:dyDescent="0.25">
      <c r="P661" s="22" t="str">
        <f>IF('Data-Plot'!C661="","",$Q$11+('Data-Plot'!C661-'Data-Plot'!D661)*$P$9)</f>
        <v/>
      </c>
      <c r="Q661" s="22" t="str">
        <f>IF('Data-Plot'!C661="","",MAX('Data-Plot'!$C$11:$C$1010)*(1+$Q$9/100))</f>
        <v/>
      </c>
      <c r="R661" s="22" t="str">
        <f>IF('Data-Plot'!C661="","",('Data-Plot'!C661-'Data-Plot'!D661)*$P$9)</f>
        <v/>
      </c>
    </row>
    <row r="662" spans="16:18" x14ac:dyDescent="0.25">
      <c r="P662" s="22" t="str">
        <f>IF('Data-Plot'!C662="","",$Q$11+('Data-Plot'!C662-'Data-Plot'!D662)*$P$9)</f>
        <v/>
      </c>
      <c r="Q662" s="22" t="str">
        <f>IF('Data-Plot'!C662="","",MAX('Data-Plot'!$C$11:$C$1010)*(1+$Q$9/100))</f>
        <v/>
      </c>
      <c r="R662" s="22" t="str">
        <f>IF('Data-Plot'!C662="","",('Data-Plot'!C662-'Data-Plot'!D662)*$P$9)</f>
        <v/>
      </c>
    </row>
    <row r="663" spans="16:18" x14ac:dyDescent="0.25">
      <c r="P663" s="22" t="str">
        <f>IF('Data-Plot'!C663="","",$Q$11+('Data-Plot'!C663-'Data-Plot'!D663)*$P$9)</f>
        <v/>
      </c>
      <c r="Q663" s="22" t="str">
        <f>IF('Data-Plot'!C663="","",MAX('Data-Plot'!$C$11:$C$1010)*(1+$Q$9/100))</f>
        <v/>
      </c>
      <c r="R663" s="22" t="str">
        <f>IF('Data-Plot'!C663="","",('Data-Plot'!C663-'Data-Plot'!D663)*$P$9)</f>
        <v/>
      </c>
    </row>
    <row r="664" spans="16:18" x14ac:dyDescent="0.25">
      <c r="P664" s="22" t="str">
        <f>IF('Data-Plot'!C664="","",$Q$11+('Data-Plot'!C664-'Data-Plot'!D664)*$P$9)</f>
        <v/>
      </c>
      <c r="Q664" s="22" t="str">
        <f>IF('Data-Plot'!C664="","",MAX('Data-Plot'!$C$11:$C$1010)*(1+$Q$9/100))</f>
        <v/>
      </c>
      <c r="R664" s="22" t="str">
        <f>IF('Data-Plot'!C664="","",('Data-Plot'!C664-'Data-Plot'!D664)*$P$9)</f>
        <v/>
      </c>
    </row>
    <row r="665" spans="16:18" x14ac:dyDescent="0.25">
      <c r="P665" s="22" t="str">
        <f>IF('Data-Plot'!C665="","",$Q$11+('Data-Plot'!C665-'Data-Plot'!D665)*$P$9)</f>
        <v/>
      </c>
      <c r="Q665" s="22" t="str">
        <f>IF('Data-Plot'!C665="","",MAX('Data-Plot'!$C$11:$C$1010)*(1+$Q$9/100))</f>
        <v/>
      </c>
      <c r="R665" s="22" t="str">
        <f>IF('Data-Plot'!C665="","",('Data-Plot'!C665-'Data-Plot'!D665)*$P$9)</f>
        <v/>
      </c>
    </row>
    <row r="666" spans="16:18" x14ac:dyDescent="0.25">
      <c r="P666" s="22" t="str">
        <f>IF('Data-Plot'!C666="","",$Q$11+('Data-Plot'!C666-'Data-Plot'!D666)*$P$9)</f>
        <v/>
      </c>
      <c r="Q666" s="22" t="str">
        <f>IF('Data-Plot'!C666="","",MAX('Data-Plot'!$C$11:$C$1010)*(1+$Q$9/100))</f>
        <v/>
      </c>
      <c r="R666" s="22" t="str">
        <f>IF('Data-Plot'!C666="","",('Data-Plot'!C666-'Data-Plot'!D666)*$P$9)</f>
        <v/>
      </c>
    </row>
    <row r="667" spans="16:18" x14ac:dyDescent="0.25">
      <c r="P667" s="22" t="str">
        <f>IF('Data-Plot'!C667="","",$Q$11+('Data-Plot'!C667-'Data-Plot'!D667)*$P$9)</f>
        <v/>
      </c>
      <c r="Q667" s="22" t="str">
        <f>IF('Data-Plot'!C667="","",MAX('Data-Plot'!$C$11:$C$1010)*(1+$Q$9/100))</f>
        <v/>
      </c>
      <c r="R667" s="22" t="str">
        <f>IF('Data-Plot'!C667="","",('Data-Plot'!C667-'Data-Plot'!D667)*$P$9)</f>
        <v/>
      </c>
    </row>
    <row r="668" spans="16:18" x14ac:dyDescent="0.25">
      <c r="P668" s="22" t="str">
        <f>IF('Data-Plot'!C668="","",$Q$11+('Data-Plot'!C668-'Data-Plot'!D668)*$P$9)</f>
        <v/>
      </c>
      <c r="Q668" s="22" t="str">
        <f>IF('Data-Plot'!C668="","",MAX('Data-Plot'!$C$11:$C$1010)*(1+$Q$9/100))</f>
        <v/>
      </c>
      <c r="R668" s="22" t="str">
        <f>IF('Data-Plot'!C668="","",('Data-Plot'!C668-'Data-Plot'!D668)*$P$9)</f>
        <v/>
      </c>
    </row>
    <row r="669" spans="16:18" x14ac:dyDescent="0.25">
      <c r="P669" s="22" t="str">
        <f>IF('Data-Plot'!C669="","",$Q$11+('Data-Plot'!C669-'Data-Plot'!D669)*$P$9)</f>
        <v/>
      </c>
      <c r="Q669" s="22" t="str">
        <f>IF('Data-Plot'!C669="","",MAX('Data-Plot'!$C$11:$C$1010)*(1+$Q$9/100))</f>
        <v/>
      </c>
      <c r="R669" s="22" t="str">
        <f>IF('Data-Plot'!C669="","",('Data-Plot'!C669-'Data-Plot'!D669)*$P$9)</f>
        <v/>
      </c>
    </row>
    <row r="670" spans="16:18" x14ac:dyDescent="0.25">
      <c r="P670" s="22" t="str">
        <f>IF('Data-Plot'!C670="","",$Q$11+('Data-Plot'!C670-'Data-Plot'!D670)*$P$9)</f>
        <v/>
      </c>
      <c r="Q670" s="22" t="str">
        <f>IF('Data-Plot'!C670="","",MAX('Data-Plot'!$C$11:$C$1010)*(1+$Q$9/100))</f>
        <v/>
      </c>
      <c r="R670" s="22" t="str">
        <f>IF('Data-Plot'!C670="","",('Data-Plot'!C670-'Data-Plot'!D670)*$P$9)</f>
        <v/>
      </c>
    </row>
    <row r="671" spans="16:18" x14ac:dyDescent="0.25">
      <c r="P671" s="22" t="str">
        <f>IF('Data-Plot'!C671="","",$Q$11+('Data-Plot'!C671-'Data-Plot'!D671)*$P$9)</f>
        <v/>
      </c>
      <c r="Q671" s="22" t="str">
        <f>IF('Data-Plot'!C671="","",MAX('Data-Plot'!$C$11:$C$1010)*(1+$Q$9/100))</f>
        <v/>
      </c>
      <c r="R671" s="22" t="str">
        <f>IF('Data-Plot'!C671="","",('Data-Plot'!C671-'Data-Plot'!D671)*$P$9)</f>
        <v/>
      </c>
    </row>
    <row r="672" spans="16:18" x14ac:dyDescent="0.25">
      <c r="P672" s="22" t="str">
        <f>IF('Data-Plot'!C672="","",$Q$11+('Data-Plot'!C672-'Data-Plot'!D672)*$P$9)</f>
        <v/>
      </c>
      <c r="Q672" s="22" t="str">
        <f>IF('Data-Plot'!C672="","",MAX('Data-Plot'!$C$11:$C$1010)*(1+$Q$9/100))</f>
        <v/>
      </c>
      <c r="R672" s="22" t="str">
        <f>IF('Data-Plot'!C672="","",('Data-Plot'!C672-'Data-Plot'!D672)*$P$9)</f>
        <v/>
      </c>
    </row>
    <row r="673" spans="16:18" x14ac:dyDescent="0.25">
      <c r="P673" s="22" t="str">
        <f>IF('Data-Plot'!C673="","",$Q$11+('Data-Plot'!C673-'Data-Plot'!D673)*$P$9)</f>
        <v/>
      </c>
      <c r="Q673" s="22" t="str">
        <f>IF('Data-Plot'!C673="","",MAX('Data-Plot'!$C$11:$C$1010)*(1+$Q$9/100))</f>
        <v/>
      </c>
      <c r="R673" s="22" t="str">
        <f>IF('Data-Plot'!C673="","",('Data-Plot'!C673-'Data-Plot'!D673)*$P$9)</f>
        <v/>
      </c>
    </row>
    <row r="674" spans="16:18" x14ac:dyDescent="0.25">
      <c r="P674" s="22" t="str">
        <f>IF('Data-Plot'!C674="","",$Q$11+('Data-Plot'!C674-'Data-Plot'!D674)*$P$9)</f>
        <v/>
      </c>
      <c r="Q674" s="22" t="str">
        <f>IF('Data-Plot'!C674="","",MAX('Data-Plot'!$C$11:$C$1010)*(1+$Q$9/100))</f>
        <v/>
      </c>
      <c r="R674" s="22" t="str">
        <f>IF('Data-Plot'!C674="","",('Data-Plot'!C674-'Data-Plot'!D674)*$P$9)</f>
        <v/>
      </c>
    </row>
    <row r="675" spans="16:18" x14ac:dyDescent="0.25">
      <c r="P675" s="22" t="str">
        <f>IF('Data-Plot'!C675="","",$Q$11+('Data-Plot'!C675-'Data-Plot'!D675)*$P$9)</f>
        <v/>
      </c>
      <c r="Q675" s="22" t="str">
        <f>IF('Data-Plot'!C675="","",MAX('Data-Plot'!$C$11:$C$1010)*(1+$Q$9/100))</f>
        <v/>
      </c>
      <c r="R675" s="22" t="str">
        <f>IF('Data-Plot'!C675="","",('Data-Plot'!C675-'Data-Plot'!D675)*$P$9)</f>
        <v/>
      </c>
    </row>
    <row r="676" spans="16:18" x14ac:dyDescent="0.25">
      <c r="P676" s="22" t="str">
        <f>IF('Data-Plot'!C676="","",$Q$11+('Data-Plot'!C676-'Data-Plot'!D676)*$P$9)</f>
        <v/>
      </c>
      <c r="Q676" s="22" t="str">
        <f>IF('Data-Plot'!C676="","",MAX('Data-Plot'!$C$11:$C$1010)*(1+$Q$9/100))</f>
        <v/>
      </c>
      <c r="R676" s="22" t="str">
        <f>IF('Data-Plot'!C676="","",('Data-Plot'!C676-'Data-Plot'!D676)*$P$9)</f>
        <v/>
      </c>
    </row>
    <row r="677" spans="16:18" x14ac:dyDescent="0.25">
      <c r="P677" s="22" t="str">
        <f>IF('Data-Plot'!C677="","",$Q$11+('Data-Plot'!C677-'Data-Plot'!D677)*$P$9)</f>
        <v/>
      </c>
      <c r="Q677" s="22" t="str">
        <f>IF('Data-Plot'!C677="","",MAX('Data-Plot'!$C$11:$C$1010)*(1+$Q$9/100))</f>
        <v/>
      </c>
      <c r="R677" s="22" t="str">
        <f>IF('Data-Plot'!C677="","",('Data-Plot'!C677-'Data-Plot'!D677)*$P$9)</f>
        <v/>
      </c>
    </row>
    <row r="678" spans="16:18" x14ac:dyDescent="0.25">
      <c r="P678" s="22" t="str">
        <f>IF('Data-Plot'!C678="","",$Q$11+('Data-Plot'!C678-'Data-Plot'!D678)*$P$9)</f>
        <v/>
      </c>
      <c r="Q678" s="22" t="str">
        <f>IF('Data-Plot'!C678="","",MAX('Data-Plot'!$C$11:$C$1010)*(1+$Q$9/100))</f>
        <v/>
      </c>
      <c r="R678" s="22" t="str">
        <f>IF('Data-Plot'!C678="","",('Data-Plot'!C678-'Data-Plot'!D678)*$P$9)</f>
        <v/>
      </c>
    </row>
    <row r="679" spans="16:18" x14ac:dyDescent="0.25">
      <c r="P679" s="22" t="str">
        <f>IF('Data-Plot'!C679="","",$Q$11+('Data-Plot'!C679-'Data-Plot'!D679)*$P$9)</f>
        <v/>
      </c>
      <c r="Q679" s="22" t="str">
        <f>IF('Data-Plot'!C679="","",MAX('Data-Plot'!$C$11:$C$1010)*(1+$Q$9/100))</f>
        <v/>
      </c>
      <c r="R679" s="22" t="str">
        <f>IF('Data-Plot'!C679="","",('Data-Plot'!C679-'Data-Plot'!D679)*$P$9)</f>
        <v/>
      </c>
    </row>
    <row r="680" spans="16:18" x14ac:dyDescent="0.25">
      <c r="P680" s="22" t="str">
        <f>IF('Data-Plot'!C680="","",$Q$11+('Data-Plot'!C680-'Data-Plot'!D680)*$P$9)</f>
        <v/>
      </c>
      <c r="Q680" s="22" t="str">
        <f>IF('Data-Plot'!C680="","",MAX('Data-Plot'!$C$11:$C$1010)*(1+$Q$9/100))</f>
        <v/>
      </c>
      <c r="R680" s="22" t="str">
        <f>IF('Data-Plot'!C680="","",('Data-Plot'!C680-'Data-Plot'!D680)*$P$9)</f>
        <v/>
      </c>
    </row>
    <row r="681" spans="16:18" x14ac:dyDescent="0.25">
      <c r="P681" s="22" t="str">
        <f>IF('Data-Plot'!C681="","",$Q$11+('Data-Plot'!C681-'Data-Plot'!D681)*$P$9)</f>
        <v/>
      </c>
      <c r="Q681" s="22" t="str">
        <f>IF('Data-Plot'!C681="","",MAX('Data-Plot'!$C$11:$C$1010)*(1+$Q$9/100))</f>
        <v/>
      </c>
      <c r="R681" s="22" t="str">
        <f>IF('Data-Plot'!C681="","",('Data-Plot'!C681-'Data-Plot'!D681)*$P$9)</f>
        <v/>
      </c>
    </row>
    <row r="682" spans="16:18" x14ac:dyDescent="0.25">
      <c r="P682" s="22" t="str">
        <f>IF('Data-Plot'!C682="","",$Q$11+('Data-Plot'!C682-'Data-Plot'!D682)*$P$9)</f>
        <v/>
      </c>
      <c r="Q682" s="22" t="str">
        <f>IF('Data-Plot'!C682="","",MAX('Data-Plot'!$C$11:$C$1010)*(1+$Q$9/100))</f>
        <v/>
      </c>
      <c r="R682" s="22" t="str">
        <f>IF('Data-Plot'!C682="","",('Data-Plot'!C682-'Data-Plot'!D682)*$P$9)</f>
        <v/>
      </c>
    </row>
    <row r="683" spans="16:18" x14ac:dyDescent="0.25">
      <c r="P683" s="22" t="str">
        <f>IF('Data-Plot'!C683="","",$Q$11+('Data-Plot'!C683-'Data-Plot'!D683)*$P$9)</f>
        <v/>
      </c>
      <c r="Q683" s="22" t="str">
        <f>IF('Data-Plot'!C683="","",MAX('Data-Plot'!$C$11:$C$1010)*(1+$Q$9/100))</f>
        <v/>
      </c>
      <c r="R683" s="22" t="str">
        <f>IF('Data-Plot'!C683="","",('Data-Plot'!C683-'Data-Plot'!D683)*$P$9)</f>
        <v/>
      </c>
    </row>
    <row r="684" spans="16:18" x14ac:dyDescent="0.25">
      <c r="P684" s="22" t="str">
        <f>IF('Data-Plot'!C684="","",$Q$11+('Data-Plot'!C684-'Data-Plot'!D684)*$P$9)</f>
        <v/>
      </c>
      <c r="Q684" s="22" t="str">
        <f>IF('Data-Plot'!C684="","",MAX('Data-Plot'!$C$11:$C$1010)*(1+$Q$9/100))</f>
        <v/>
      </c>
      <c r="R684" s="22" t="str">
        <f>IF('Data-Plot'!C684="","",('Data-Plot'!C684-'Data-Plot'!D684)*$P$9)</f>
        <v/>
      </c>
    </row>
    <row r="685" spans="16:18" x14ac:dyDescent="0.25">
      <c r="P685" s="22" t="str">
        <f>IF('Data-Plot'!C685="","",$Q$11+('Data-Plot'!C685-'Data-Plot'!D685)*$P$9)</f>
        <v/>
      </c>
      <c r="Q685" s="22" t="str">
        <f>IF('Data-Plot'!C685="","",MAX('Data-Plot'!$C$11:$C$1010)*(1+$Q$9/100))</f>
        <v/>
      </c>
      <c r="R685" s="22" t="str">
        <f>IF('Data-Plot'!C685="","",('Data-Plot'!C685-'Data-Plot'!D685)*$P$9)</f>
        <v/>
      </c>
    </row>
    <row r="686" spans="16:18" x14ac:dyDescent="0.25">
      <c r="P686" s="22" t="str">
        <f>IF('Data-Plot'!C686="","",$Q$11+('Data-Plot'!C686-'Data-Plot'!D686)*$P$9)</f>
        <v/>
      </c>
      <c r="Q686" s="22" t="str">
        <f>IF('Data-Plot'!C686="","",MAX('Data-Plot'!$C$11:$C$1010)*(1+$Q$9/100))</f>
        <v/>
      </c>
      <c r="R686" s="22" t="str">
        <f>IF('Data-Plot'!C686="","",('Data-Plot'!C686-'Data-Plot'!D686)*$P$9)</f>
        <v/>
      </c>
    </row>
    <row r="687" spans="16:18" x14ac:dyDescent="0.25">
      <c r="P687" s="22" t="str">
        <f>IF('Data-Plot'!C687="","",$Q$11+('Data-Plot'!C687-'Data-Plot'!D687)*$P$9)</f>
        <v/>
      </c>
      <c r="Q687" s="22" t="str">
        <f>IF('Data-Plot'!C687="","",MAX('Data-Plot'!$C$11:$C$1010)*(1+$Q$9/100))</f>
        <v/>
      </c>
      <c r="R687" s="22" t="str">
        <f>IF('Data-Plot'!C687="","",('Data-Plot'!C687-'Data-Plot'!D687)*$P$9)</f>
        <v/>
      </c>
    </row>
    <row r="688" spans="16:18" x14ac:dyDescent="0.25">
      <c r="P688" s="22" t="str">
        <f>IF('Data-Plot'!C688="","",$Q$11+('Data-Plot'!C688-'Data-Plot'!D688)*$P$9)</f>
        <v/>
      </c>
      <c r="Q688" s="22" t="str">
        <f>IF('Data-Plot'!C688="","",MAX('Data-Plot'!$C$11:$C$1010)*(1+$Q$9/100))</f>
        <v/>
      </c>
      <c r="R688" s="22" t="str">
        <f>IF('Data-Plot'!C688="","",('Data-Plot'!C688-'Data-Plot'!D688)*$P$9)</f>
        <v/>
      </c>
    </row>
    <row r="689" spans="16:18" x14ac:dyDescent="0.25">
      <c r="P689" s="22" t="str">
        <f>IF('Data-Plot'!C689="","",$Q$11+('Data-Plot'!C689-'Data-Plot'!D689)*$P$9)</f>
        <v/>
      </c>
      <c r="Q689" s="22" t="str">
        <f>IF('Data-Plot'!C689="","",MAX('Data-Plot'!$C$11:$C$1010)*(1+$Q$9/100))</f>
        <v/>
      </c>
      <c r="R689" s="22" t="str">
        <f>IF('Data-Plot'!C689="","",('Data-Plot'!C689-'Data-Plot'!D689)*$P$9)</f>
        <v/>
      </c>
    </row>
    <row r="690" spans="16:18" x14ac:dyDescent="0.25">
      <c r="P690" s="22" t="str">
        <f>IF('Data-Plot'!C690="","",$Q$11+('Data-Plot'!C690-'Data-Plot'!D690)*$P$9)</f>
        <v/>
      </c>
      <c r="Q690" s="22" t="str">
        <f>IF('Data-Plot'!C690="","",MAX('Data-Plot'!$C$11:$C$1010)*(1+$Q$9/100))</f>
        <v/>
      </c>
      <c r="R690" s="22" t="str">
        <f>IF('Data-Plot'!C690="","",('Data-Plot'!C690-'Data-Plot'!D690)*$P$9)</f>
        <v/>
      </c>
    </row>
    <row r="691" spans="16:18" x14ac:dyDescent="0.25">
      <c r="P691" s="22" t="str">
        <f>IF('Data-Plot'!C691="","",$Q$11+('Data-Plot'!C691-'Data-Plot'!D691)*$P$9)</f>
        <v/>
      </c>
      <c r="Q691" s="22" t="str">
        <f>IF('Data-Plot'!C691="","",MAX('Data-Plot'!$C$11:$C$1010)*(1+$Q$9/100))</f>
        <v/>
      </c>
      <c r="R691" s="22" t="str">
        <f>IF('Data-Plot'!C691="","",('Data-Plot'!C691-'Data-Plot'!D691)*$P$9)</f>
        <v/>
      </c>
    </row>
    <row r="692" spans="16:18" x14ac:dyDescent="0.25">
      <c r="P692" s="22" t="str">
        <f>IF('Data-Plot'!C692="","",$Q$11+('Data-Plot'!C692-'Data-Plot'!D692)*$P$9)</f>
        <v/>
      </c>
      <c r="Q692" s="22" t="str">
        <f>IF('Data-Plot'!C692="","",MAX('Data-Plot'!$C$11:$C$1010)*(1+$Q$9/100))</f>
        <v/>
      </c>
      <c r="R692" s="22" t="str">
        <f>IF('Data-Plot'!C692="","",('Data-Plot'!C692-'Data-Plot'!D692)*$P$9)</f>
        <v/>
      </c>
    </row>
    <row r="693" spans="16:18" x14ac:dyDescent="0.25">
      <c r="P693" s="22" t="str">
        <f>IF('Data-Plot'!C693="","",$Q$11+('Data-Plot'!C693-'Data-Plot'!D693)*$P$9)</f>
        <v/>
      </c>
      <c r="Q693" s="22" t="str">
        <f>IF('Data-Plot'!C693="","",MAX('Data-Plot'!$C$11:$C$1010)*(1+$Q$9/100))</f>
        <v/>
      </c>
      <c r="R693" s="22" t="str">
        <f>IF('Data-Plot'!C693="","",('Data-Plot'!C693-'Data-Plot'!D693)*$P$9)</f>
        <v/>
      </c>
    </row>
    <row r="694" spans="16:18" x14ac:dyDescent="0.25">
      <c r="P694" s="22" t="str">
        <f>IF('Data-Plot'!C694="","",$Q$11+('Data-Plot'!C694-'Data-Plot'!D694)*$P$9)</f>
        <v/>
      </c>
      <c r="Q694" s="22" t="str">
        <f>IF('Data-Plot'!C694="","",MAX('Data-Plot'!$C$11:$C$1010)*(1+$Q$9/100))</f>
        <v/>
      </c>
      <c r="R694" s="22" t="str">
        <f>IF('Data-Plot'!C694="","",('Data-Plot'!C694-'Data-Plot'!D694)*$P$9)</f>
        <v/>
      </c>
    </row>
    <row r="695" spans="16:18" x14ac:dyDescent="0.25">
      <c r="P695" s="22" t="str">
        <f>IF('Data-Plot'!C695="","",$Q$11+('Data-Plot'!C695-'Data-Plot'!D695)*$P$9)</f>
        <v/>
      </c>
      <c r="Q695" s="22" t="str">
        <f>IF('Data-Plot'!C695="","",MAX('Data-Plot'!$C$11:$C$1010)*(1+$Q$9/100))</f>
        <v/>
      </c>
      <c r="R695" s="22" t="str">
        <f>IF('Data-Plot'!C695="","",('Data-Plot'!C695-'Data-Plot'!D695)*$P$9)</f>
        <v/>
      </c>
    </row>
    <row r="696" spans="16:18" x14ac:dyDescent="0.25">
      <c r="P696" s="22" t="str">
        <f>IF('Data-Plot'!C696="","",$Q$11+('Data-Plot'!C696-'Data-Plot'!D696)*$P$9)</f>
        <v/>
      </c>
      <c r="Q696" s="22" t="str">
        <f>IF('Data-Plot'!C696="","",MAX('Data-Plot'!$C$11:$C$1010)*(1+$Q$9/100))</f>
        <v/>
      </c>
      <c r="R696" s="22" t="str">
        <f>IF('Data-Plot'!C696="","",('Data-Plot'!C696-'Data-Plot'!D696)*$P$9)</f>
        <v/>
      </c>
    </row>
    <row r="697" spans="16:18" x14ac:dyDescent="0.25">
      <c r="P697" s="22" t="str">
        <f>IF('Data-Plot'!C697="","",$Q$11+('Data-Plot'!C697-'Data-Plot'!D697)*$P$9)</f>
        <v/>
      </c>
      <c r="Q697" s="22" t="str">
        <f>IF('Data-Plot'!C697="","",MAX('Data-Plot'!$C$11:$C$1010)*(1+$Q$9/100))</f>
        <v/>
      </c>
      <c r="R697" s="22" t="str">
        <f>IF('Data-Plot'!C697="","",('Data-Plot'!C697-'Data-Plot'!D697)*$P$9)</f>
        <v/>
      </c>
    </row>
    <row r="698" spans="16:18" x14ac:dyDescent="0.25">
      <c r="P698" s="22" t="str">
        <f>IF('Data-Plot'!C698="","",$Q$11+('Data-Plot'!C698-'Data-Plot'!D698)*$P$9)</f>
        <v/>
      </c>
      <c r="Q698" s="22" t="str">
        <f>IF('Data-Plot'!C698="","",MAX('Data-Plot'!$C$11:$C$1010)*(1+$Q$9/100))</f>
        <v/>
      </c>
      <c r="R698" s="22" t="str">
        <f>IF('Data-Plot'!C698="","",('Data-Plot'!C698-'Data-Plot'!D698)*$P$9)</f>
        <v/>
      </c>
    </row>
    <row r="699" spans="16:18" x14ac:dyDescent="0.25">
      <c r="P699" s="22" t="str">
        <f>IF('Data-Plot'!C699="","",$Q$11+('Data-Plot'!C699-'Data-Plot'!D699)*$P$9)</f>
        <v/>
      </c>
      <c r="Q699" s="22" t="str">
        <f>IF('Data-Plot'!C699="","",MAX('Data-Plot'!$C$11:$C$1010)*(1+$Q$9/100))</f>
        <v/>
      </c>
      <c r="R699" s="22" t="str">
        <f>IF('Data-Plot'!C699="","",('Data-Plot'!C699-'Data-Plot'!D699)*$P$9)</f>
        <v/>
      </c>
    </row>
    <row r="700" spans="16:18" x14ac:dyDescent="0.25">
      <c r="P700" s="22" t="str">
        <f>IF('Data-Plot'!C700="","",$Q$11+('Data-Plot'!C700-'Data-Plot'!D700)*$P$9)</f>
        <v/>
      </c>
      <c r="Q700" s="22" t="str">
        <f>IF('Data-Plot'!C700="","",MAX('Data-Plot'!$C$11:$C$1010)*(1+$Q$9/100))</f>
        <v/>
      </c>
      <c r="R700" s="22" t="str">
        <f>IF('Data-Plot'!C700="","",('Data-Plot'!C700-'Data-Plot'!D700)*$P$9)</f>
        <v/>
      </c>
    </row>
    <row r="701" spans="16:18" x14ac:dyDescent="0.25">
      <c r="P701" s="22" t="str">
        <f>IF('Data-Plot'!C701="","",$Q$11+('Data-Plot'!C701-'Data-Plot'!D701)*$P$9)</f>
        <v/>
      </c>
      <c r="Q701" s="22" t="str">
        <f>IF('Data-Plot'!C701="","",MAX('Data-Plot'!$C$11:$C$1010)*(1+$Q$9/100))</f>
        <v/>
      </c>
      <c r="R701" s="22" t="str">
        <f>IF('Data-Plot'!C701="","",('Data-Plot'!C701-'Data-Plot'!D701)*$P$9)</f>
        <v/>
      </c>
    </row>
    <row r="702" spans="16:18" x14ac:dyDescent="0.25">
      <c r="P702" s="22" t="str">
        <f>IF('Data-Plot'!C702="","",$Q$11+('Data-Plot'!C702-'Data-Plot'!D702)*$P$9)</f>
        <v/>
      </c>
      <c r="Q702" s="22" t="str">
        <f>IF('Data-Plot'!C702="","",MAX('Data-Plot'!$C$11:$C$1010)*(1+$Q$9/100))</f>
        <v/>
      </c>
      <c r="R702" s="22" t="str">
        <f>IF('Data-Plot'!C702="","",('Data-Plot'!C702-'Data-Plot'!D702)*$P$9)</f>
        <v/>
      </c>
    </row>
    <row r="703" spans="16:18" x14ac:dyDescent="0.25">
      <c r="P703" s="22" t="str">
        <f>IF('Data-Plot'!C703="","",$Q$11+('Data-Plot'!C703-'Data-Plot'!D703)*$P$9)</f>
        <v/>
      </c>
      <c r="Q703" s="22" t="str">
        <f>IF('Data-Plot'!C703="","",MAX('Data-Plot'!$C$11:$C$1010)*(1+$Q$9/100))</f>
        <v/>
      </c>
      <c r="R703" s="22" t="str">
        <f>IF('Data-Plot'!C703="","",('Data-Plot'!C703-'Data-Plot'!D703)*$P$9)</f>
        <v/>
      </c>
    </row>
    <row r="704" spans="16:18" x14ac:dyDescent="0.25">
      <c r="P704" s="22" t="str">
        <f>IF('Data-Plot'!C704="","",$Q$11+('Data-Plot'!C704-'Data-Plot'!D704)*$P$9)</f>
        <v/>
      </c>
      <c r="Q704" s="22" t="str">
        <f>IF('Data-Plot'!C704="","",MAX('Data-Plot'!$C$11:$C$1010)*(1+$Q$9/100))</f>
        <v/>
      </c>
      <c r="R704" s="22" t="str">
        <f>IF('Data-Plot'!C704="","",('Data-Plot'!C704-'Data-Plot'!D704)*$P$9)</f>
        <v/>
      </c>
    </row>
    <row r="705" spans="16:18" x14ac:dyDescent="0.25">
      <c r="P705" s="22" t="str">
        <f>IF('Data-Plot'!C705="","",$Q$11+('Data-Plot'!C705-'Data-Plot'!D705)*$P$9)</f>
        <v/>
      </c>
      <c r="Q705" s="22" t="str">
        <f>IF('Data-Plot'!C705="","",MAX('Data-Plot'!$C$11:$C$1010)*(1+$Q$9/100))</f>
        <v/>
      </c>
      <c r="R705" s="22" t="str">
        <f>IF('Data-Plot'!C705="","",('Data-Plot'!C705-'Data-Plot'!D705)*$P$9)</f>
        <v/>
      </c>
    </row>
    <row r="706" spans="16:18" x14ac:dyDescent="0.25">
      <c r="P706" s="22" t="str">
        <f>IF('Data-Plot'!C706="","",$Q$11+('Data-Plot'!C706-'Data-Plot'!D706)*$P$9)</f>
        <v/>
      </c>
      <c r="Q706" s="22" t="str">
        <f>IF('Data-Plot'!C706="","",MAX('Data-Plot'!$C$11:$C$1010)*(1+$Q$9/100))</f>
        <v/>
      </c>
      <c r="R706" s="22" t="str">
        <f>IF('Data-Plot'!C706="","",('Data-Plot'!C706-'Data-Plot'!D706)*$P$9)</f>
        <v/>
      </c>
    </row>
    <row r="707" spans="16:18" x14ac:dyDescent="0.25">
      <c r="P707" s="22" t="str">
        <f>IF('Data-Plot'!C707="","",$Q$11+('Data-Plot'!C707-'Data-Plot'!D707)*$P$9)</f>
        <v/>
      </c>
      <c r="Q707" s="22" t="str">
        <f>IF('Data-Plot'!C707="","",MAX('Data-Plot'!$C$11:$C$1010)*(1+$Q$9/100))</f>
        <v/>
      </c>
      <c r="R707" s="22" t="str">
        <f>IF('Data-Plot'!C707="","",('Data-Plot'!C707-'Data-Plot'!D707)*$P$9)</f>
        <v/>
      </c>
    </row>
    <row r="708" spans="16:18" x14ac:dyDescent="0.25">
      <c r="P708" s="22" t="str">
        <f>IF('Data-Plot'!C708="","",$Q$11+('Data-Plot'!C708-'Data-Plot'!D708)*$P$9)</f>
        <v/>
      </c>
      <c r="Q708" s="22" t="str">
        <f>IF('Data-Plot'!C708="","",MAX('Data-Plot'!$C$11:$C$1010)*(1+$Q$9/100))</f>
        <v/>
      </c>
      <c r="R708" s="22" t="str">
        <f>IF('Data-Plot'!C708="","",('Data-Plot'!C708-'Data-Plot'!D708)*$P$9)</f>
        <v/>
      </c>
    </row>
    <row r="709" spans="16:18" x14ac:dyDescent="0.25">
      <c r="P709" s="22" t="str">
        <f>IF('Data-Plot'!C709="","",$Q$11+('Data-Plot'!C709-'Data-Plot'!D709)*$P$9)</f>
        <v/>
      </c>
      <c r="Q709" s="22" t="str">
        <f>IF('Data-Plot'!C709="","",MAX('Data-Plot'!$C$11:$C$1010)*(1+$Q$9/100))</f>
        <v/>
      </c>
      <c r="R709" s="22" t="str">
        <f>IF('Data-Plot'!C709="","",('Data-Plot'!C709-'Data-Plot'!D709)*$P$9)</f>
        <v/>
      </c>
    </row>
    <row r="710" spans="16:18" x14ac:dyDescent="0.25">
      <c r="P710" s="22" t="str">
        <f>IF('Data-Plot'!C710="","",$Q$11+('Data-Plot'!C710-'Data-Plot'!D710)*$P$9)</f>
        <v/>
      </c>
      <c r="Q710" s="22" t="str">
        <f>IF('Data-Plot'!C710="","",MAX('Data-Plot'!$C$11:$C$1010)*(1+$Q$9/100))</f>
        <v/>
      </c>
      <c r="R710" s="22" t="str">
        <f>IF('Data-Plot'!C710="","",('Data-Plot'!C710-'Data-Plot'!D710)*$P$9)</f>
        <v/>
      </c>
    </row>
    <row r="711" spans="16:18" x14ac:dyDescent="0.25">
      <c r="P711" s="22" t="str">
        <f>IF('Data-Plot'!C711="","",$Q$11+('Data-Plot'!C711-'Data-Plot'!D711)*$P$9)</f>
        <v/>
      </c>
      <c r="Q711" s="22" t="str">
        <f>IF('Data-Plot'!C711="","",MAX('Data-Plot'!$C$11:$C$1010)*(1+$Q$9/100))</f>
        <v/>
      </c>
      <c r="R711" s="22" t="str">
        <f>IF('Data-Plot'!C711="","",('Data-Plot'!C711-'Data-Plot'!D711)*$P$9)</f>
        <v/>
      </c>
    </row>
    <row r="712" spans="16:18" x14ac:dyDescent="0.25">
      <c r="P712" s="22" t="str">
        <f>IF('Data-Plot'!C712="","",$Q$11+('Data-Plot'!C712-'Data-Plot'!D712)*$P$9)</f>
        <v/>
      </c>
      <c r="Q712" s="22" t="str">
        <f>IF('Data-Plot'!C712="","",MAX('Data-Plot'!$C$11:$C$1010)*(1+$Q$9/100))</f>
        <v/>
      </c>
      <c r="R712" s="22" t="str">
        <f>IF('Data-Plot'!C712="","",('Data-Plot'!C712-'Data-Plot'!D712)*$P$9)</f>
        <v/>
      </c>
    </row>
    <row r="713" spans="16:18" x14ac:dyDescent="0.25">
      <c r="P713" s="22" t="str">
        <f>IF('Data-Plot'!C713="","",$Q$11+('Data-Plot'!C713-'Data-Plot'!D713)*$P$9)</f>
        <v/>
      </c>
      <c r="Q713" s="22" t="str">
        <f>IF('Data-Plot'!C713="","",MAX('Data-Plot'!$C$11:$C$1010)*(1+$Q$9/100))</f>
        <v/>
      </c>
      <c r="R713" s="22" t="str">
        <f>IF('Data-Plot'!C713="","",('Data-Plot'!C713-'Data-Plot'!D713)*$P$9)</f>
        <v/>
      </c>
    </row>
    <row r="714" spans="16:18" x14ac:dyDescent="0.25">
      <c r="P714" s="22" t="str">
        <f>IF('Data-Plot'!C714="","",$Q$11+('Data-Plot'!C714-'Data-Plot'!D714)*$P$9)</f>
        <v/>
      </c>
      <c r="Q714" s="22" t="str">
        <f>IF('Data-Plot'!C714="","",MAX('Data-Plot'!$C$11:$C$1010)*(1+$Q$9/100))</f>
        <v/>
      </c>
      <c r="R714" s="22" t="str">
        <f>IF('Data-Plot'!C714="","",('Data-Plot'!C714-'Data-Plot'!D714)*$P$9)</f>
        <v/>
      </c>
    </row>
    <row r="715" spans="16:18" x14ac:dyDescent="0.25">
      <c r="P715" s="22" t="str">
        <f>IF('Data-Plot'!C715="","",$Q$11+('Data-Plot'!C715-'Data-Plot'!D715)*$P$9)</f>
        <v/>
      </c>
      <c r="Q715" s="22" t="str">
        <f>IF('Data-Plot'!C715="","",MAX('Data-Plot'!$C$11:$C$1010)*(1+$Q$9/100))</f>
        <v/>
      </c>
      <c r="R715" s="22" t="str">
        <f>IF('Data-Plot'!C715="","",('Data-Plot'!C715-'Data-Plot'!D715)*$P$9)</f>
        <v/>
      </c>
    </row>
    <row r="716" spans="16:18" x14ac:dyDescent="0.25">
      <c r="P716" s="22" t="str">
        <f>IF('Data-Plot'!C716="","",$Q$11+('Data-Plot'!C716-'Data-Plot'!D716)*$P$9)</f>
        <v/>
      </c>
      <c r="Q716" s="22" t="str">
        <f>IF('Data-Plot'!C716="","",MAX('Data-Plot'!$C$11:$C$1010)*(1+$Q$9/100))</f>
        <v/>
      </c>
      <c r="R716" s="22" t="str">
        <f>IF('Data-Plot'!C716="","",('Data-Plot'!C716-'Data-Plot'!D716)*$P$9)</f>
        <v/>
      </c>
    </row>
    <row r="717" spans="16:18" x14ac:dyDescent="0.25">
      <c r="P717" s="22" t="str">
        <f>IF('Data-Plot'!C717="","",$Q$11+('Data-Plot'!C717-'Data-Plot'!D717)*$P$9)</f>
        <v/>
      </c>
      <c r="Q717" s="22" t="str">
        <f>IF('Data-Plot'!C717="","",MAX('Data-Plot'!$C$11:$C$1010)*(1+$Q$9/100))</f>
        <v/>
      </c>
      <c r="R717" s="22" t="str">
        <f>IF('Data-Plot'!C717="","",('Data-Plot'!C717-'Data-Plot'!D717)*$P$9)</f>
        <v/>
      </c>
    </row>
    <row r="718" spans="16:18" x14ac:dyDescent="0.25">
      <c r="P718" s="22" t="str">
        <f>IF('Data-Plot'!C718="","",$Q$11+('Data-Plot'!C718-'Data-Plot'!D718)*$P$9)</f>
        <v/>
      </c>
      <c r="Q718" s="22" t="str">
        <f>IF('Data-Plot'!C718="","",MAX('Data-Plot'!$C$11:$C$1010)*(1+$Q$9/100))</f>
        <v/>
      </c>
      <c r="R718" s="22" t="str">
        <f>IF('Data-Plot'!C718="","",('Data-Plot'!C718-'Data-Plot'!D718)*$P$9)</f>
        <v/>
      </c>
    </row>
    <row r="719" spans="16:18" x14ac:dyDescent="0.25">
      <c r="P719" s="22" t="str">
        <f>IF('Data-Plot'!C719="","",$Q$11+('Data-Plot'!C719-'Data-Plot'!D719)*$P$9)</f>
        <v/>
      </c>
      <c r="Q719" s="22" t="str">
        <f>IF('Data-Plot'!C719="","",MAX('Data-Plot'!$C$11:$C$1010)*(1+$Q$9/100))</f>
        <v/>
      </c>
      <c r="R719" s="22" t="str">
        <f>IF('Data-Plot'!C719="","",('Data-Plot'!C719-'Data-Plot'!D719)*$P$9)</f>
        <v/>
      </c>
    </row>
    <row r="720" spans="16:18" x14ac:dyDescent="0.25">
      <c r="P720" s="22" t="str">
        <f>IF('Data-Plot'!C720="","",$Q$11+('Data-Plot'!C720-'Data-Plot'!D720)*$P$9)</f>
        <v/>
      </c>
      <c r="Q720" s="22" t="str">
        <f>IF('Data-Plot'!C720="","",MAX('Data-Plot'!$C$11:$C$1010)*(1+$Q$9/100))</f>
        <v/>
      </c>
      <c r="R720" s="22" t="str">
        <f>IF('Data-Plot'!C720="","",('Data-Plot'!C720-'Data-Plot'!D720)*$P$9)</f>
        <v/>
      </c>
    </row>
    <row r="721" spans="16:18" x14ac:dyDescent="0.25">
      <c r="P721" s="22" t="str">
        <f>IF('Data-Plot'!C721="","",$Q$11+('Data-Plot'!C721-'Data-Plot'!D721)*$P$9)</f>
        <v/>
      </c>
      <c r="Q721" s="22" t="str">
        <f>IF('Data-Plot'!C721="","",MAX('Data-Plot'!$C$11:$C$1010)*(1+$Q$9/100))</f>
        <v/>
      </c>
      <c r="R721" s="22" t="str">
        <f>IF('Data-Plot'!C721="","",('Data-Plot'!C721-'Data-Plot'!D721)*$P$9)</f>
        <v/>
      </c>
    </row>
    <row r="722" spans="16:18" x14ac:dyDescent="0.25">
      <c r="P722" s="22" t="str">
        <f>IF('Data-Plot'!C722="","",$Q$11+('Data-Plot'!C722-'Data-Plot'!D722)*$P$9)</f>
        <v/>
      </c>
      <c r="Q722" s="22" t="str">
        <f>IF('Data-Plot'!C722="","",MAX('Data-Plot'!$C$11:$C$1010)*(1+$Q$9/100))</f>
        <v/>
      </c>
      <c r="R722" s="22" t="str">
        <f>IF('Data-Plot'!C722="","",('Data-Plot'!C722-'Data-Plot'!D722)*$P$9)</f>
        <v/>
      </c>
    </row>
    <row r="723" spans="16:18" x14ac:dyDescent="0.25">
      <c r="P723" s="22" t="str">
        <f>IF('Data-Plot'!C723="","",$Q$11+('Data-Plot'!C723-'Data-Plot'!D723)*$P$9)</f>
        <v/>
      </c>
      <c r="Q723" s="22" t="str">
        <f>IF('Data-Plot'!C723="","",MAX('Data-Plot'!$C$11:$C$1010)*(1+$Q$9/100))</f>
        <v/>
      </c>
      <c r="R723" s="22" t="str">
        <f>IF('Data-Plot'!C723="","",('Data-Plot'!C723-'Data-Plot'!D723)*$P$9)</f>
        <v/>
      </c>
    </row>
    <row r="724" spans="16:18" x14ac:dyDescent="0.25">
      <c r="P724" s="22" t="str">
        <f>IF('Data-Plot'!C724="","",$Q$11+('Data-Plot'!C724-'Data-Plot'!D724)*$P$9)</f>
        <v/>
      </c>
      <c r="Q724" s="22" t="str">
        <f>IF('Data-Plot'!C724="","",MAX('Data-Plot'!$C$11:$C$1010)*(1+$Q$9/100))</f>
        <v/>
      </c>
      <c r="R724" s="22" t="str">
        <f>IF('Data-Plot'!C724="","",('Data-Plot'!C724-'Data-Plot'!D724)*$P$9)</f>
        <v/>
      </c>
    </row>
    <row r="725" spans="16:18" x14ac:dyDescent="0.25">
      <c r="P725" s="22" t="str">
        <f>IF('Data-Plot'!C725="","",$Q$11+('Data-Plot'!C725-'Data-Plot'!D725)*$P$9)</f>
        <v/>
      </c>
      <c r="Q725" s="22" t="str">
        <f>IF('Data-Plot'!C725="","",MAX('Data-Plot'!$C$11:$C$1010)*(1+$Q$9/100))</f>
        <v/>
      </c>
      <c r="R725" s="22" t="str">
        <f>IF('Data-Plot'!C725="","",('Data-Plot'!C725-'Data-Plot'!D725)*$P$9)</f>
        <v/>
      </c>
    </row>
    <row r="726" spans="16:18" x14ac:dyDescent="0.25">
      <c r="P726" s="22" t="str">
        <f>IF('Data-Plot'!C726="","",$Q$11+('Data-Plot'!C726-'Data-Plot'!D726)*$P$9)</f>
        <v/>
      </c>
      <c r="Q726" s="22" t="str">
        <f>IF('Data-Plot'!C726="","",MAX('Data-Plot'!$C$11:$C$1010)*(1+$Q$9/100))</f>
        <v/>
      </c>
      <c r="R726" s="22" t="str">
        <f>IF('Data-Plot'!C726="","",('Data-Plot'!C726-'Data-Plot'!D726)*$P$9)</f>
        <v/>
      </c>
    </row>
    <row r="727" spans="16:18" x14ac:dyDescent="0.25">
      <c r="P727" s="22" t="str">
        <f>IF('Data-Plot'!C727="","",$Q$11+('Data-Plot'!C727-'Data-Plot'!D727)*$P$9)</f>
        <v/>
      </c>
      <c r="Q727" s="22" t="str">
        <f>IF('Data-Plot'!C727="","",MAX('Data-Plot'!$C$11:$C$1010)*(1+$Q$9/100))</f>
        <v/>
      </c>
      <c r="R727" s="22" t="str">
        <f>IF('Data-Plot'!C727="","",('Data-Plot'!C727-'Data-Plot'!D727)*$P$9)</f>
        <v/>
      </c>
    </row>
    <row r="728" spans="16:18" x14ac:dyDescent="0.25">
      <c r="P728" s="22" t="str">
        <f>IF('Data-Plot'!C728="","",$Q$11+('Data-Plot'!C728-'Data-Plot'!D728)*$P$9)</f>
        <v/>
      </c>
      <c r="Q728" s="22" t="str">
        <f>IF('Data-Plot'!C728="","",MAX('Data-Plot'!$C$11:$C$1010)*(1+$Q$9/100))</f>
        <v/>
      </c>
      <c r="R728" s="22" t="str">
        <f>IF('Data-Plot'!C728="","",('Data-Plot'!C728-'Data-Plot'!D728)*$P$9)</f>
        <v/>
      </c>
    </row>
    <row r="729" spans="16:18" x14ac:dyDescent="0.25">
      <c r="P729" s="22" t="str">
        <f>IF('Data-Plot'!C729="","",$Q$11+('Data-Plot'!C729-'Data-Plot'!D729)*$P$9)</f>
        <v/>
      </c>
      <c r="Q729" s="22" t="str">
        <f>IF('Data-Plot'!C729="","",MAX('Data-Plot'!$C$11:$C$1010)*(1+$Q$9/100))</f>
        <v/>
      </c>
      <c r="R729" s="22" t="str">
        <f>IF('Data-Plot'!C729="","",('Data-Plot'!C729-'Data-Plot'!D729)*$P$9)</f>
        <v/>
      </c>
    </row>
    <row r="730" spans="16:18" x14ac:dyDescent="0.25">
      <c r="P730" s="22" t="str">
        <f>IF('Data-Plot'!C730="","",$Q$11+('Data-Plot'!C730-'Data-Plot'!D730)*$P$9)</f>
        <v/>
      </c>
      <c r="Q730" s="22" t="str">
        <f>IF('Data-Plot'!C730="","",MAX('Data-Plot'!$C$11:$C$1010)*(1+$Q$9/100))</f>
        <v/>
      </c>
      <c r="R730" s="22" t="str">
        <f>IF('Data-Plot'!C730="","",('Data-Plot'!C730-'Data-Plot'!D730)*$P$9)</f>
        <v/>
      </c>
    </row>
    <row r="731" spans="16:18" x14ac:dyDescent="0.25">
      <c r="P731" s="22" t="str">
        <f>IF('Data-Plot'!C731="","",$Q$11+('Data-Plot'!C731-'Data-Plot'!D731)*$P$9)</f>
        <v/>
      </c>
      <c r="Q731" s="22" t="str">
        <f>IF('Data-Plot'!C731="","",MAX('Data-Plot'!$C$11:$C$1010)*(1+$Q$9/100))</f>
        <v/>
      </c>
      <c r="R731" s="22" t="str">
        <f>IF('Data-Plot'!C731="","",('Data-Plot'!C731-'Data-Plot'!D731)*$P$9)</f>
        <v/>
      </c>
    </row>
    <row r="732" spans="16:18" x14ac:dyDescent="0.25">
      <c r="P732" s="22" t="str">
        <f>IF('Data-Plot'!C732="","",$Q$11+('Data-Plot'!C732-'Data-Plot'!D732)*$P$9)</f>
        <v/>
      </c>
      <c r="Q732" s="22" t="str">
        <f>IF('Data-Plot'!C732="","",MAX('Data-Plot'!$C$11:$C$1010)*(1+$Q$9/100))</f>
        <v/>
      </c>
      <c r="R732" s="22" t="str">
        <f>IF('Data-Plot'!C732="","",('Data-Plot'!C732-'Data-Plot'!D732)*$P$9)</f>
        <v/>
      </c>
    </row>
    <row r="733" spans="16:18" x14ac:dyDescent="0.25">
      <c r="P733" s="22" t="str">
        <f>IF('Data-Plot'!C733="","",$Q$11+('Data-Plot'!C733-'Data-Plot'!D733)*$P$9)</f>
        <v/>
      </c>
      <c r="Q733" s="22" t="str">
        <f>IF('Data-Plot'!C733="","",MAX('Data-Plot'!$C$11:$C$1010)*(1+$Q$9/100))</f>
        <v/>
      </c>
      <c r="R733" s="22" t="str">
        <f>IF('Data-Plot'!C733="","",('Data-Plot'!C733-'Data-Plot'!D733)*$P$9)</f>
        <v/>
      </c>
    </row>
    <row r="734" spans="16:18" x14ac:dyDescent="0.25">
      <c r="P734" s="22" t="str">
        <f>IF('Data-Plot'!C734="","",$Q$11+('Data-Plot'!C734-'Data-Plot'!D734)*$P$9)</f>
        <v/>
      </c>
      <c r="Q734" s="22" t="str">
        <f>IF('Data-Plot'!C734="","",MAX('Data-Plot'!$C$11:$C$1010)*(1+$Q$9/100))</f>
        <v/>
      </c>
      <c r="R734" s="22" t="str">
        <f>IF('Data-Plot'!C734="","",('Data-Plot'!C734-'Data-Plot'!D734)*$P$9)</f>
        <v/>
      </c>
    </row>
    <row r="735" spans="16:18" x14ac:dyDescent="0.25">
      <c r="P735" s="22" t="str">
        <f>IF('Data-Plot'!C735="","",$Q$11+('Data-Plot'!C735-'Data-Plot'!D735)*$P$9)</f>
        <v/>
      </c>
      <c r="Q735" s="22" t="str">
        <f>IF('Data-Plot'!C735="","",MAX('Data-Plot'!$C$11:$C$1010)*(1+$Q$9/100))</f>
        <v/>
      </c>
      <c r="R735" s="22" t="str">
        <f>IF('Data-Plot'!C735="","",('Data-Plot'!C735-'Data-Plot'!D735)*$P$9)</f>
        <v/>
      </c>
    </row>
    <row r="736" spans="16:18" x14ac:dyDescent="0.25">
      <c r="P736" s="22" t="str">
        <f>IF('Data-Plot'!C736="","",$Q$11+('Data-Plot'!C736-'Data-Plot'!D736)*$P$9)</f>
        <v/>
      </c>
      <c r="Q736" s="22" t="str">
        <f>IF('Data-Plot'!C736="","",MAX('Data-Plot'!$C$11:$C$1010)*(1+$Q$9/100))</f>
        <v/>
      </c>
      <c r="R736" s="22" t="str">
        <f>IF('Data-Plot'!C736="","",('Data-Plot'!C736-'Data-Plot'!D736)*$P$9)</f>
        <v/>
      </c>
    </row>
    <row r="737" spans="16:18" x14ac:dyDescent="0.25">
      <c r="P737" s="22" t="str">
        <f>IF('Data-Plot'!C737="","",$Q$11+('Data-Plot'!C737-'Data-Plot'!D737)*$P$9)</f>
        <v/>
      </c>
      <c r="Q737" s="22" t="str">
        <f>IF('Data-Plot'!C737="","",MAX('Data-Plot'!$C$11:$C$1010)*(1+$Q$9/100))</f>
        <v/>
      </c>
      <c r="R737" s="22" t="str">
        <f>IF('Data-Plot'!C737="","",('Data-Plot'!C737-'Data-Plot'!D737)*$P$9)</f>
        <v/>
      </c>
    </row>
    <row r="738" spans="16:18" x14ac:dyDescent="0.25">
      <c r="P738" s="22" t="str">
        <f>IF('Data-Plot'!C738="","",$Q$11+('Data-Plot'!C738-'Data-Plot'!D738)*$P$9)</f>
        <v/>
      </c>
      <c r="Q738" s="22" t="str">
        <f>IF('Data-Plot'!C738="","",MAX('Data-Plot'!$C$11:$C$1010)*(1+$Q$9/100))</f>
        <v/>
      </c>
      <c r="R738" s="22" t="str">
        <f>IF('Data-Plot'!C738="","",('Data-Plot'!C738-'Data-Plot'!D738)*$P$9)</f>
        <v/>
      </c>
    </row>
    <row r="739" spans="16:18" x14ac:dyDescent="0.25">
      <c r="P739" s="22" t="str">
        <f>IF('Data-Plot'!C739="","",$Q$11+('Data-Plot'!C739-'Data-Plot'!D739)*$P$9)</f>
        <v/>
      </c>
      <c r="Q739" s="22" t="str">
        <f>IF('Data-Plot'!C739="","",MAX('Data-Plot'!$C$11:$C$1010)*(1+$Q$9/100))</f>
        <v/>
      </c>
      <c r="R739" s="22" t="str">
        <f>IF('Data-Plot'!C739="","",('Data-Plot'!C739-'Data-Plot'!D739)*$P$9)</f>
        <v/>
      </c>
    </row>
    <row r="740" spans="16:18" x14ac:dyDescent="0.25">
      <c r="P740" s="22" t="str">
        <f>IF('Data-Plot'!C740="","",$Q$11+('Data-Plot'!C740-'Data-Plot'!D740)*$P$9)</f>
        <v/>
      </c>
      <c r="Q740" s="22" t="str">
        <f>IF('Data-Plot'!C740="","",MAX('Data-Plot'!$C$11:$C$1010)*(1+$Q$9/100))</f>
        <v/>
      </c>
      <c r="R740" s="22" t="str">
        <f>IF('Data-Plot'!C740="","",('Data-Plot'!C740-'Data-Plot'!D740)*$P$9)</f>
        <v/>
      </c>
    </row>
    <row r="741" spans="16:18" x14ac:dyDescent="0.25">
      <c r="P741" s="22" t="str">
        <f>IF('Data-Plot'!C741="","",$Q$11+('Data-Plot'!C741-'Data-Plot'!D741)*$P$9)</f>
        <v/>
      </c>
      <c r="Q741" s="22" t="str">
        <f>IF('Data-Plot'!C741="","",MAX('Data-Plot'!$C$11:$C$1010)*(1+$Q$9/100))</f>
        <v/>
      </c>
      <c r="R741" s="22" t="str">
        <f>IF('Data-Plot'!C741="","",('Data-Plot'!C741-'Data-Plot'!D741)*$P$9)</f>
        <v/>
      </c>
    </row>
    <row r="742" spans="16:18" x14ac:dyDescent="0.25">
      <c r="P742" s="22" t="str">
        <f>IF('Data-Plot'!C742="","",$Q$11+('Data-Plot'!C742-'Data-Plot'!D742)*$P$9)</f>
        <v/>
      </c>
      <c r="Q742" s="22" t="str">
        <f>IF('Data-Plot'!C742="","",MAX('Data-Plot'!$C$11:$C$1010)*(1+$Q$9/100))</f>
        <v/>
      </c>
      <c r="R742" s="22" t="str">
        <f>IF('Data-Plot'!C742="","",('Data-Plot'!C742-'Data-Plot'!D742)*$P$9)</f>
        <v/>
      </c>
    </row>
    <row r="743" spans="16:18" x14ac:dyDescent="0.25">
      <c r="P743" s="22" t="str">
        <f>IF('Data-Plot'!C743="","",$Q$11+('Data-Plot'!C743-'Data-Plot'!D743)*$P$9)</f>
        <v/>
      </c>
      <c r="Q743" s="22" t="str">
        <f>IF('Data-Plot'!C743="","",MAX('Data-Plot'!$C$11:$C$1010)*(1+$Q$9/100))</f>
        <v/>
      </c>
      <c r="R743" s="22" t="str">
        <f>IF('Data-Plot'!C743="","",('Data-Plot'!C743-'Data-Plot'!D743)*$P$9)</f>
        <v/>
      </c>
    </row>
    <row r="744" spans="16:18" x14ac:dyDescent="0.25">
      <c r="P744" s="22" t="str">
        <f>IF('Data-Plot'!C744="","",$Q$11+('Data-Plot'!C744-'Data-Plot'!D744)*$P$9)</f>
        <v/>
      </c>
      <c r="Q744" s="22" t="str">
        <f>IF('Data-Plot'!C744="","",MAX('Data-Plot'!$C$11:$C$1010)*(1+$Q$9/100))</f>
        <v/>
      </c>
      <c r="R744" s="22" t="str">
        <f>IF('Data-Plot'!C744="","",('Data-Plot'!C744-'Data-Plot'!D744)*$P$9)</f>
        <v/>
      </c>
    </row>
    <row r="745" spans="16:18" x14ac:dyDescent="0.25">
      <c r="P745" s="22" t="str">
        <f>IF('Data-Plot'!C745="","",$Q$11+('Data-Plot'!C745-'Data-Plot'!D745)*$P$9)</f>
        <v/>
      </c>
      <c r="Q745" s="22" t="str">
        <f>IF('Data-Plot'!C745="","",MAX('Data-Plot'!$C$11:$C$1010)*(1+$Q$9/100))</f>
        <v/>
      </c>
      <c r="R745" s="22" t="str">
        <f>IF('Data-Plot'!C745="","",('Data-Plot'!C745-'Data-Plot'!D745)*$P$9)</f>
        <v/>
      </c>
    </row>
    <row r="746" spans="16:18" x14ac:dyDescent="0.25">
      <c r="P746" s="22" t="str">
        <f>IF('Data-Plot'!C746="","",$Q$11+('Data-Plot'!C746-'Data-Plot'!D746)*$P$9)</f>
        <v/>
      </c>
      <c r="Q746" s="22" t="str">
        <f>IF('Data-Plot'!C746="","",MAX('Data-Plot'!$C$11:$C$1010)*(1+$Q$9/100))</f>
        <v/>
      </c>
      <c r="R746" s="22" t="str">
        <f>IF('Data-Plot'!C746="","",('Data-Plot'!C746-'Data-Plot'!D746)*$P$9)</f>
        <v/>
      </c>
    </row>
    <row r="747" spans="16:18" x14ac:dyDescent="0.25">
      <c r="P747" s="22" t="str">
        <f>IF('Data-Plot'!C747="","",$Q$11+('Data-Plot'!C747-'Data-Plot'!D747)*$P$9)</f>
        <v/>
      </c>
      <c r="Q747" s="22" t="str">
        <f>IF('Data-Plot'!C747="","",MAX('Data-Plot'!$C$11:$C$1010)*(1+$Q$9/100))</f>
        <v/>
      </c>
      <c r="R747" s="22" t="str">
        <f>IF('Data-Plot'!C747="","",('Data-Plot'!C747-'Data-Plot'!D747)*$P$9)</f>
        <v/>
      </c>
    </row>
    <row r="748" spans="16:18" x14ac:dyDescent="0.25">
      <c r="P748" s="22" t="str">
        <f>IF('Data-Plot'!C748="","",$Q$11+('Data-Plot'!C748-'Data-Plot'!D748)*$P$9)</f>
        <v/>
      </c>
      <c r="Q748" s="22" t="str">
        <f>IF('Data-Plot'!C748="","",MAX('Data-Plot'!$C$11:$C$1010)*(1+$Q$9/100))</f>
        <v/>
      </c>
      <c r="R748" s="22" t="str">
        <f>IF('Data-Plot'!C748="","",('Data-Plot'!C748-'Data-Plot'!D748)*$P$9)</f>
        <v/>
      </c>
    </row>
    <row r="749" spans="16:18" x14ac:dyDescent="0.25">
      <c r="P749" s="22" t="str">
        <f>IF('Data-Plot'!C749="","",$Q$11+('Data-Plot'!C749-'Data-Plot'!D749)*$P$9)</f>
        <v/>
      </c>
      <c r="Q749" s="22" t="str">
        <f>IF('Data-Plot'!C749="","",MAX('Data-Plot'!$C$11:$C$1010)*(1+$Q$9/100))</f>
        <v/>
      </c>
      <c r="R749" s="22" t="str">
        <f>IF('Data-Plot'!C749="","",('Data-Plot'!C749-'Data-Plot'!D749)*$P$9)</f>
        <v/>
      </c>
    </row>
    <row r="750" spans="16:18" x14ac:dyDescent="0.25">
      <c r="P750" s="22" t="str">
        <f>IF('Data-Plot'!C750="","",$Q$11+('Data-Plot'!C750-'Data-Plot'!D750)*$P$9)</f>
        <v/>
      </c>
      <c r="Q750" s="22" t="str">
        <f>IF('Data-Plot'!C750="","",MAX('Data-Plot'!$C$11:$C$1010)*(1+$Q$9/100))</f>
        <v/>
      </c>
      <c r="R750" s="22" t="str">
        <f>IF('Data-Plot'!C750="","",('Data-Plot'!C750-'Data-Plot'!D750)*$P$9)</f>
        <v/>
      </c>
    </row>
    <row r="751" spans="16:18" x14ac:dyDescent="0.25">
      <c r="P751" s="22" t="str">
        <f>IF('Data-Plot'!C751="","",$Q$11+('Data-Plot'!C751-'Data-Plot'!D751)*$P$9)</f>
        <v/>
      </c>
      <c r="Q751" s="22" t="str">
        <f>IF('Data-Plot'!C751="","",MAX('Data-Plot'!$C$11:$C$1010)*(1+$Q$9/100))</f>
        <v/>
      </c>
      <c r="R751" s="22" t="str">
        <f>IF('Data-Plot'!C751="","",('Data-Plot'!C751-'Data-Plot'!D751)*$P$9)</f>
        <v/>
      </c>
    </row>
    <row r="752" spans="16:18" x14ac:dyDescent="0.25">
      <c r="P752" s="22" t="str">
        <f>IF('Data-Plot'!C752="","",$Q$11+('Data-Plot'!C752-'Data-Plot'!D752)*$P$9)</f>
        <v/>
      </c>
      <c r="Q752" s="22" t="str">
        <f>IF('Data-Plot'!C752="","",MAX('Data-Plot'!$C$11:$C$1010)*(1+$Q$9/100))</f>
        <v/>
      </c>
      <c r="R752" s="22" t="str">
        <f>IF('Data-Plot'!C752="","",('Data-Plot'!C752-'Data-Plot'!D752)*$P$9)</f>
        <v/>
      </c>
    </row>
    <row r="753" spans="16:18" x14ac:dyDescent="0.25">
      <c r="P753" s="22" t="str">
        <f>IF('Data-Plot'!C753="","",$Q$11+('Data-Plot'!C753-'Data-Plot'!D753)*$P$9)</f>
        <v/>
      </c>
      <c r="Q753" s="22" t="str">
        <f>IF('Data-Plot'!C753="","",MAX('Data-Plot'!$C$11:$C$1010)*(1+$Q$9/100))</f>
        <v/>
      </c>
      <c r="R753" s="22" t="str">
        <f>IF('Data-Plot'!C753="","",('Data-Plot'!C753-'Data-Plot'!D753)*$P$9)</f>
        <v/>
      </c>
    </row>
    <row r="754" spans="16:18" x14ac:dyDescent="0.25">
      <c r="P754" s="22" t="str">
        <f>IF('Data-Plot'!C754="","",$Q$11+('Data-Plot'!C754-'Data-Plot'!D754)*$P$9)</f>
        <v/>
      </c>
      <c r="Q754" s="22" t="str">
        <f>IF('Data-Plot'!C754="","",MAX('Data-Plot'!$C$11:$C$1010)*(1+$Q$9/100))</f>
        <v/>
      </c>
      <c r="R754" s="22" t="str">
        <f>IF('Data-Plot'!C754="","",('Data-Plot'!C754-'Data-Plot'!D754)*$P$9)</f>
        <v/>
      </c>
    </row>
    <row r="755" spans="16:18" x14ac:dyDescent="0.25">
      <c r="P755" s="22" t="str">
        <f>IF('Data-Plot'!C755="","",$Q$11+('Data-Plot'!C755-'Data-Plot'!D755)*$P$9)</f>
        <v/>
      </c>
      <c r="Q755" s="22" t="str">
        <f>IF('Data-Plot'!C755="","",MAX('Data-Plot'!$C$11:$C$1010)*(1+$Q$9/100))</f>
        <v/>
      </c>
      <c r="R755" s="22" t="str">
        <f>IF('Data-Plot'!C755="","",('Data-Plot'!C755-'Data-Plot'!D755)*$P$9)</f>
        <v/>
      </c>
    </row>
    <row r="756" spans="16:18" x14ac:dyDescent="0.25">
      <c r="P756" s="22" t="str">
        <f>IF('Data-Plot'!C756="","",$Q$11+('Data-Plot'!C756-'Data-Plot'!D756)*$P$9)</f>
        <v/>
      </c>
      <c r="Q756" s="22" t="str">
        <f>IF('Data-Plot'!C756="","",MAX('Data-Plot'!$C$11:$C$1010)*(1+$Q$9/100))</f>
        <v/>
      </c>
      <c r="R756" s="22" t="str">
        <f>IF('Data-Plot'!C756="","",('Data-Plot'!C756-'Data-Plot'!D756)*$P$9)</f>
        <v/>
      </c>
    </row>
    <row r="757" spans="16:18" x14ac:dyDescent="0.25">
      <c r="P757" s="22" t="str">
        <f>IF('Data-Plot'!C757="","",$Q$11+('Data-Plot'!C757-'Data-Plot'!D757)*$P$9)</f>
        <v/>
      </c>
      <c r="Q757" s="22" t="str">
        <f>IF('Data-Plot'!C757="","",MAX('Data-Plot'!$C$11:$C$1010)*(1+$Q$9/100))</f>
        <v/>
      </c>
      <c r="R757" s="22" t="str">
        <f>IF('Data-Plot'!C757="","",('Data-Plot'!C757-'Data-Plot'!D757)*$P$9)</f>
        <v/>
      </c>
    </row>
    <row r="758" spans="16:18" x14ac:dyDescent="0.25">
      <c r="P758" s="22" t="str">
        <f>IF('Data-Plot'!C758="","",$Q$11+('Data-Plot'!C758-'Data-Plot'!D758)*$P$9)</f>
        <v/>
      </c>
      <c r="Q758" s="22" t="str">
        <f>IF('Data-Plot'!C758="","",MAX('Data-Plot'!$C$11:$C$1010)*(1+$Q$9/100))</f>
        <v/>
      </c>
      <c r="R758" s="22" t="str">
        <f>IF('Data-Plot'!C758="","",('Data-Plot'!C758-'Data-Plot'!D758)*$P$9)</f>
        <v/>
      </c>
    </row>
    <row r="759" spans="16:18" x14ac:dyDescent="0.25">
      <c r="P759" s="22" t="str">
        <f>IF('Data-Plot'!C759="","",$Q$11+('Data-Plot'!C759-'Data-Plot'!D759)*$P$9)</f>
        <v/>
      </c>
      <c r="Q759" s="22" t="str">
        <f>IF('Data-Plot'!C759="","",MAX('Data-Plot'!$C$11:$C$1010)*(1+$Q$9/100))</f>
        <v/>
      </c>
      <c r="R759" s="22" t="str">
        <f>IF('Data-Plot'!C759="","",('Data-Plot'!C759-'Data-Plot'!D759)*$P$9)</f>
        <v/>
      </c>
    </row>
    <row r="760" spans="16:18" x14ac:dyDescent="0.25">
      <c r="P760" s="22" t="str">
        <f>IF('Data-Plot'!C760="","",$Q$11+('Data-Plot'!C760-'Data-Plot'!D760)*$P$9)</f>
        <v/>
      </c>
      <c r="Q760" s="22" t="str">
        <f>IF('Data-Plot'!C760="","",MAX('Data-Plot'!$C$11:$C$1010)*(1+$Q$9/100))</f>
        <v/>
      </c>
      <c r="R760" s="22" t="str">
        <f>IF('Data-Plot'!C760="","",('Data-Plot'!C760-'Data-Plot'!D760)*$P$9)</f>
        <v/>
      </c>
    </row>
    <row r="761" spans="16:18" x14ac:dyDescent="0.25">
      <c r="P761" s="22" t="str">
        <f>IF('Data-Plot'!C761="","",$Q$11+('Data-Plot'!C761-'Data-Plot'!D761)*$P$9)</f>
        <v/>
      </c>
      <c r="Q761" s="22" t="str">
        <f>IF('Data-Plot'!C761="","",MAX('Data-Plot'!$C$11:$C$1010)*(1+$Q$9/100))</f>
        <v/>
      </c>
      <c r="R761" s="22" t="str">
        <f>IF('Data-Plot'!C761="","",('Data-Plot'!C761-'Data-Plot'!D761)*$P$9)</f>
        <v/>
      </c>
    </row>
    <row r="762" spans="16:18" x14ac:dyDescent="0.25">
      <c r="P762" s="22" t="str">
        <f>IF('Data-Plot'!C762="","",$Q$11+('Data-Plot'!C762-'Data-Plot'!D762)*$P$9)</f>
        <v/>
      </c>
      <c r="Q762" s="22" t="str">
        <f>IF('Data-Plot'!C762="","",MAX('Data-Plot'!$C$11:$C$1010)*(1+$Q$9/100))</f>
        <v/>
      </c>
      <c r="R762" s="22" t="str">
        <f>IF('Data-Plot'!C762="","",('Data-Plot'!C762-'Data-Plot'!D762)*$P$9)</f>
        <v/>
      </c>
    </row>
    <row r="763" spans="16:18" x14ac:dyDescent="0.25">
      <c r="P763" s="22" t="str">
        <f>IF('Data-Plot'!C763="","",$Q$11+('Data-Plot'!C763-'Data-Plot'!D763)*$P$9)</f>
        <v/>
      </c>
      <c r="Q763" s="22" t="str">
        <f>IF('Data-Plot'!C763="","",MAX('Data-Plot'!$C$11:$C$1010)*(1+$Q$9/100))</f>
        <v/>
      </c>
      <c r="R763" s="22" t="str">
        <f>IF('Data-Plot'!C763="","",('Data-Plot'!C763-'Data-Plot'!D763)*$P$9)</f>
        <v/>
      </c>
    </row>
    <row r="764" spans="16:18" x14ac:dyDescent="0.25">
      <c r="P764" s="22" t="str">
        <f>IF('Data-Plot'!C764="","",$Q$11+('Data-Plot'!C764-'Data-Plot'!D764)*$P$9)</f>
        <v/>
      </c>
      <c r="Q764" s="22" t="str">
        <f>IF('Data-Plot'!C764="","",MAX('Data-Plot'!$C$11:$C$1010)*(1+$Q$9/100))</f>
        <v/>
      </c>
      <c r="R764" s="22" t="str">
        <f>IF('Data-Plot'!C764="","",('Data-Plot'!C764-'Data-Plot'!D764)*$P$9)</f>
        <v/>
      </c>
    </row>
    <row r="765" spans="16:18" x14ac:dyDescent="0.25">
      <c r="P765" s="22" t="str">
        <f>IF('Data-Plot'!C765="","",$Q$11+('Data-Plot'!C765-'Data-Plot'!D765)*$P$9)</f>
        <v/>
      </c>
      <c r="Q765" s="22" t="str">
        <f>IF('Data-Plot'!C765="","",MAX('Data-Plot'!$C$11:$C$1010)*(1+$Q$9/100))</f>
        <v/>
      </c>
      <c r="R765" s="22" t="str">
        <f>IF('Data-Plot'!C765="","",('Data-Plot'!C765-'Data-Plot'!D765)*$P$9)</f>
        <v/>
      </c>
    </row>
    <row r="766" spans="16:18" x14ac:dyDescent="0.25">
      <c r="P766" s="22" t="str">
        <f>IF('Data-Plot'!C766="","",$Q$11+('Data-Plot'!C766-'Data-Plot'!D766)*$P$9)</f>
        <v/>
      </c>
      <c r="Q766" s="22" t="str">
        <f>IF('Data-Plot'!C766="","",MAX('Data-Plot'!$C$11:$C$1010)*(1+$Q$9/100))</f>
        <v/>
      </c>
      <c r="R766" s="22" t="str">
        <f>IF('Data-Plot'!C766="","",('Data-Plot'!C766-'Data-Plot'!D766)*$P$9)</f>
        <v/>
      </c>
    </row>
    <row r="767" spans="16:18" x14ac:dyDescent="0.25">
      <c r="P767" s="22" t="str">
        <f>IF('Data-Plot'!C767="","",$Q$11+('Data-Plot'!C767-'Data-Plot'!D767)*$P$9)</f>
        <v/>
      </c>
      <c r="Q767" s="22" t="str">
        <f>IF('Data-Plot'!C767="","",MAX('Data-Plot'!$C$11:$C$1010)*(1+$Q$9/100))</f>
        <v/>
      </c>
      <c r="R767" s="22" t="str">
        <f>IF('Data-Plot'!C767="","",('Data-Plot'!C767-'Data-Plot'!D767)*$P$9)</f>
        <v/>
      </c>
    </row>
    <row r="768" spans="16:18" x14ac:dyDescent="0.25">
      <c r="P768" s="22" t="str">
        <f>IF('Data-Plot'!C768="","",$Q$11+('Data-Plot'!C768-'Data-Plot'!D768)*$P$9)</f>
        <v/>
      </c>
      <c r="Q768" s="22" t="str">
        <f>IF('Data-Plot'!C768="","",MAX('Data-Plot'!$C$11:$C$1010)*(1+$Q$9/100))</f>
        <v/>
      </c>
      <c r="R768" s="22" t="str">
        <f>IF('Data-Plot'!C768="","",('Data-Plot'!C768-'Data-Plot'!D768)*$P$9)</f>
        <v/>
      </c>
    </row>
    <row r="769" spans="16:18" x14ac:dyDescent="0.25">
      <c r="P769" s="22" t="str">
        <f>IF('Data-Plot'!C769="","",$Q$11+('Data-Plot'!C769-'Data-Plot'!D769)*$P$9)</f>
        <v/>
      </c>
      <c r="Q769" s="22" t="str">
        <f>IF('Data-Plot'!C769="","",MAX('Data-Plot'!$C$11:$C$1010)*(1+$Q$9/100))</f>
        <v/>
      </c>
      <c r="R769" s="22" t="str">
        <f>IF('Data-Plot'!C769="","",('Data-Plot'!C769-'Data-Plot'!D769)*$P$9)</f>
        <v/>
      </c>
    </row>
    <row r="770" spans="16:18" x14ac:dyDescent="0.25">
      <c r="P770" s="22" t="str">
        <f>IF('Data-Plot'!C770="","",$Q$11+('Data-Plot'!C770-'Data-Plot'!D770)*$P$9)</f>
        <v/>
      </c>
      <c r="Q770" s="22" t="str">
        <f>IF('Data-Plot'!C770="","",MAX('Data-Plot'!$C$11:$C$1010)*(1+$Q$9/100))</f>
        <v/>
      </c>
      <c r="R770" s="22" t="str">
        <f>IF('Data-Plot'!C770="","",('Data-Plot'!C770-'Data-Plot'!D770)*$P$9)</f>
        <v/>
      </c>
    </row>
    <row r="771" spans="16:18" x14ac:dyDescent="0.25">
      <c r="P771" s="22" t="str">
        <f>IF('Data-Plot'!C771="","",$Q$11+('Data-Plot'!C771-'Data-Plot'!D771)*$P$9)</f>
        <v/>
      </c>
      <c r="Q771" s="22" t="str">
        <f>IF('Data-Plot'!C771="","",MAX('Data-Plot'!$C$11:$C$1010)*(1+$Q$9/100))</f>
        <v/>
      </c>
      <c r="R771" s="22" t="str">
        <f>IF('Data-Plot'!C771="","",('Data-Plot'!C771-'Data-Plot'!D771)*$P$9)</f>
        <v/>
      </c>
    </row>
    <row r="772" spans="16:18" x14ac:dyDescent="0.25">
      <c r="P772" s="22" t="str">
        <f>IF('Data-Plot'!C772="","",$Q$11+('Data-Plot'!C772-'Data-Plot'!D772)*$P$9)</f>
        <v/>
      </c>
      <c r="Q772" s="22" t="str">
        <f>IF('Data-Plot'!C772="","",MAX('Data-Plot'!$C$11:$C$1010)*(1+$Q$9/100))</f>
        <v/>
      </c>
      <c r="R772" s="22" t="str">
        <f>IF('Data-Plot'!C772="","",('Data-Plot'!C772-'Data-Plot'!D772)*$P$9)</f>
        <v/>
      </c>
    </row>
    <row r="773" spans="16:18" x14ac:dyDescent="0.25">
      <c r="P773" s="22" t="str">
        <f>IF('Data-Plot'!C773="","",$Q$11+('Data-Plot'!C773-'Data-Plot'!D773)*$P$9)</f>
        <v/>
      </c>
      <c r="Q773" s="22" t="str">
        <f>IF('Data-Plot'!C773="","",MAX('Data-Plot'!$C$11:$C$1010)*(1+$Q$9/100))</f>
        <v/>
      </c>
      <c r="R773" s="22" t="str">
        <f>IF('Data-Plot'!C773="","",('Data-Plot'!C773-'Data-Plot'!D773)*$P$9)</f>
        <v/>
      </c>
    </row>
    <row r="774" spans="16:18" x14ac:dyDescent="0.25">
      <c r="P774" s="22" t="str">
        <f>IF('Data-Plot'!C774="","",$Q$11+('Data-Plot'!C774-'Data-Plot'!D774)*$P$9)</f>
        <v/>
      </c>
      <c r="Q774" s="22" t="str">
        <f>IF('Data-Plot'!C774="","",MAX('Data-Plot'!$C$11:$C$1010)*(1+$Q$9/100))</f>
        <v/>
      </c>
      <c r="R774" s="22" t="str">
        <f>IF('Data-Plot'!C774="","",('Data-Plot'!C774-'Data-Plot'!D774)*$P$9)</f>
        <v/>
      </c>
    </row>
    <row r="775" spans="16:18" x14ac:dyDescent="0.25">
      <c r="P775" s="22" t="str">
        <f>IF('Data-Plot'!C775="","",$Q$11+('Data-Plot'!C775-'Data-Plot'!D775)*$P$9)</f>
        <v/>
      </c>
      <c r="Q775" s="22" t="str">
        <f>IF('Data-Plot'!C775="","",MAX('Data-Plot'!$C$11:$C$1010)*(1+$Q$9/100))</f>
        <v/>
      </c>
      <c r="R775" s="22" t="str">
        <f>IF('Data-Plot'!C775="","",('Data-Plot'!C775-'Data-Plot'!D775)*$P$9)</f>
        <v/>
      </c>
    </row>
    <row r="776" spans="16:18" x14ac:dyDescent="0.25">
      <c r="P776" s="22" t="str">
        <f>IF('Data-Plot'!C776="","",$Q$11+('Data-Plot'!C776-'Data-Plot'!D776)*$P$9)</f>
        <v/>
      </c>
      <c r="Q776" s="22" t="str">
        <f>IF('Data-Plot'!C776="","",MAX('Data-Plot'!$C$11:$C$1010)*(1+$Q$9/100))</f>
        <v/>
      </c>
      <c r="R776" s="22" t="str">
        <f>IF('Data-Plot'!C776="","",('Data-Plot'!C776-'Data-Plot'!D776)*$P$9)</f>
        <v/>
      </c>
    </row>
    <row r="777" spans="16:18" x14ac:dyDescent="0.25">
      <c r="P777" s="22" t="str">
        <f>IF('Data-Plot'!C777="","",$Q$11+('Data-Plot'!C777-'Data-Plot'!D777)*$P$9)</f>
        <v/>
      </c>
      <c r="Q777" s="22" t="str">
        <f>IF('Data-Plot'!C777="","",MAX('Data-Plot'!$C$11:$C$1010)*(1+$Q$9/100))</f>
        <v/>
      </c>
      <c r="R777" s="22" t="str">
        <f>IF('Data-Plot'!C777="","",('Data-Plot'!C777-'Data-Plot'!D777)*$P$9)</f>
        <v/>
      </c>
    </row>
    <row r="778" spans="16:18" x14ac:dyDescent="0.25">
      <c r="P778" s="22" t="str">
        <f>IF('Data-Plot'!C778="","",$Q$11+('Data-Plot'!C778-'Data-Plot'!D778)*$P$9)</f>
        <v/>
      </c>
      <c r="Q778" s="22" t="str">
        <f>IF('Data-Plot'!C778="","",MAX('Data-Plot'!$C$11:$C$1010)*(1+$Q$9/100))</f>
        <v/>
      </c>
      <c r="R778" s="22" t="str">
        <f>IF('Data-Plot'!C778="","",('Data-Plot'!C778-'Data-Plot'!D778)*$P$9)</f>
        <v/>
      </c>
    </row>
    <row r="779" spans="16:18" x14ac:dyDescent="0.25">
      <c r="P779" s="22" t="str">
        <f>IF('Data-Plot'!C779="","",$Q$11+('Data-Plot'!C779-'Data-Plot'!D779)*$P$9)</f>
        <v/>
      </c>
      <c r="Q779" s="22" t="str">
        <f>IF('Data-Plot'!C779="","",MAX('Data-Plot'!$C$11:$C$1010)*(1+$Q$9/100))</f>
        <v/>
      </c>
      <c r="R779" s="22" t="str">
        <f>IF('Data-Plot'!C779="","",('Data-Plot'!C779-'Data-Plot'!D779)*$P$9)</f>
        <v/>
      </c>
    </row>
    <row r="780" spans="16:18" x14ac:dyDescent="0.25">
      <c r="P780" s="22" t="str">
        <f>IF('Data-Plot'!C780="","",$Q$11+('Data-Plot'!C780-'Data-Plot'!D780)*$P$9)</f>
        <v/>
      </c>
      <c r="Q780" s="22" t="str">
        <f>IF('Data-Plot'!C780="","",MAX('Data-Plot'!$C$11:$C$1010)*(1+$Q$9/100))</f>
        <v/>
      </c>
      <c r="R780" s="22" t="str">
        <f>IF('Data-Plot'!C780="","",('Data-Plot'!C780-'Data-Plot'!D780)*$P$9)</f>
        <v/>
      </c>
    </row>
    <row r="781" spans="16:18" x14ac:dyDescent="0.25">
      <c r="P781" s="22" t="str">
        <f>IF('Data-Plot'!C781="","",$Q$11+('Data-Plot'!C781-'Data-Plot'!D781)*$P$9)</f>
        <v/>
      </c>
      <c r="Q781" s="22" t="str">
        <f>IF('Data-Plot'!C781="","",MAX('Data-Plot'!$C$11:$C$1010)*(1+$Q$9/100))</f>
        <v/>
      </c>
      <c r="R781" s="22" t="str">
        <f>IF('Data-Plot'!C781="","",('Data-Plot'!C781-'Data-Plot'!D781)*$P$9)</f>
        <v/>
      </c>
    </row>
    <row r="782" spans="16:18" x14ac:dyDescent="0.25">
      <c r="P782" s="22" t="str">
        <f>IF('Data-Plot'!C782="","",$Q$11+('Data-Plot'!C782-'Data-Plot'!D782)*$P$9)</f>
        <v/>
      </c>
      <c r="Q782" s="22" t="str">
        <f>IF('Data-Plot'!C782="","",MAX('Data-Plot'!$C$11:$C$1010)*(1+$Q$9/100))</f>
        <v/>
      </c>
      <c r="R782" s="22" t="str">
        <f>IF('Data-Plot'!C782="","",('Data-Plot'!C782-'Data-Plot'!D782)*$P$9)</f>
        <v/>
      </c>
    </row>
    <row r="783" spans="16:18" x14ac:dyDescent="0.25">
      <c r="P783" s="22" t="str">
        <f>IF('Data-Plot'!C783="","",$Q$11+('Data-Plot'!C783-'Data-Plot'!D783)*$P$9)</f>
        <v/>
      </c>
      <c r="Q783" s="22" t="str">
        <f>IF('Data-Plot'!C783="","",MAX('Data-Plot'!$C$11:$C$1010)*(1+$Q$9/100))</f>
        <v/>
      </c>
      <c r="R783" s="22" t="str">
        <f>IF('Data-Plot'!C783="","",('Data-Plot'!C783-'Data-Plot'!D783)*$P$9)</f>
        <v/>
      </c>
    </row>
    <row r="784" spans="16:18" x14ac:dyDescent="0.25">
      <c r="P784" s="22" t="str">
        <f>IF('Data-Plot'!C784="","",$Q$11+('Data-Plot'!C784-'Data-Plot'!D784)*$P$9)</f>
        <v/>
      </c>
      <c r="Q784" s="22" t="str">
        <f>IF('Data-Plot'!C784="","",MAX('Data-Plot'!$C$11:$C$1010)*(1+$Q$9/100))</f>
        <v/>
      </c>
      <c r="R784" s="22" t="str">
        <f>IF('Data-Plot'!C784="","",('Data-Plot'!C784-'Data-Plot'!D784)*$P$9)</f>
        <v/>
      </c>
    </row>
    <row r="785" spans="16:18" x14ac:dyDescent="0.25">
      <c r="P785" s="22" t="str">
        <f>IF('Data-Plot'!C785="","",$Q$11+('Data-Plot'!C785-'Data-Plot'!D785)*$P$9)</f>
        <v/>
      </c>
      <c r="Q785" s="22" t="str">
        <f>IF('Data-Plot'!C785="","",MAX('Data-Plot'!$C$11:$C$1010)*(1+$Q$9/100))</f>
        <v/>
      </c>
      <c r="R785" s="22" t="str">
        <f>IF('Data-Plot'!C785="","",('Data-Plot'!C785-'Data-Plot'!D785)*$P$9)</f>
        <v/>
      </c>
    </row>
    <row r="786" spans="16:18" x14ac:dyDescent="0.25">
      <c r="P786" s="22" t="str">
        <f>IF('Data-Plot'!C786="","",$Q$11+('Data-Plot'!C786-'Data-Plot'!D786)*$P$9)</f>
        <v/>
      </c>
      <c r="Q786" s="22" t="str">
        <f>IF('Data-Plot'!C786="","",MAX('Data-Plot'!$C$11:$C$1010)*(1+$Q$9/100))</f>
        <v/>
      </c>
      <c r="R786" s="22" t="str">
        <f>IF('Data-Plot'!C786="","",('Data-Plot'!C786-'Data-Plot'!D786)*$P$9)</f>
        <v/>
      </c>
    </row>
    <row r="787" spans="16:18" x14ac:dyDescent="0.25">
      <c r="P787" s="22" t="str">
        <f>IF('Data-Plot'!C787="","",$Q$11+('Data-Plot'!C787-'Data-Plot'!D787)*$P$9)</f>
        <v/>
      </c>
      <c r="Q787" s="22" t="str">
        <f>IF('Data-Plot'!C787="","",MAX('Data-Plot'!$C$11:$C$1010)*(1+$Q$9/100))</f>
        <v/>
      </c>
      <c r="R787" s="22" t="str">
        <f>IF('Data-Plot'!C787="","",('Data-Plot'!C787-'Data-Plot'!D787)*$P$9)</f>
        <v/>
      </c>
    </row>
    <row r="788" spans="16:18" x14ac:dyDescent="0.25">
      <c r="P788" s="22" t="str">
        <f>IF('Data-Plot'!C788="","",$Q$11+('Data-Plot'!C788-'Data-Plot'!D788)*$P$9)</f>
        <v/>
      </c>
      <c r="Q788" s="22" t="str">
        <f>IF('Data-Plot'!C788="","",MAX('Data-Plot'!$C$11:$C$1010)*(1+$Q$9/100))</f>
        <v/>
      </c>
      <c r="R788" s="22" t="str">
        <f>IF('Data-Plot'!C788="","",('Data-Plot'!C788-'Data-Plot'!D788)*$P$9)</f>
        <v/>
      </c>
    </row>
    <row r="789" spans="16:18" x14ac:dyDescent="0.25">
      <c r="P789" s="22" t="str">
        <f>IF('Data-Plot'!C789="","",$Q$11+('Data-Plot'!C789-'Data-Plot'!D789)*$P$9)</f>
        <v/>
      </c>
      <c r="Q789" s="22" t="str">
        <f>IF('Data-Plot'!C789="","",MAX('Data-Plot'!$C$11:$C$1010)*(1+$Q$9/100))</f>
        <v/>
      </c>
      <c r="R789" s="22" t="str">
        <f>IF('Data-Plot'!C789="","",('Data-Plot'!C789-'Data-Plot'!D789)*$P$9)</f>
        <v/>
      </c>
    </row>
    <row r="790" spans="16:18" x14ac:dyDescent="0.25">
      <c r="P790" s="22" t="str">
        <f>IF('Data-Plot'!C790="","",$Q$11+('Data-Plot'!C790-'Data-Plot'!D790)*$P$9)</f>
        <v/>
      </c>
      <c r="Q790" s="22" t="str">
        <f>IF('Data-Plot'!C790="","",MAX('Data-Plot'!$C$11:$C$1010)*(1+$Q$9/100))</f>
        <v/>
      </c>
      <c r="R790" s="22" t="str">
        <f>IF('Data-Plot'!C790="","",('Data-Plot'!C790-'Data-Plot'!D790)*$P$9)</f>
        <v/>
      </c>
    </row>
    <row r="791" spans="16:18" x14ac:dyDescent="0.25">
      <c r="P791" s="22" t="str">
        <f>IF('Data-Plot'!C791="","",$Q$11+('Data-Plot'!C791-'Data-Plot'!D791)*$P$9)</f>
        <v/>
      </c>
      <c r="Q791" s="22" t="str">
        <f>IF('Data-Plot'!C791="","",MAX('Data-Plot'!$C$11:$C$1010)*(1+$Q$9/100))</f>
        <v/>
      </c>
      <c r="R791" s="22" t="str">
        <f>IF('Data-Plot'!C791="","",('Data-Plot'!C791-'Data-Plot'!D791)*$P$9)</f>
        <v/>
      </c>
    </row>
    <row r="792" spans="16:18" x14ac:dyDescent="0.25">
      <c r="P792" s="22" t="str">
        <f>IF('Data-Plot'!C792="","",$Q$11+('Data-Plot'!C792-'Data-Plot'!D792)*$P$9)</f>
        <v/>
      </c>
      <c r="Q792" s="22" t="str">
        <f>IF('Data-Plot'!C792="","",MAX('Data-Plot'!$C$11:$C$1010)*(1+$Q$9/100))</f>
        <v/>
      </c>
      <c r="R792" s="22" t="str">
        <f>IF('Data-Plot'!C792="","",('Data-Plot'!C792-'Data-Plot'!D792)*$P$9)</f>
        <v/>
      </c>
    </row>
    <row r="793" spans="16:18" x14ac:dyDescent="0.25">
      <c r="P793" s="22" t="str">
        <f>IF('Data-Plot'!C793="","",$Q$11+('Data-Plot'!C793-'Data-Plot'!D793)*$P$9)</f>
        <v/>
      </c>
      <c r="Q793" s="22" t="str">
        <f>IF('Data-Plot'!C793="","",MAX('Data-Plot'!$C$11:$C$1010)*(1+$Q$9/100))</f>
        <v/>
      </c>
      <c r="R793" s="22" t="str">
        <f>IF('Data-Plot'!C793="","",('Data-Plot'!C793-'Data-Plot'!D793)*$P$9)</f>
        <v/>
      </c>
    </row>
    <row r="794" spans="16:18" x14ac:dyDescent="0.25">
      <c r="P794" s="22" t="str">
        <f>IF('Data-Plot'!C794="","",$Q$11+('Data-Plot'!C794-'Data-Plot'!D794)*$P$9)</f>
        <v/>
      </c>
      <c r="Q794" s="22" t="str">
        <f>IF('Data-Plot'!C794="","",MAX('Data-Plot'!$C$11:$C$1010)*(1+$Q$9/100))</f>
        <v/>
      </c>
      <c r="R794" s="22" t="str">
        <f>IF('Data-Plot'!C794="","",('Data-Plot'!C794-'Data-Plot'!D794)*$P$9)</f>
        <v/>
      </c>
    </row>
    <row r="795" spans="16:18" x14ac:dyDescent="0.25">
      <c r="P795" s="22" t="str">
        <f>IF('Data-Plot'!C795="","",$Q$11+('Data-Plot'!C795-'Data-Plot'!D795)*$P$9)</f>
        <v/>
      </c>
      <c r="Q795" s="22" t="str">
        <f>IF('Data-Plot'!C795="","",MAX('Data-Plot'!$C$11:$C$1010)*(1+$Q$9/100))</f>
        <v/>
      </c>
      <c r="R795" s="22" t="str">
        <f>IF('Data-Plot'!C795="","",('Data-Plot'!C795-'Data-Plot'!D795)*$P$9)</f>
        <v/>
      </c>
    </row>
    <row r="796" spans="16:18" x14ac:dyDescent="0.25">
      <c r="P796" s="22" t="str">
        <f>IF('Data-Plot'!C796="","",$Q$11+('Data-Plot'!C796-'Data-Plot'!D796)*$P$9)</f>
        <v/>
      </c>
      <c r="Q796" s="22" t="str">
        <f>IF('Data-Plot'!C796="","",MAX('Data-Plot'!$C$11:$C$1010)*(1+$Q$9/100))</f>
        <v/>
      </c>
      <c r="R796" s="22" t="str">
        <f>IF('Data-Plot'!C796="","",('Data-Plot'!C796-'Data-Plot'!D796)*$P$9)</f>
        <v/>
      </c>
    </row>
    <row r="797" spans="16:18" x14ac:dyDescent="0.25">
      <c r="P797" s="22" t="str">
        <f>IF('Data-Plot'!C797="","",$Q$11+('Data-Plot'!C797-'Data-Plot'!D797)*$P$9)</f>
        <v/>
      </c>
      <c r="Q797" s="22" t="str">
        <f>IF('Data-Plot'!C797="","",MAX('Data-Plot'!$C$11:$C$1010)*(1+$Q$9/100))</f>
        <v/>
      </c>
      <c r="R797" s="22" t="str">
        <f>IF('Data-Plot'!C797="","",('Data-Plot'!C797-'Data-Plot'!D797)*$P$9)</f>
        <v/>
      </c>
    </row>
    <row r="798" spans="16:18" x14ac:dyDescent="0.25">
      <c r="P798" s="22" t="str">
        <f>IF('Data-Plot'!C798="","",$Q$11+('Data-Plot'!C798-'Data-Plot'!D798)*$P$9)</f>
        <v/>
      </c>
      <c r="Q798" s="22" t="str">
        <f>IF('Data-Plot'!C798="","",MAX('Data-Plot'!$C$11:$C$1010)*(1+$Q$9/100))</f>
        <v/>
      </c>
      <c r="R798" s="22" t="str">
        <f>IF('Data-Plot'!C798="","",('Data-Plot'!C798-'Data-Plot'!D798)*$P$9)</f>
        <v/>
      </c>
    </row>
    <row r="799" spans="16:18" x14ac:dyDescent="0.25">
      <c r="P799" s="22" t="str">
        <f>IF('Data-Plot'!C799="","",$Q$11+('Data-Plot'!C799-'Data-Plot'!D799)*$P$9)</f>
        <v/>
      </c>
      <c r="Q799" s="22" t="str">
        <f>IF('Data-Plot'!C799="","",MAX('Data-Plot'!$C$11:$C$1010)*(1+$Q$9/100))</f>
        <v/>
      </c>
      <c r="R799" s="22" t="str">
        <f>IF('Data-Plot'!C799="","",('Data-Plot'!C799-'Data-Plot'!D799)*$P$9)</f>
        <v/>
      </c>
    </row>
    <row r="800" spans="16:18" x14ac:dyDescent="0.25">
      <c r="P800" s="22" t="str">
        <f>IF('Data-Plot'!C800="","",$Q$11+('Data-Plot'!C800-'Data-Plot'!D800)*$P$9)</f>
        <v/>
      </c>
      <c r="Q800" s="22" t="str">
        <f>IF('Data-Plot'!C800="","",MAX('Data-Plot'!$C$11:$C$1010)*(1+$Q$9/100))</f>
        <v/>
      </c>
      <c r="R800" s="22" t="str">
        <f>IF('Data-Plot'!C800="","",('Data-Plot'!C800-'Data-Plot'!D800)*$P$9)</f>
        <v/>
      </c>
    </row>
    <row r="801" spans="16:18" x14ac:dyDescent="0.25">
      <c r="P801" s="22" t="str">
        <f>IF('Data-Plot'!C801="","",$Q$11+('Data-Plot'!C801-'Data-Plot'!D801)*$P$9)</f>
        <v/>
      </c>
      <c r="Q801" s="22" t="str">
        <f>IF('Data-Plot'!C801="","",MAX('Data-Plot'!$C$11:$C$1010)*(1+$Q$9/100))</f>
        <v/>
      </c>
      <c r="R801" s="22" t="str">
        <f>IF('Data-Plot'!C801="","",('Data-Plot'!C801-'Data-Plot'!D801)*$P$9)</f>
        <v/>
      </c>
    </row>
    <row r="802" spans="16:18" x14ac:dyDescent="0.25">
      <c r="P802" s="22" t="str">
        <f>IF('Data-Plot'!C802="","",$Q$11+('Data-Plot'!C802-'Data-Plot'!D802)*$P$9)</f>
        <v/>
      </c>
      <c r="Q802" s="22" t="str">
        <f>IF('Data-Plot'!C802="","",MAX('Data-Plot'!$C$11:$C$1010)*(1+$Q$9/100))</f>
        <v/>
      </c>
      <c r="R802" s="22" t="str">
        <f>IF('Data-Plot'!C802="","",('Data-Plot'!C802-'Data-Plot'!D802)*$P$9)</f>
        <v/>
      </c>
    </row>
    <row r="803" spans="16:18" x14ac:dyDescent="0.25">
      <c r="P803" s="22" t="str">
        <f>IF('Data-Plot'!C803="","",$Q$11+('Data-Plot'!C803-'Data-Plot'!D803)*$P$9)</f>
        <v/>
      </c>
      <c r="Q803" s="22" t="str">
        <f>IF('Data-Plot'!C803="","",MAX('Data-Plot'!$C$11:$C$1010)*(1+$Q$9/100))</f>
        <v/>
      </c>
      <c r="R803" s="22" t="str">
        <f>IF('Data-Plot'!C803="","",('Data-Plot'!C803-'Data-Plot'!D803)*$P$9)</f>
        <v/>
      </c>
    </row>
    <row r="804" spans="16:18" x14ac:dyDescent="0.25">
      <c r="P804" s="22" t="str">
        <f>IF('Data-Plot'!C804="","",$Q$11+('Data-Plot'!C804-'Data-Plot'!D804)*$P$9)</f>
        <v/>
      </c>
      <c r="Q804" s="22" t="str">
        <f>IF('Data-Plot'!C804="","",MAX('Data-Plot'!$C$11:$C$1010)*(1+$Q$9/100))</f>
        <v/>
      </c>
      <c r="R804" s="22" t="str">
        <f>IF('Data-Plot'!C804="","",('Data-Plot'!C804-'Data-Plot'!D804)*$P$9)</f>
        <v/>
      </c>
    </row>
    <row r="805" spans="16:18" x14ac:dyDescent="0.25">
      <c r="P805" s="22" t="str">
        <f>IF('Data-Plot'!C805="","",$Q$11+('Data-Plot'!C805-'Data-Plot'!D805)*$P$9)</f>
        <v/>
      </c>
      <c r="Q805" s="22" t="str">
        <f>IF('Data-Plot'!C805="","",MAX('Data-Plot'!$C$11:$C$1010)*(1+$Q$9/100))</f>
        <v/>
      </c>
      <c r="R805" s="22" t="str">
        <f>IF('Data-Plot'!C805="","",('Data-Plot'!C805-'Data-Plot'!D805)*$P$9)</f>
        <v/>
      </c>
    </row>
    <row r="806" spans="16:18" x14ac:dyDescent="0.25">
      <c r="P806" s="22" t="str">
        <f>IF('Data-Plot'!C806="","",$Q$11+('Data-Plot'!C806-'Data-Plot'!D806)*$P$9)</f>
        <v/>
      </c>
      <c r="Q806" s="22" t="str">
        <f>IF('Data-Plot'!C806="","",MAX('Data-Plot'!$C$11:$C$1010)*(1+$Q$9/100))</f>
        <v/>
      </c>
      <c r="R806" s="22" t="str">
        <f>IF('Data-Plot'!C806="","",('Data-Plot'!C806-'Data-Plot'!D806)*$P$9)</f>
        <v/>
      </c>
    </row>
    <row r="807" spans="16:18" x14ac:dyDescent="0.25">
      <c r="P807" s="22" t="str">
        <f>IF('Data-Plot'!C807="","",$Q$11+('Data-Plot'!C807-'Data-Plot'!D807)*$P$9)</f>
        <v/>
      </c>
      <c r="Q807" s="22" t="str">
        <f>IF('Data-Plot'!C807="","",MAX('Data-Plot'!$C$11:$C$1010)*(1+$Q$9/100))</f>
        <v/>
      </c>
      <c r="R807" s="22" t="str">
        <f>IF('Data-Plot'!C807="","",('Data-Plot'!C807-'Data-Plot'!D807)*$P$9)</f>
        <v/>
      </c>
    </row>
    <row r="808" spans="16:18" x14ac:dyDescent="0.25">
      <c r="P808" s="22" t="str">
        <f>IF('Data-Plot'!C808="","",$Q$11+('Data-Plot'!C808-'Data-Plot'!D808)*$P$9)</f>
        <v/>
      </c>
      <c r="Q808" s="22" t="str">
        <f>IF('Data-Plot'!C808="","",MAX('Data-Plot'!$C$11:$C$1010)*(1+$Q$9/100))</f>
        <v/>
      </c>
      <c r="R808" s="22" t="str">
        <f>IF('Data-Plot'!C808="","",('Data-Plot'!C808-'Data-Plot'!D808)*$P$9)</f>
        <v/>
      </c>
    </row>
    <row r="809" spans="16:18" x14ac:dyDescent="0.25">
      <c r="P809" s="22" t="str">
        <f>IF('Data-Plot'!C809="","",$Q$11+('Data-Plot'!C809-'Data-Plot'!D809)*$P$9)</f>
        <v/>
      </c>
      <c r="Q809" s="22" t="str">
        <f>IF('Data-Plot'!C809="","",MAX('Data-Plot'!$C$11:$C$1010)*(1+$Q$9/100))</f>
        <v/>
      </c>
      <c r="R809" s="22" t="str">
        <f>IF('Data-Plot'!C809="","",('Data-Plot'!C809-'Data-Plot'!D809)*$P$9)</f>
        <v/>
      </c>
    </row>
    <row r="810" spans="16:18" x14ac:dyDescent="0.25">
      <c r="P810" s="22" t="str">
        <f>IF('Data-Plot'!C810="","",$Q$11+('Data-Plot'!C810-'Data-Plot'!D810)*$P$9)</f>
        <v/>
      </c>
      <c r="Q810" s="22" t="str">
        <f>IF('Data-Plot'!C810="","",MAX('Data-Plot'!$C$11:$C$1010)*(1+$Q$9/100))</f>
        <v/>
      </c>
      <c r="R810" s="22" t="str">
        <f>IF('Data-Plot'!C810="","",('Data-Plot'!C810-'Data-Plot'!D810)*$P$9)</f>
        <v/>
      </c>
    </row>
    <row r="811" spans="16:18" x14ac:dyDescent="0.25">
      <c r="P811" s="22" t="str">
        <f>IF('Data-Plot'!C811="","",$Q$11+('Data-Plot'!C811-'Data-Plot'!D811)*$P$9)</f>
        <v/>
      </c>
      <c r="Q811" s="22" t="str">
        <f>IF('Data-Plot'!C811="","",MAX('Data-Plot'!$C$11:$C$1010)*(1+$Q$9/100))</f>
        <v/>
      </c>
      <c r="R811" s="22" t="str">
        <f>IF('Data-Plot'!C811="","",('Data-Plot'!C811-'Data-Plot'!D811)*$P$9)</f>
        <v/>
      </c>
    </row>
    <row r="812" spans="16:18" x14ac:dyDescent="0.25">
      <c r="P812" s="22" t="str">
        <f>IF('Data-Plot'!C812="","",$Q$11+('Data-Plot'!C812-'Data-Plot'!D812)*$P$9)</f>
        <v/>
      </c>
      <c r="Q812" s="22" t="str">
        <f>IF('Data-Plot'!C812="","",MAX('Data-Plot'!$C$11:$C$1010)*(1+$Q$9/100))</f>
        <v/>
      </c>
      <c r="R812" s="22" t="str">
        <f>IF('Data-Plot'!C812="","",('Data-Plot'!C812-'Data-Plot'!D812)*$P$9)</f>
        <v/>
      </c>
    </row>
    <row r="813" spans="16:18" x14ac:dyDescent="0.25">
      <c r="P813" s="22" t="str">
        <f>IF('Data-Plot'!C813="","",$Q$11+('Data-Plot'!C813-'Data-Plot'!D813)*$P$9)</f>
        <v/>
      </c>
      <c r="Q813" s="22" t="str">
        <f>IF('Data-Plot'!C813="","",MAX('Data-Plot'!$C$11:$C$1010)*(1+$Q$9/100))</f>
        <v/>
      </c>
      <c r="R813" s="22" t="str">
        <f>IF('Data-Plot'!C813="","",('Data-Plot'!C813-'Data-Plot'!D813)*$P$9)</f>
        <v/>
      </c>
    </row>
    <row r="814" spans="16:18" x14ac:dyDescent="0.25">
      <c r="P814" s="22" t="str">
        <f>IF('Data-Plot'!C814="","",$Q$11+('Data-Plot'!C814-'Data-Plot'!D814)*$P$9)</f>
        <v/>
      </c>
      <c r="Q814" s="22" t="str">
        <f>IF('Data-Plot'!C814="","",MAX('Data-Plot'!$C$11:$C$1010)*(1+$Q$9/100))</f>
        <v/>
      </c>
      <c r="R814" s="22" t="str">
        <f>IF('Data-Plot'!C814="","",('Data-Plot'!C814-'Data-Plot'!D814)*$P$9)</f>
        <v/>
      </c>
    </row>
    <row r="815" spans="16:18" x14ac:dyDescent="0.25">
      <c r="P815" s="22" t="str">
        <f>IF('Data-Plot'!C815="","",$Q$11+('Data-Plot'!C815-'Data-Plot'!D815)*$P$9)</f>
        <v/>
      </c>
      <c r="Q815" s="22" t="str">
        <f>IF('Data-Plot'!C815="","",MAX('Data-Plot'!$C$11:$C$1010)*(1+$Q$9/100))</f>
        <v/>
      </c>
      <c r="R815" s="22" t="str">
        <f>IF('Data-Plot'!C815="","",('Data-Plot'!C815-'Data-Plot'!D815)*$P$9)</f>
        <v/>
      </c>
    </row>
    <row r="816" spans="16:18" x14ac:dyDescent="0.25">
      <c r="P816" s="22" t="str">
        <f>IF('Data-Plot'!C816="","",$Q$11+('Data-Plot'!C816-'Data-Plot'!D816)*$P$9)</f>
        <v/>
      </c>
      <c r="Q816" s="22" t="str">
        <f>IF('Data-Plot'!C816="","",MAX('Data-Plot'!$C$11:$C$1010)*(1+$Q$9/100))</f>
        <v/>
      </c>
      <c r="R816" s="22" t="str">
        <f>IF('Data-Plot'!C816="","",('Data-Plot'!C816-'Data-Plot'!D816)*$P$9)</f>
        <v/>
      </c>
    </row>
    <row r="817" spans="16:18" x14ac:dyDescent="0.25">
      <c r="P817" s="22" t="str">
        <f>IF('Data-Plot'!C817="","",$Q$11+('Data-Plot'!C817-'Data-Plot'!D817)*$P$9)</f>
        <v/>
      </c>
      <c r="Q817" s="22" t="str">
        <f>IF('Data-Plot'!C817="","",MAX('Data-Plot'!$C$11:$C$1010)*(1+$Q$9/100))</f>
        <v/>
      </c>
      <c r="R817" s="22" t="str">
        <f>IF('Data-Plot'!C817="","",('Data-Plot'!C817-'Data-Plot'!D817)*$P$9)</f>
        <v/>
      </c>
    </row>
    <row r="818" spans="16:18" x14ac:dyDescent="0.25">
      <c r="P818" s="22" t="str">
        <f>IF('Data-Plot'!C818="","",$Q$11+('Data-Plot'!C818-'Data-Plot'!D818)*$P$9)</f>
        <v/>
      </c>
      <c r="Q818" s="22" t="str">
        <f>IF('Data-Plot'!C818="","",MAX('Data-Plot'!$C$11:$C$1010)*(1+$Q$9/100))</f>
        <v/>
      </c>
      <c r="R818" s="22" t="str">
        <f>IF('Data-Plot'!C818="","",('Data-Plot'!C818-'Data-Plot'!D818)*$P$9)</f>
        <v/>
      </c>
    </row>
    <row r="819" spans="16:18" x14ac:dyDescent="0.25">
      <c r="P819" s="22" t="str">
        <f>IF('Data-Plot'!C819="","",$Q$11+('Data-Plot'!C819-'Data-Plot'!D819)*$P$9)</f>
        <v/>
      </c>
      <c r="Q819" s="22" t="str">
        <f>IF('Data-Plot'!C819="","",MAX('Data-Plot'!$C$11:$C$1010)*(1+$Q$9/100))</f>
        <v/>
      </c>
      <c r="R819" s="22" t="str">
        <f>IF('Data-Plot'!C819="","",('Data-Plot'!C819-'Data-Plot'!D819)*$P$9)</f>
        <v/>
      </c>
    </row>
    <row r="820" spans="16:18" x14ac:dyDescent="0.25">
      <c r="P820" s="22" t="str">
        <f>IF('Data-Plot'!C820="","",$Q$11+('Data-Plot'!C820-'Data-Plot'!D820)*$P$9)</f>
        <v/>
      </c>
      <c r="Q820" s="22" t="str">
        <f>IF('Data-Plot'!C820="","",MAX('Data-Plot'!$C$11:$C$1010)*(1+$Q$9/100))</f>
        <v/>
      </c>
      <c r="R820" s="22" t="str">
        <f>IF('Data-Plot'!C820="","",('Data-Plot'!C820-'Data-Plot'!D820)*$P$9)</f>
        <v/>
      </c>
    </row>
    <row r="821" spans="16:18" x14ac:dyDescent="0.25">
      <c r="P821" s="22" t="str">
        <f>IF('Data-Plot'!C821="","",$Q$11+('Data-Plot'!C821-'Data-Plot'!D821)*$P$9)</f>
        <v/>
      </c>
      <c r="Q821" s="22" t="str">
        <f>IF('Data-Plot'!C821="","",MAX('Data-Plot'!$C$11:$C$1010)*(1+$Q$9/100))</f>
        <v/>
      </c>
      <c r="R821" s="22" t="str">
        <f>IF('Data-Plot'!C821="","",('Data-Plot'!C821-'Data-Plot'!D821)*$P$9)</f>
        <v/>
      </c>
    </row>
    <row r="822" spans="16:18" x14ac:dyDescent="0.25">
      <c r="P822" s="22" t="str">
        <f>IF('Data-Plot'!C822="","",$Q$11+('Data-Plot'!C822-'Data-Plot'!D822)*$P$9)</f>
        <v/>
      </c>
      <c r="Q822" s="22" t="str">
        <f>IF('Data-Plot'!C822="","",MAX('Data-Plot'!$C$11:$C$1010)*(1+$Q$9/100))</f>
        <v/>
      </c>
      <c r="R822" s="22" t="str">
        <f>IF('Data-Plot'!C822="","",('Data-Plot'!C822-'Data-Plot'!D822)*$P$9)</f>
        <v/>
      </c>
    </row>
    <row r="823" spans="16:18" x14ac:dyDescent="0.25">
      <c r="P823" s="22" t="str">
        <f>IF('Data-Plot'!C823="","",$Q$11+('Data-Plot'!C823-'Data-Plot'!D823)*$P$9)</f>
        <v/>
      </c>
      <c r="Q823" s="22" t="str">
        <f>IF('Data-Plot'!C823="","",MAX('Data-Plot'!$C$11:$C$1010)*(1+$Q$9/100))</f>
        <v/>
      </c>
      <c r="R823" s="22" t="str">
        <f>IF('Data-Plot'!C823="","",('Data-Plot'!C823-'Data-Plot'!D823)*$P$9)</f>
        <v/>
      </c>
    </row>
    <row r="824" spans="16:18" x14ac:dyDescent="0.25">
      <c r="P824" s="22" t="str">
        <f>IF('Data-Plot'!C824="","",$Q$11+('Data-Plot'!C824-'Data-Plot'!D824)*$P$9)</f>
        <v/>
      </c>
      <c r="Q824" s="22" t="str">
        <f>IF('Data-Plot'!C824="","",MAX('Data-Plot'!$C$11:$C$1010)*(1+$Q$9/100))</f>
        <v/>
      </c>
      <c r="R824" s="22" t="str">
        <f>IF('Data-Plot'!C824="","",('Data-Plot'!C824-'Data-Plot'!D824)*$P$9)</f>
        <v/>
      </c>
    </row>
    <row r="825" spans="16:18" x14ac:dyDescent="0.25">
      <c r="P825" s="22" t="str">
        <f>IF('Data-Plot'!C825="","",$Q$11+('Data-Plot'!C825-'Data-Plot'!D825)*$P$9)</f>
        <v/>
      </c>
      <c r="Q825" s="22" t="str">
        <f>IF('Data-Plot'!C825="","",MAX('Data-Plot'!$C$11:$C$1010)*(1+$Q$9/100))</f>
        <v/>
      </c>
      <c r="R825" s="22" t="str">
        <f>IF('Data-Plot'!C825="","",('Data-Plot'!C825-'Data-Plot'!D825)*$P$9)</f>
        <v/>
      </c>
    </row>
    <row r="826" spans="16:18" x14ac:dyDescent="0.25">
      <c r="P826" s="22" t="str">
        <f>IF('Data-Plot'!C826="","",$Q$11+('Data-Plot'!C826-'Data-Plot'!D826)*$P$9)</f>
        <v/>
      </c>
      <c r="Q826" s="22" t="str">
        <f>IF('Data-Plot'!C826="","",MAX('Data-Plot'!$C$11:$C$1010)*(1+$Q$9/100))</f>
        <v/>
      </c>
      <c r="R826" s="22" t="str">
        <f>IF('Data-Plot'!C826="","",('Data-Plot'!C826-'Data-Plot'!D826)*$P$9)</f>
        <v/>
      </c>
    </row>
    <row r="827" spans="16:18" x14ac:dyDescent="0.25">
      <c r="P827" s="22" t="str">
        <f>IF('Data-Plot'!C827="","",$Q$11+('Data-Plot'!C827-'Data-Plot'!D827)*$P$9)</f>
        <v/>
      </c>
      <c r="Q827" s="22" t="str">
        <f>IF('Data-Plot'!C827="","",MAX('Data-Plot'!$C$11:$C$1010)*(1+$Q$9/100))</f>
        <v/>
      </c>
      <c r="R827" s="22" t="str">
        <f>IF('Data-Plot'!C827="","",('Data-Plot'!C827-'Data-Plot'!D827)*$P$9)</f>
        <v/>
      </c>
    </row>
    <row r="828" spans="16:18" x14ac:dyDescent="0.25">
      <c r="P828" s="22" t="str">
        <f>IF('Data-Plot'!C828="","",$Q$11+('Data-Plot'!C828-'Data-Plot'!D828)*$P$9)</f>
        <v/>
      </c>
      <c r="Q828" s="22" t="str">
        <f>IF('Data-Plot'!C828="","",MAX('Data-Plot'!$C$11:$C$1010)*(1+$Q$9/100))</f>
        <v/>
      </c>
      <c r="R828" s="22" t="str">
        <f>IF('Data-Plot'!C828="","",('Data-Plot'!C828-'Data-Plot'!D828)*$P$9)</f>
        <v/>
      </c>
    </row>
    <row r="829" spans="16:18" x14ac:dyDescent="0.25">
      <c r="P829" s="22" t="str">
        <f>IF('Data-Plot'!C829="","",$Q$11+('Data-Plot'!C829-'Data-Plot'!D829)*$P$9)</f>
        <v/>
      </c>
      <c r="Q829" s="22" t="str">
        <f>IF('Data-Plot'!C829="","",MAX('Data-Plot'!$C$11:$C$1010)*(1+$Q$9/100))</f>
        <v/>
      </c>
      <c r="R829" s="22" t="str">
        <f>IF('Data-Plot'!C829="","",('Data-Plot'!C829-'Data-Plot'!D829)*$P$9)</f>
        <v/>
      </c>
    </row>
    <row r="830" spans="16:18" x14ac:dyDescent="0.25">
      <c r="P830" s="22" t="str">
        <f>IF('Data-Plot'!C830="","",$Q$11+('Data-Plot'!C830-'Data-Plot'!D830)*$P$9)</f>
        <v/>
      </c>
      <c r="Q830" s="22" t="str">
        <f>IF('Data-Plot'!C830="","",MAX('Data-Plot'!$C$11:$C$1010)*(1+$Q$9/100))</f>
        <v/>
      </c>
      <c r="R830" s="22" t="str">
        <f>IF('Data-Plot'!C830="","",('Data-Plot'!C830-'Data-Plot'!D830)*$P$9)</f>
        <v/>
      </c>
    </row>
    <row r="831" spans="16:18" x14ac:dyDescent="0.25">
      <c r="P831" s="22" t="str">
        <f>IF('Data-Plot'!C831="","",$Q$11+('Data-Plot'!C831-'Data-Plot'!D831)*$P$9)</f>
        <v/>
      </c>
      <c r="Q831" s="22" t="str">
        <f>IF('Data-Plot'!C831="","",MAX('Data-Plot'!$C$11:$C$1010)*(1+$Q$9/100))</f>
        <v/>
      </c>
      <c r="R831" s="22" t="str">
        <f>IF('Data-Plot'!C831="","",('Data-Plot'!C831-'Data-Plot'!D831)*$P$9)</f>
        <v/>
      </c>
    </row>
    <row r="832" spans="16:18" x14ac:dyDescent="0.25">
      <c r="P832" s="22" t="str">
        <f>IF('Data-Plot'!C832="","",$Q$11+('Data-Plot'!C832-'Data-Plot'!D832)*$P$9)</f>
        <v/>
      </c>
      <c r="Q832" s="22" t="str">
        <f>IF('Data-Plot'!C832="","",MAX('Data-Plot'!$C$11:$C$1010)*(1+$Q$9/100))</f>
        <v/>
      </c>
      <c r="R832" s="22" t="str">
        <f>IF('Data-Plot'!C832="","",('Data-Plot'!C832-'Data-Plot'!D832)*$P$9)</f>
        <v/>
      </c>
    </row>
    <row r="833" spans="16:18" x14ac:dyDescent="0.25">
      <c r="P833" s="22" t="str">
        <f>IF('Data-Plot'!C833="","",$Q$11+('Data-Plot'!C833-'Data-Plot'!D833)*$P$9)</f>
        <v/>
      </c>
      <c r="Q833" s="22" t="str">
        <f>IF('Data-Plot'!C833="","",MAX('Data-Plot'!$C$11:$C$1010)*(1+$Q$9/100))</f>
        <v/>
      </c>
      <c r="R833" s="22" t="str">
        <f>IF('Data-Plot'!C833="","",('Data-Plot'!C833-'Data-Plot'!D833)*$P$9)</f>
        <v/>
      </c>
    </row>
    <row r="834" spans="16:18" x14ac:dyDescent="0.25">
      <c r="P834" s="22" t="str">
        <f>IF('Data-Plot'!C834="","",$Q$11+('Data-Plot'!C834-'Data-Plot'!D834)*$P$9)</f>
        <v/>
      </c>
      <c r="Q834" s="22" t="str">
        <f>IF('Data-Plot'!C834="","",MAX('Data-Plot'!$C$11:$C$1010)*(1+$Q$9/100))</f>
        <v/>
      </c>
      <c r="R834" s="22" t="str">
        <f>IF('Data-Plot'!C834="","",('Data-Plot'!C834-'Data-Plot'!D834)*$P$9)</f>
        <v/>
      </c>
    </row>
    <row r="835" spans="16:18" x14ac:dyDescent="0.25">
      <c r="P835" s="22" t="str">
        <f>IF('Data-Plot'!C835="","",$Q$11+('Data-Plot'!C835-'Data-Plot'!D835)*$P$9)</f>
        <v/>
      </c>
      <c r="Q835" s="22" t="str">
        <f>IF('Data-Plot'!C835="","",MAX('Data-Plot'!$C$11:$C$1010)*(1+$Q$9/100))</f>
        <v/>
      </c>
      <c r="R835" s="22" t="str">
        <f>IF('Data-Plot'!C835="","",('Data-Plot'!C835-'Data-Plot'!D835)*$P$9)</f>
        <v/>
      </c>
    </row>
    <row r="836" spans="16:18" x14ac:dyDescent="0.25">
      <c r="P836" s="22" t="str">
        <f>IF('Data-Plot'!C836="","",$Q$11+('Data-Plot'!C836-'Data-Plot'!D836)*$P$9)</f>
        <v/>
      </c>
      <c r="Q836" s="22" t="str">
        <f>IF('Data-Plot'!C836="","",MAX('Data-Plot'!$C$11:$C$1010)*(1+$Q$9/100))</f>
        <v/>
      </c>
      <c r="R836" s="22" t="str">
        <f>IF('Data-Plot'!C836="","",('Data-Plot'!C836-'Data-Plot'!D836)*$P$9)</f>
        <v/>
      </c>
    </row>
    <row r="837" spans="16:18" x14ac:dyDescent="0.25">
      <c r="P837" s="22" t="str">
        <f>IF('Data-Plot'!C837="","",$Q$11+('Data-Plot'!C837-'Data-Plot'!D837)*$P$9)</f>
        <v/>
      </c>
      <c r="Q837" s="22" t="str">
        <f>IF('Data-Plot'!C837="","",MAX('Data-Plot'!$C$11:$C$1010)*(1+$Q$9/100))</f>
        <v/>
      </c>
      <c r="R837" s="22" t="str">
        <f>IF('Data-Plot'!C837="","",('Data-Plot'!C837-'Data-Plot'!D837)*$P$9)</f>
        <v/>
      </c>
    </row>
    <row r="838" spans="16:18" x14ac:dyDescent="0.25">
      <c r="P838" s="22" t="str">
        <f>IF('Data-Plot'!C838="","",$Q$11+('Data-Plot'!C838-'Data-Plot'!D838)*$P$9)</f>
        <v/>
      </c>
      <c r="Q838" s="22" t="str">
        <f>IF('Data-Plot'!C838="","",MAX('Data-Plot'!$C$11:$C$1010)*(1+$Q$9/100))</f>
        <v/>
      </c>
      <c r="R838" s="22" t="str">
        <f>IF('Data-Plot'!C838="","",('Data-Plot'!C838-'Data-Plot'!D838)*$P$9)</f>
        <v/>
      </c>
    </row>
    <row r="839" spans="16:18" x14ac:dyDescent="0.25">
      <c r="P839" s="22" t="str">
        <f>IF('Data-Plot'!C839="","",$Q$11+('Data-Plot'!C839-'Data-Plot'!D839)*$P$9)</f>
        <v/>
      </c>
      <c r="Q839" s="22" t="str">
        <f>IF('Data-Plot'!C839="","",MAX('Data-Plot'!$C$11:$C$1010)*(1+$Q$9/100))</f>
        <v/>
      </c>
      <c r="R839" s="22" t="str">
        <f>IF('Data-Plot'!C839="","",('Data-Plot'!C839-'Data-Plot'!D839)*$P$9)</f>
        <v/>
      </c>
    </row>
    <row r="840" spans="16:18" x14ac:dyDescent="0.25">
      <c r="P840" s="22" t="str">
        <f>IF('Data-Plot'!C840="","",$Q$11+('Data-Plot'!C840-'Data-Plot'!D840)*$P$9)</f>
        <v/>
      </c>
      <c r="Q840" s="22" t="str">
        <f>IF('Data-Plot'!C840="","",MAX('Data-Plot'!$C$11:$C$1010)*(1+$Q$9/100))</f>
        <v/>
      </c>
      <c r="R840" s="22" t="str">
        <f>IF('Data-Plot'!C840="","",('Data-Plot'!C840-'Data-Plot'!D840)*$P$9)</f>
        <v/>
      </c>
    </row>
    <row r="841" spans="16:18" x14ac:dyDescent="0.25">
      <c r="P841" s="22" t="str">
        <f>IF('Data-Plot'!C841="","",$Q$11+('Data-Plot'!C841-'Data-Plot'!D841)*$P$9)</f>
        <v/>
      </c>
      <c r="Q841" s="22" t="str">
        <f>IF('Data-Plot'!C841="","",MAX('Data-Plot'!$C$11:$C$1010)*(1+$Q$9/100))</f>
        <v/>
      </c>
      <c r="R841" s="22" t="str">
        <f>IF('Data-Plot'!C841="","",('Data-Plot'!C841-'Data-Plot'!D841)*$P$9)</f>
        <v/>
      </c>
    </row>
    <row r="842" spans="16:18" x14ac:dyDescent="0.25">
      <c r="P842" s="22" t="str">
        <f>IF('Data-Plot'!C842="","",$Q$11+('Data-Plot'!C842-'Data-Plot'!D842)*$P$9)</f>
        <v/>
      </c>
      <c r="Q842" s="22" t="str">
        <f>IF('Data-Plot'!C842="","",MAX('Data-Plot'!$C$11:$C$1010)*(1+$Q$9/100))</f>
        <v/>
      </c>
      <c r="R842" s="22" t="str">
        <f>IF('Data-Plot'!C842="","",('Data-Plot'!C842-'Data-Plot'!D842)*$P$9)</f>
        <v/>
      </c>
    </row>
    <row r="843" spans="16:18" x14ac:dyDescent="0.25">
      <c r="P843" s="22" t="str">
        <f>IF('Data-Plot'!C843="","",$Q$11+('Data-Plot'!C843-'Data-Plot'!D843)*$P$9)</f>
        <v/>
      </c>
      <c r="Q843" s="22" t="str">
        <f>IF('Data-Plot'!C843="","",MAX('Data-Plot'!$C$11:$C$1010)*(1+$Q$9/100))</f>
        <v/>
      </c>
      <c r="R843" s="22" t="str">
        <f>IF('Data-Plot'!C843="","",('Data-Plot'!C843-'Data-Plot'!D843)*$P$9)</f>
        <v/>
      </c>
    </row>
    <row r="844" spans="16:18" x14ac:dyDescent="0.25">
      <c r="P844" s="22" t="str">
        <f>IF('Data-Plot'!C844="","",$Q$11+('Data-Plot'!C844-'Data-Plot'!D844)*$P$9)</f>
        <v/>
      </c>
      <c r="Q844" s="22" t="str">
        <f>IF('Data-Plot'!C844="","",MAX('Data-Plot'!$C$11:$C$1010)*(1+$Q$9/100))</f>
        <v/>
      </c>
      <c r="R844" s="22" t="str">
        <f>IF('Data-Plot'!C844="","",('Data-Plot'!C844-'Data-Plot'!D844)*$P$9)</f>
        <v/>
      </c>
    </row>
    <row r="845" spans="16:18" x14ac:dyDescent="0.25">
      <c r="P845" s="22" t="str">
        <f>IF('Data-Plot'!C845="","",$Q$11+('Data-Plot'!C845-'Data-Plot'!D845)*$P$9)</f>
        <v/>
      </c>
      <c r="Q845" s="22" t="str">
        <f>IF('Data-Plot'!C845="","",MAX('Data-Plot'!$C$11:$C$1010)*(1+$Q$9/100))</f>
        <v/>
      </c>
      <c r="R845" s="22" t="str">
        <f>IF('Data-Plot'!C845="","",('Data-Plot'!C845-'Data-Plot'!D845)*$P$9)</f>
        <v/>
      </c>
    </row>
    <row r="846" spans="16:18" x14ac:dyDescent="0.25">
      <c r="P846" s="22" t="str">
        <f>IF('Data-Plot'!C846="","",$Q$11+('Data-Plot'!C846-'Data-Plot'!D846)*$P$9)</f>
        <v/>
      </c>
      <c r="Q846" s="22" t="str">
        <f>IF('Data-Plot'!C846="","",MAX('Data-Plot'!$C$11:$C$1010)*(1+$Q$9/100))</f>
        <v/>
      </c>
      <c r="R846" s="22" t="str">
        <f>IF('Data-Plot'!C846="","",('Data-Plot'!C846-'Data-Plot'!D846)*$P$9)</f>
        <v/>
      </c>
    </row>
    <row r="847" spans="16:18" x14ac:dyDescent="0.25">
      <c r="P847" s="22" t="str">
        <f>IF('Data-Plot'!C847="","",$Q$11+('Data-Plot'!C847-'Data-Plot'!D847)*$P$9)</f>
        <v/>
      </c>
      <c r="Q847" s="22" t="str">
        <f>IF('Data-Plot'!C847="","",MAX('Data-Plot'!$C$11:$C$1010)*(1+$Q$9/100))</f>
        <v/>
      </c>
      <c r="R847" s="22" t="str">
        <f>IF('Data-Plot'!C847="","",('Data-Plot'!C847-'Data-Plot'!D847)*$P$9)</f>
        <v/>
      </c>
    </row>
    <row r="848" spans="16:18" x14ac:dyDescent="0.25">
      <c r="P848" s="22" t="str">
        <f>IF('Data-Plot'!C848="","",$Q$11+('Data-Plot'!C848-'Data-Plot'!D848)*$P$9)</f>
        <v/>
      </c>
      <c r="Q848" s="22" t="str">
        <f>IF('Data-Plot'!C848="","",MAX('Data-Plot'!$C$11:$C$1010)*(1+$Q$9/100))</f>
        <v/>
      </c>
      <c r="R848" s="22" t="str">
        <f>IF('Data-Plot'!C848="","",('Data-Plot'!C848-'Data-Plot'!D848)*$P$9)</f>
        <v/>
      </c>
    </row>
    <row r="849" spans="16:18" x14ac:dyDescent="0.25">
      <c r="P849" s="22" t="str">
        <f>IF('Data-Plot'!C849="","",$Q$11+('Data-Plot'!C849-'Data-Plot'!D849)*$P$9)</f>
        <v/>
      </c>
      <c r="Q849" s="22" t="str">
        <f>IF('Data-Plot'!C849="","",MAX('Data-Plot'!$C$11:$C$1010)*(1+$Q$9/100))</f>
        <v/>
      </c>
      <c r="R849" s="22" t="str">
        <f>IF('Data-Plot'!C849="","",('Data-Plot'!C849-'Data-Plot'!D849)*$P$9)</f>
        <v/>
      </c>
    </row>
    <row r="850" spans="16:18" x14ac:dyDescent="0.25">
      <c r="P850" s="22" t="str">
        <f>IF('Data-Plot'!C850="","",$Q$11+('Data-Plot'!C850-'Data-Plot'!D850)*$P$9)</f>
        <v/>
      </c>
      <c r="Q850" s="22" t="str">
        <f>IF('Data-Plot'!C850="","",MAX('Data-Plot'!$C$11:$C$1010)*(1+$Q$9/100))</f>
        <v/>
      </c>
      <c r="R850" s="22" t="str">
        <f>IF('Data-Plot'!C850="","",('Data-Plot'!C850-'Data-Plot'!D850)*$P$9)</f>
        <v/>
      </c>
    </row>
    <row r="851" spans="16:18" x14ac:dyDescent="0.25">
      <c r="P851" s="22" t="str">
        <f>IF('Data-Plot'!C851="","",$Q$11+('Data-Plot'!C851-'Data-Plot'!D851)*$P$9)</f>
        <v/>
      </c>
      <c r="Q851" s="22" t="str">
        <f>IF('Data-Plot'!C851="","",MAX('Data-Plot'!$C$11:$C$1010)*(1+$Q$9/100))</f>
        <v/>
      </c>
      <c r="R851" s="22" t="str">
        <f>IF('Data-Plot'!C851="","",('Data-Plot'!C851-'Data-Plot'!D851)*$P$9)</f>
        <v/>
      </c>
    </row>
    <row r="852" spans="16:18" x14ac:dyDescent="0.25">
      <c r="P852" s="22" t="str">
        <f>IF('Data-Plot'!C852="","",$Q$11+('Data-Plot'!C852-'Data-Plot'!D852)*$P$9)</f>
        <v/>
      </c>
      <c r="Q852" s="22" t="str">
        <f>IF('Data-Plot'!C852="","",MAX('Data-Plot'!$C$11:$C$1010)*(1+$Q$9/100))</f>
        <v/>
      </c>
      <c r="R852" s="22" t="str">
        <f>IF('Data-Plot'!C852="","",('Data-Plot'!C852-'Data-Plot'!D852)*$P$9)</f>
        <v/>
      </c>
    </row>
    <row r="853" spans="16:18" x14ac:dyDescent="0.25">
      <c r="P853" s="22" t="str">
        <f>IF('Data-Plot'!C853="","",$Q$11+('Data-Plot'!C853-'Data-Plot'!D853)*$P$9)</f>
        <v/>
      </c>
      <c r="Q853" s="22" t="str">
        <f>IF('Data-Plot'!C853="","",MAX('Data-Plot'!$C$11:$C$1010)*(1+$Q$9/100))</f>
        <v/>
      </c>
      <c r="R853" s="22" t="str">
        <f>IF('Data-Plot'!C853="","",('Data-Plot'!C853-'Data-Plot'!D853)*$P$9)</f>
        <v/>
      </c>
    </row>
    <row r="854" spans="16:18" x14ac:dyDescent="0.25">
      <c r="P854" s="22" t="str">
        <f>IF('Data-Plot'!C854="","",$Q$11+('Data-Plot'!C854-'Data-Plot'!D854)*$P$9)</f>
        <v/>
      </c>
      <c r="Q854" s="22" t="str">
        <f>IF('Data-Plot'!C854="","",MAX('Data-Plot'!$C$11:$C$1010)*(1+$Q$9/100))</f>
        <v/>
      </c>
      <c r="R854" s="22" t="str">
        <f>IF('Data-Plot'!C854="","",('Data-Plot'!C854-'Data-Plot'!D854)*$P$9)</f>
        <v/>
      </c>
    </row>
    <row r="855" spans="16:18" x14ac:dyDescent="0.25">
      <c r="P855" s="22" t="str">
        <f>IF('Data-Plot'!C855="","",$Q$11+('Data-Plot'!C855-'Data-Plot'!D855)*$P$9)</f>
        <v/>
      </c>
      <c r="Q855" s="22" t="str">
        <f>IF('Data-Plot'!C855="","",MAX('Data-Plot'!$C$11:$C$1010)*(1+$Q$9/100))</f>
        <v/>
      </c>
      <c r="R855" s="22" t="str">
        <f>IF('Data-Plot'!C855="","",('Data-Plot'!C855-'Data-Plot'!D855)*$P$9)</f>
        <v/>
      </c>
    </row>
    <row r="856" spans="16:18" x14ac:dyDescent="0.25">
      <c r="P856" s="22" t="str">
        <f>IF('Data-Plot'!C856="","",$Q$11+('Data-Plot'!C856-'Data-Plot'!D856)*$P$9)</f>
        <v/>
      </c>
      <c r="Q856" s="22" t="str">
        <f>IF('Data-Plot'!C856="","",MAX('Data-Plot'!$C$11:$C$1010)*(1+$Q$9/100))</f>
        <v/>
      </c>
      <c r="R856" s="22" t="str">
        <f>IF('Data-Plot'!C856="","",('Data-Plot'!C856-'Data-Plot'!D856)*$P$9)</f>
        <v/>
      </c>
    </row>
    <row r="857" spans="16:18" x14ac:dyDescent="0.25">
      <c r="P857" s="22" t="str">
        <f>IF('Data-Plot'!C857="","",$Q$11+('Data-Plot'!C857-'Data-Plot'!D857)*$P$9)</f>
        <v/>
      </c>
      <c r="Q857" s="22" t="str">
        <f>IF('Data-Plot'!C857="","",MAX('Data-Plot'!$C$11:$C$1010)*(1+$Q$9/100))</f>
        <v/>
      </c>
      <c r="R857" s="22" t="str">
        <f>IF('Data-Plot'!C857="","",('Data-Plot'!C857-'Data-Plot'!D857)*$P$9)</f>
        <v/>
      </c>
    </row>
    <row r="858" spans="16:18" x14ac:dyDescent="0.25">
      <c r="P858" s="22" t="str">
        <f>IF('Data-Plot'!C858="","",$Q$11+('Data-Plot'!C858-'Data-Plot'!D858)*$P$9)</f>
        <v/>
      </c>
      <c r="Q858" s="22" t="str">
        <f>IF('Data-Plot'!C858="","",MAX('Data-Plot'!$C$11:$C$1010)*(1+$Q$9/100))</f>
        <v/>
      </c>
      <c r="R858" s="22" t="str">
        <f>IF('Data-Plot'!C858="","",('Data-Plot'!C858-'Data-Plot'!D858)*$P$9)</f>
        <v/>
      </c>
    </row>
    <row r="859" spans="16:18" x14ac:dyDescent="0.25">
      <c r="P859" s="22" t="str">
        <f>IF('Data-Plot'!C859="","",$Q$11+('Data-Plot'!C859-'Data-Plot'!D859)*$P$9)</f>
        <v/>
      </c>
      <c r="Q859" s="22" t="str">
        <f>IF('Data-Plot'!C859="","",MAX('Data-Plot'!$C$11:$C$1010)*(1+$Q$9/100))</f>
        <v/>
      </c>
      <c r="R859" s="22" t="str">
        <f>IF('Data-Plot'!C859="","",('Data-Plot'!C859-'Data-Plot'!D859)*$P$9)</f>
        <v/>
      </c>
    </row>
    <row r="860" spans="16:18" x14ac:dyDescent="0.25">
      <c r="P860" s="22" t="str">
        <f>IF('Data-Plot'!C860="","",$Q$11+('Data-Plot'!C860-'Data-Plot'!D860)*$P$9)</f>
        <v/>
      </c>
      <c r="Q860" s="22" t="str">
        <f>IF('Data-Plot'!C860="","",MAX('Data-Plot'!$C$11:$C$1010)*(1+$Q$9/100))</f>
        <v/>
      </c>
      <c r="R860" s="22" t="str">
        <f>IF('Data-Plot'!C860="","",('Data-Plot'!C860-'Data-Plot'!D860)*$P$9)</f>
        <v/>
      </c>
    </row>
    <row r="861" spans="16:18" x14ac:dyDescent="0.25">
      <c r="P861" s="22" t="str">
        <f>IF('Data-Plot'!C861="","",$Q$11+('Data-Plot'!C861-'Data-Plot'!D861)*$P$9)</f>
        <v/>
      </c>
      <c r="Q861" s="22" t="str">
        <f>IF('Data-Plot'!C861="","",MAX('Data-Plot'!$C$11:$C$1010)*(1+$Q$9/100))</f>
        <v/>
      </c>
      <c r="R861" s="22" t="str">
        <f>IF('Data-Plot'!C861="","",('Data-Plot'!C861-'Data-Plot'!D861)*$P$9)</f>
        <v/>
      </c>
    </row>
    <row r="862" spans="16:18" x14ac:dyDescent="0.25">
      <c r="P862" s="22" t="str">
        <f>IF('Data-Plot'!C862="","",$Q$11+('Data-Plot'!C862-'Data-Plot'!D862)*$P$9)</f>
        <v/>
      </c>
      <c r="Q862" s="22" t="str">
        <f>IF('Data-Plot'!C862="","",MAX('Data-Plot'!$C$11:$C$1010)*(1+$Q$9/100))</f>
        <v/>
      </c>
      <c r="R862" s="22" t="str">
        <f>IF('Data-Plot'!C862="","",('Data-Plot'!C862-'Data-Plot'!D862)*$P$9)</f>
        <v/>
      </c>
    </row>
    <row r="863" spans="16:18" x14ac:dyDescent="0.25">
      <c r="P863" s="22" t="str">
        <f>IF('Data-Plot'!C863="","",$Q$11+('Data-Plot'!C863-'Data-Plot'!D863)*$P$9)</f>
        <v/>
      </c>
      <c r="Q863" s="22" t="str">
        <f>IF('Data-Plot'!C863="","",MAX('Data-Plot'!$C$11:$C$1010)*(1+$Q$9/100))</f>
        <v/>
      </c>
      <c r="R863" s="22" t="str">
        <f>IF('Data-Plot'!C863="","",('Data-Plot'!C863-'Data-Plot'!D863)*$P$9)</f>
        <v/>
      </c>
    </row>
    <row r="864" spans="16:18" x14ac:dyDescent="0.25">
      <c r="P864" s="22" t="str">
        <f>IF('Data-Plot'!C864="","",$Q$11+('Data-Plot'!C864-'Data-Plot'!D864)*$P$9)</f>
        <v/>
      </c>
      <c r="Q864" s="22" t="str">
        <f>IF('Data-Plot'!C864="","",MAX('Data-Plot'!$C$11:$C$1010)*(1+$Q$9/100))</f>
        <v/>
      </c>
      <c r="R864" s="22" t="str">
        <f>IF('Data-Plot'!C864="","",('Data-Plot'!C864-'Data-Plot'!D864)*$P$9)</f>
        <v/>
      </c>
    </row>
    <row r="865" spans="16:18" x14ac:dyDescent="0.25">
      <c r="P865" s="22" t="str">
        <f>IF('Data-Plot'!C865="","",$Q$11+('Data-Plot'!C865-'Data-Plot'!D865)*$P$9)</f>
        <v/>
      </c>
      <c r="Q865" s="22" t="str">
        <f>IF('Data-Plot'!C865="","",MAX('Data-Plot'!$C$11:$C$1010)*(1+$Q$9/100))</f>
        <v/>
      </c>
      <c r="R865" s="22" t="str">
        <f>IF('Data-Plot'!C865="","",('Data-Plot'!C865-'Data-Plot'!D865)*$P$9)</f>
        <v/>
      </c>
    </row>
    <row r="866" spans="16:18" x14ac:dyDescent="0.25">
      <c r="P866" s="22" t="str">
        <f>IF('Data-Plot'!C866="","",$Q$11+('Data-Plot'!C866-'Data-Plot'!D866)*$P$9)</f>
        <v/>
      </c>
      <c r="Q866" s="22" t="str">
        <f>IF('Data-Plot'!C866="","",MAX('Data-Plot'!$C$11:$C$1010)*(1+$Q$9/100))</f>
        <v/>
      </c>
      <c r="R866" s="22" t="str">
        <f>IF('Data-Plot'!C866="","",('Data-Plot'!C866-'Data-Plot'!D866)*$P$9)</f>
        <v/>
      </c>
    </row>
    <row r="867" spans="16:18" x14ac:dyDescent="0.25">
      <c r="P867" s="22" t="str">
        <f>IF('Data-Plot'!C867="","",$Q$11+('Data-Plot'!C867-'Data-Plot'!D867)*$P$9)</f>
        <v/>
      </c>
      <c r="Q867" s="22" t="str">
        <f>IF('Data-Plot'!C867="","",MAX('Data-Plot'!$C$11:$C$1010)*(1+$Q$9/100))</f>
        <v/>
      </c>
      <c r="R867" s="22" t="str">
        <f>IF('Data-Plot'!C867="","",('Data-Plot'!C867-'Data-Plot'!D867)*$P$9)</f>
        <v/>
      </c>
    </row>
    <row r="868" spans="16:18" x14ac:dyDescent="0.25">
      <c r="P868" s="22" t="str">
        <f>IF('Data-Plot'!C868="","",$Q$11+('Data-Plot'!C868-'Data-Plot'!D868)*$P$9)</f>
        <v/>
      </c>
      <c r="Q868" s="22" t="str">
        <f>IF('Data-Plot'!C868="","",MAX('Data-Plot'!$C$11:$C$1010)*(1+$Q$9/100))</f>
        <v/>
      </c>
      <c r="R868" s="22" t="str">
        <f>IF('Data-Plot'!C868="","",('Data-Plot'!C868-'Data-Plot'!D868)*$P$9)</f>
        <v/>
      </c>
    </row>
    <row r="869" spans="16:18" x14ac:dyDescent="0.25">
      <c r="P869" s="22" t="str">
        <f>IF('Data-Plot'!C869="","",$Q$11+('Data-Plot'!C869-'Data-Plot'!D869)*$P$9)</f>
        <v/>
      </c>
      <c r="Q869" s="22" t="str">
        <f>IF('Data-Plot'!C869="","",MAX('Data-Plot'!$C$11:$C$1010)*(1+$Q$9/100))</f>
        <v/>
      </c>
      <c r="R869" s="22" t="str">
        <f>IF('Data-Plot'!C869="","",('Data-Plot'!C869-'Data-Plot'!D869)*$P$9)</f>
        <v/>
      </c>
    </row>
    <row r="870" spans="16:18" x14ac:dyDescent="0.25">
      <c r="P870" s="22" t="str">
        <f>IF('Data-Plot'!C870="","",$Q$11+('Data-Plot'!C870-'Data-Plot'!D870)*$P$9)</f>
        <v/>
      </c>
      <c r="Q870" s="22" t="str">
        <f>IF('Data-Plot'!C870="","",MAX('Data-Plot'!$C$11:$C$1010)*(1+$Q$9/100))</f>
        <v/>
      </c>
      <c r="R870" s="22" t="str">
        <f>IF('Data-Plot'!C870="","",('Data-Plot'!C870-'Data-Plot'!D870)*$P$9)</f>
        <v/>
      </c>
    </row>
    <row r="871" spans="16:18" x14ac:dyDescent="0.25">
      <c r="P871" s="22" t="str">
        <f>IF('Data-Plot'!C871="","",$Q$11+('Data-Plot'!C871-'Data-Plot'!D871)*$P$9)</f>
        <v/>
      </c>
      <c r="Q871" s="22" t="str">
        <f>IF('Data-Plot'!C871="","",MAX('Data-Plot'!$C$11:$C$1010)*(1+$Q$9/100))</f>
        <v/>
      </c>
      <c r="R871" s="22" t="str">
        <f>IF('Data-Plot'!C871="","",('Data-Plot'!C871-'Data-Plot'!D871)*$P$9)</f>
        <v/>
      </c>
    </row>
    <row r="872" spans="16:18" x14ac:dyDescent="0.25">
      <c r="P872" s="22" t="str">
        <f>IF('Data-Plot'!C872="","",$Q$11+('Data-Plot'!C872-'Data-Plot'!D872)*$P$9)</f>
        <v/>
      </c>
      <c r="Q872" s="22" t="str">
        <f>IF('Data-Plot'!C872="","",MAX('Data-Plot'!$C$11:$C$1010)*(1+$Q$9/100))</f>
        <v/>
      </c>
      <c r="R872" s="22" t="str">
        <f>IF('Data-Plot'!C872="","",('Data-Plot'!C872-'Data-Plot'!D872)*$P$9)</f>
        <v/>
      </c>
    </row>
    <row r="873" spans="16:18" x14ac:dyDescent="0.25">
      <c r="P873" s="22" t="str">
        <f>IF('Data-Plot'!C873="","",$Q$11+('Data-Plot'!C873-'Data-Plot'!D873)*$P$9)</f>
        <v/>
      </c>
      <c r="Q873" s="22" t="str">
        <f>IF('Data-Plot'!C873="","",MAX('Data-Plot'!$C$11:$C$1010)*(1+$Q$9/100))</f>
        <v/>
      </c>
      <c r="R873" s="22" t="str">
        <f>IF('Data-Plot'!C873="","",('Data-Plot'!C873-'Data-Plot'!D873)*$P$9)</f>
        <v/>
      </c>
    </row>
    <row r="874" spans="16:18" x14ac:dyDescent="0.25">
      <c r="P874" s="22" t="str">
        <f>IF('Data-Plot'!C874="","",$Q$11+('Data-Plot'!C874-'Data-Plot'!D874)*$P$9)</f>
        <v/>
      </c>
      <c r="Q874" s="22" t="str">
        <f>IF('Data-Plot'!C874="","",MAX('Data-Plot'!$C$11:$C$1010)*(1+$Q$9/100))</f>
        <v/>
      </c>
      <c r="R874" s="22" t="str">
        <f>IF('Data-Plot'!C874="","",('Data-Plot'!C874-'Data-Plot'!D874)*$P$9)</f>
        <v/>
      </c>
    </row>
    <row r="875" spans="16:18" x14ac:dyDescent="0.25">
      <c r="P875" s="22" t="str">
        <f>IF('Data-Plot'!C875="","",$Q$11+('Data-Plot'!C875-'Data-Plot'!D875)*$P$9)</f>
        <v/>
      </c>
      <c r="Q875" s="22" t="str">
        <f>IF('Data-Plot'!C875="","",MAX('Data-Plot'!$C$11:$C$1010)*(1+$Q$9/100))</f>
        <v/>
      </c>
      <c r="R875" s="22" t="str">
        <f>IF('Data-Plot'!C875="","",('Data-Plot'!C875-'Data-Plot'!D875)*$P$9)</f>
        <v/>
      </c>
    </row>
    <row r="876" spans="16:18" x14ac:dyDescent="0.25">
      <c r="P876" s="22" t="str">
        <f>IF('Data-Plot'!C876="","",$Q$11+('Data-Plot'!C876-'Data-Plot'!D876)*$P$9)</f>
        <v/>
      </c>
      <c r="Q876" s="22" t="str">
        <f>IF('Data-Plot'!C876="","",MAX('Data-Plot'!$C$11:$C$1010)*(1+$Q$9/100))</f>
        <v/>
      </c>
      <c r="R876" s="22" t="str">
        <f>IF('Data-Plot'!C876="","",('Data-Plot'!C876-'Data-Plot'!D876)*$P$9)</f>
        <v/>
      </c>
    </row>
    <row r="877" spans="16:18" x14ac:dyDescent="0.25">
      <c r="P877" s="22" t="str">
        <f>IF('Data-Plot'!C877="","",$Q$11+('Data-Plot'!C877-'Data-Plot'!D877)*$P$9)</f>
        <v/>
      </c>
      <c r="Q877" s="22" t="str">
        <f>IF('Data-Plot'!C877="","",MAX('Data-Plot'!$C$11:$C$1010)*(1+$Q$9/100))</f>
        <v/>
      </c>
      <c r="R877" s="22" t="str">
        <f>IF('Data-Plot'!C877="","",('Data-Plot'!C877-'Data-Plot'!D877)*$P$9)</f>
        <v/>
      </c>
    </row>
    <row r="878" spans="16:18" x14ac:dyDescent="0.25">
      <c r="P878" s="22" t="str">
        <f>IF('Data-Plot'!C878="","",$Q$11+('Data-Plot'!C878-'Data-Plot'!D878)*$P$9)</f>
        <v/>
      </c>
      <c r="Q878" s="22" t="str">
        <f>IF('Data-Plot'!C878="","",MAX('Data-Plot'!$C$11:$C$1010)*(1+$Q$9/100))</f>
        <v/>
      </c>
      <c r="R878" s="22" t="str">
        <f>IF('Data-Plot'!C878="","",('Data-Plot'!C878-'Data-Plot'!D878)*$P$9)</f>
        <v/>
      </c>
    </row>
    <row r="879" spans="16:18" x14ac:dyDescent="0.25">
      <c r="P879" s="22" t="str">
        <f>IF('Data-Plot'!C879="","",$Q$11+('Data-Plot'!C879-'Data-Plot'!D879)*$P$9)</f>
        <v/>
      </c>
      <c r="Q879" s="22" t="str">
        <f>IF('Data-Plot'!C879="","",MAX('Data-Plot'!$C$11:$C$1010)*(1+$Q$9/100))</f>
        <v/>
      </c>
      <c r="R879" s="22" t="str">
        <f>IF('Data-Plot'!C879="","",('Data-Plot'!C879-'Data-Plot'!D879)*$P$9)</f>
        <v/>
      </c>
    </row>
    <row r="880" spans="16:18" x14ac:dyDescent="0.25">
      <c r="P880" s="22" t="str">
        <f>IF('Data-Plot'!C880="","",$Q$11+('Data-Plot'!C880-'Data-Plot'!D880)*$P$9)</f>
        <v/>
      </c>
      <c r="Q880" s="22" t="str">
        <f>IF('Data-Plot'!C880="","",MAX('Data-Plot'!$C$11:$C$1010)*(1+$Q$9/100))</f>
        <v/>
      </c>
      <c r="R880" s="22" t="str">
        <f>IF('Data-Plot'!C880="","",('Data-Plot'!C880-'Data-Plot'!D880)*$P$9)</f>
        <v/>
      </c>
    </row>
    <row r="881" spans="16:18" x14ac:dyDescent="0.25">
      <c r="P881" s="22" t="str">
        <f>IF('Data-Plot'!C881="","",$Q$11+('Data-Plot'!C881-'Data-Plot'!D881)*$P$9)</f>
        <v/>
      </c>
      <c r="Q881" s="22" t="str">
        <f>IF('Data-Plot'!C881="","",MAX('Data-Plot'!$C$11:$C$1010)*(1+$Q$9/100))</f>
        <v/>
      </c>
      <c r="R881" s="22" t="str">
        <f>IF('Data-Plot'!C881="","",('Data-Plot'!C881-'Data-Plot'!D881)*$P$9)</f>
        <v/>
      </c>
    </row>
    <row r="882" spans="16:18" x14ac:dyDescent="0.25">
      <c r="P882" s="22" t="str">
        <f>IF('Data-Plot'!C882="","",$Q$11+('Data-Plot'!C882-'Data-Plot'!D882)*$P$9)</f>
        <v/>
      </c>
      <c r="Q882" s="22" t="str">
        <f>IF('Data-Plot'!C882="","",MAX('Data-Plot'!$C$11:$C$1010)*(1+$Q$9/100))</f>
        <v/>
      </c>
      <c r="R882" s="22" t="str">
        <f>IF('Data-Plot'!C882="","",('Data-Plot'!C882-'Data-Plot'!D882)*$P$9)</f>
        <v/>
      </c>
    </row>
    <row r="883" spans="16:18" x14ac:dyDescent="0.25">
      <c r="P883" s="22" t="str">
        <f>IF('Data-Plot'!C883="","",$Q$11+('Data-Plot'!C883-'Data-Plot'!D883)*$P$9)</f>
        <v/>
      </c>
      <c r="Q883" s="22" t="str">
        <f>IF('Data-Plot'!C883="","",MAX('Data-Plot'!$C$11:$C$1010)*(1+$Q$9/100))</f>
        <v/>
      </c>
      <c r="R883" s="22" t="str">
        <f>IF('Data-Plot'!C883="","",('Data-Plot'!C883-'Data-Plot'!D883)*$P$9)</f>
        <v/>
      </c>
    </row>
    <row r="884" spans="16:18" x14ac:dyDescent="0.25">
      <c r="P884" s="22" t="str">
        <f>IF('Data-Plot'!C884="","",$Q$11+('Data-Plot'!C884-'Data-Plot'!D884)*$P$9)</f>
        <v/>
      </c>
      <c r="Q884" s="22" t="str">
        <f>IF('Data-Plot'!C884="","",MAX('Data-Plot'!$C$11:$C$1010)*(1+$Q$9/100))</f>
        <v/>
      </c>
      <c r="R884" s="22" t="str">
        <f>IF('Data-Plot'!C884="","",('Data-Plot'!C884-'Data-Plot'!D884)*$P$9)</f>
        <v/>
      </c>
    </row>
    <row r="885" spans="16:18" x14ac:dyDescent="0.25">
      <c r="P885" s="22" t="str">
        <f>IF('Data-Plot'!C885="","",$Q$11+('Data-Plot'!C885-'Data-Plot'!D885)*$P$9)</f>
        <v/>
      </c>
      <c r="Q885" s="22" t="str">
        <f>IF('Data-Plot'!C885="","",MAX('Data-Plot'!$C$11:$C$1010)*(1+$Q$9/100))</f>
        <v/>
      </c>
      <c r="R885" s="22" t="str">
        <f>IF('Data-Plot'!C885="","",('Data-Plot'!C885-'Data-Plot'!D885)*$P$9)</f>
        <v/>
      </c>
    </row>
    <row r="886" spans="16:18" x14ac:dyDescent="0.25">
      <c r="P886" s="22" t="str">
        <f>IF('Data-Plot'!C886="","",$Q$11+('Data-Plot'!C886-'Data-Plot'!D886)*$P$9)</f>
        <v/>
      </c>
      <c r="Q886" s="22" t="str">
        <f>IF('Data-Plot'!C886="","",MAX('Data-Plot'!$C$11:$C$1010)*(1+$Q$9/100))</f>
        <v/>
      </c>
      <c r="R886" s="22" t="str">
        <f>IF('Data-Plot'!C886="","",('Data-Plot'!C886-'Data-Plot'!D886)*$P$9)</f>
        <v/>
      </c>
    </row>
    <row r="887" spans="16:18" x14ac:dyDescent="0.25">
      <c r="P887" s="22" t="str">
        <f>IF('Data-Plot'!C887="","",$Q$11+('Data-Plot'!C887-'Data-Plot'!D887)*$P$9)</f>
        <v/>
      </c>
      <c r="Q887" s="22" t="str">
        <f>IF('Data-Plot'!C887="","",MAX('Data-Plot'!$C$11:$C$1010)*(1+$Q$9/100))</f>
        <v/>
      </c>
      <c r="R887" s="22" t="str">
        <f>IF('Data-Plot'!C887="","",('Data-Plot'!C887-'Data-Plot'!D887)*$P$9)</f>
        <v/>
      </c>
    </row>
    <row r="888" spans="16:18" x14ac:dyDescent="0.25">
      <c r="P888" s="22" t="str">
        <f>IF('Data-Plot'!C888="","",$Q$11+('Data-Plot'!C888-'Data-Plot'!D888)*$P$9)</f>
        <v/>
      </c>
      <c r="Q888" s="22" t="str">
        <f>IF('Data-Plot'!C888="","",MAX('Data-Plot'!$C$11:$C$1010)*(1+$Q$9/100))</f>
        <v/>
      </c>
      <c r="R888" s="22" t="str">
        <f>IF('Data-Plot'!C888="","",('Data-Plot'!C888-'Data-Plot'!D888)*$P$9)</f>
        <v/>
      </c>
    </row>
    <row r="889" spans="16:18" x14ac:dyDescent="0.25">
      <c r="P889" s="22" t="str">
        <f>IF('Data-Plot'!C889="","",$Q$11+('Data-Plot'!C889-'Data-Plot'!D889)*$P$9)</f>
        <v/>
      </c>
      <c r="Q889" s="22" t="str">
        <f>IF('Data-Plot'!C889="","",MAX('Data-Plot'!$C$11:$C$1010)*(1+$Q$9/100))</f>
        <v/>
      </c>
      <c r="R889" s="22" t="str">
        <f>IF('Data-Plot'!C889="","",('Data-Plot'!C889-'Data-Plot'!D889)*$P$9)</f>
        <v/>
      </c>
    </row>
    <row r="890" spans="16:18" x14ac:dyDescent="0.25">
      <c r="P890" s="22" t="str">
        <f>IF('Data-Plot'!C890="","",$Q$11+('Data-Plot'!C890-'Data-Plot'!D890)*$P$9)</f>
        <v/>
      </c>
      <c r="Q890" s="22" t="str">
        <f>IF('Data-Plot'!C890="","",MAX('Data-Plot'!$C$11:$C$1010)*(1+$Q$9/100))</f>
        <v/>
      </c>
      <c r="R890" s="22" t="str">
        <f>IF('Data-Plot'!C890="","",('Data-Plot'!C890-'Data-Plot'!D890)*$P$9)</f>
        <v/>
      </c>
    </row>
    <row r="891" spans="16:18" x14ac:dyDescent="0.25">
      <c r="P891" s="22" t="str">
        <f>IF('Data-Plot'!C891="","",$Q$11+('Data-Plot'!C891-'Data-Plot'!D891)*$P$9)</f>
        <v/>
      </c>
      <c r="Q891" s="22" t="str">
        <f>IF('Data-Plot'!C891="","",MAX('Data-Plot'!$C$11:$C$1010)*(1+$Q$9/100))</f>
        <v/>
      </c>
      <c r="R891" s="22" t="str">
        <f>IF('Data-Plot'!C891="","",('Data-Plot'!C891-'Data-Plot'!D891)*$P$9)</f>
        <v/>
      </c>
    </row>
    <row r="892" spans="16:18" x14ac:dyDescent="0.25">
      <c r="P892" s="22" t="str">
        <f>IF('Data-Plot'!C892="","",$Q$11+('Data-Plot'!C892-'Data-Plot'!D892)*$P$9)</f>
        <v/>
      </c>
      <c r="Q892" s="22" t="str">
        <f>IF('Data-Plot'!C892="","",MAX('Data-Plot'!$C$11:$C$1010)*(1+$Q$9/100))</f>
        <v/>
      </c>
      <c r="R892" s="22" t="str">
        <f>IF('Data-Plot'!C892="","",('Data-Plot'!C892-'Data-Plot'!D892)*$P$9)</f>
        <v/>
      </c>
    </row>
    <row r="893" spans="16:18" x14ac:dyDescent="0.25">
      <c r="P893" s="22" t="str">
        <f>IF('Data-Plot'!C893="","",$Q$11+('Data-Plot'!C893-'Data-Plot'!D893)*$P$9)</f>
        <v/>
      </c>
      <c r="Q893" s="22" t="str">
        <f>IF('Data-Plot'!C893="","",MAX('Data-Plot'!$C$11:$C$1010)*(1+$Q$9/100))</f>
        <v/>
      </c>
      <c r="R893" s="22" t="str">
        <f>IF('Data-Plot'!C893="","",('Data-Plot'!C893-'Data-Plot'!D893)*$P$9)</f>
        <v/>
      </c>
    </row>
    <row r="894" spans="16:18" x14ac:dyDescent="0.25">
      <c r="P894" s="22" t="str">
        <f>IF('Data-Plot'!C894="","",$Q$11+('Data-Plot'!C894-'Data-Plot'!D894)*$P$9)</f>
        <v/>
      </c>
      <c r="Q894" s="22" t="str">
        <f>IF('Data-Plot'!C894="","",MAX('Data-Plot'!$C$11:$C$1010)*(1+$Q$9/100))</f>
        <v/>
      </c>
      <c r="R894" s="22" t="str">
        <f>IF('Data-Plot'!C894="","",('Data-Plot'!C894-'Data-Plot'!D894)*$P$9)</f>
        <v/>
      </c>
    </row>
    <row r="895" spans="16:18" x14ac:dyDescent="0.25">
      <c r="P895" s="22" t="str">
        <f>IF('Data-Plot'!C895="","",$Q$11+('Data-Plot'!C895-'Data-Plot'!D895)*$P$9)</f>
        <v/>
      </c>
      <c r="Q895" s="22" t="str">
        <f>IF('Data-Plot'!C895="","",MAX('Data-Plot'!$C$11:$C$1010)*(1+$Q$9/100))</f>
        <v/>
      </c>
      <c r="R895" s="22" t="str">
        <f>IF('Data-Plot'!C895="","",('Data-Plot'!C895-'Data-Plot'!D895)*$P$9)</f>
        <v/>
      </c>
    </row>
    <row r="896" spans="16:18" x14ac:dyDescent="0.25">
      <c r="P896" s="22" t="str">
        <f>IF('Data-Plot'!C896="","",$Q$11+('Data-Plot'!C896-'Data-Plot'!D896)*$P$9)</f>
        <v/>
      </c>
      <c r="Q896" s="22" t="str">
        <f>IF('Data-Plot'!C896="","",MAX('Data-Plot'!$C$11:$C$1010)*(1+$Q$9/100))</f>
        <v/>
      </c>
      <c r="R896" s="22" t="str">
        <f>IF('Data-Plot'!C896="","",('Data-Plot'!C896-'Data-Plot'!D896)*$P$9)</f>
        <v/>
      </c>
    </row>
    <row r="897" spans="16:18" x14ac:dyDescent="0.25">
      <c r="P897" s="22" t="str">
        <f>IF('Data-Plot'!C897="","",$Q$11+('Data-Plot'!C897-'Data-Plot'!D897)*$P$9)</f>
        <v/>
      </c>
      <c r="Q897" s="22" t="str">
        <f>IF('Data-Plot'!C897="","",MAX('Data-Plot'!$C$11:$C$1010)*(1+$Q$9/100))</f>
        <v/>
      </c>
      <c r="R897" s="22" t="str">
        <f>IF('Data-Plot'!C897="","",('Data-Plot'!C897-'Data-Plot'!D897)*$P$9)</f>
        <v/>
      </c>
    </row>
    <row r="898" spans="16:18" x14ac:dyDescent="0.25">
      <c r="P898" s="22" t="str">
        <f>IF('Data-Plot'!C898="","",$Q$11+('Data-Plot'!C898-'Data-Plot'!D898)*$P$9)</f>
        <v/>
      </c>
      <c r="Q898" s="22" t="str">
        <f>IF('Data-Plot'!C898="","",MAX('Data-Plot'!$C$11:$C$1010)*(1+$Q$9/100))</f>
        <v/>
      </c>
      <c r="R898" s="22" t="str">
        <f>IF('Data-Plot'!C898="","",('Data-Plot'!C898-'Data-Plot'!D898)*$P$9)</f>
        <v/>
      </c>
    </row>
    <row r="899" spans="16:18" x14ac:dyDescent="0.25">
      <c r="P899" s="22" t="str">
        <f>IF('Data-Plot'!C899="","",$Q$11+('Data-Plot'!C899-'Data-Plot'!D899)*$P$9)</f>
        <v/>
      </c>
      <c r="Q899" s="22" t="str">
        <f>IF('Data-Plot'!C899="","",MAX('Data-Plot'!$C$11:$C$1010)*(1+$Q$9/100))</f>
        <v/>
      </c>
      <c r="R899" s="22" t="str">
        <f>IF('Data-Plot'!C899="","",('Data-Plot'!C899-'Data-Plot'!D899)*$P$9)</f>
        <v/>
      </c>
    </row>
    <row r="900" spans="16:18" x14ac:dyDescent="0.25">
      <c r="P900" s="22" t="str">
        <f>IF('Data-Plot'!C900="","",$Q$11+('Data-Plot'!C900-'Data-Plot'!D900)*$P$9)</f>
        <v/>
      </c>
      <c r="Q900" s="22" t="str">
        <f>IF('Data-Plot'!C900="","",MAX('Data-Plot'!$C$11:$C$1010)*(1+$Q$9/100))</f>
        <v/>
      </c>
      <c r="R900" s="22" t="str">
        <f>IF('Data-Plot'!C900="","",('Data-Plot'!C900-'Data-Plot'!D900)*$P$9)</f>
        <v/>
      </c>
    </row>
    <row r="901" spans="16:18" x14ac:dyDescent="0.25">
      <c r="P901" s="22" t="str">
        <f>IF('Data-Plot'!C901="","",$Q$11+('Data-Plot'!C901-'Data-Plot'!D901)*$P$9)</f>
        <v/>
      </c>
      <c r="Q901" s="22" t="str">
        <f>IF('Data-Plot'!C901="","",MAX('Data-Plot'!$C$11:$C$1010)*(1+$Q$9/100))</f>
        <v/>
      </c>
      <c r="R901" s="22" t="str">
        <f>IF('Data-Plot'!C901="","",('Data-Plot'!C901-'Data-Plot'!D901)*$P$9)</f>
        <v/>
      </c>
    </row>
    <row r="902" spans="16:18" x14ac:dyDescent="0.25">
      <c r="P902" s="22" t="str">
        <f>IF('Data-Plot'!C902="","",$Q$11+('Data-Plot'!C902-'Data-Plot'!D902)*$P$9)</f>
        <v/>
      </c>
      <c r="Q902" s="22" t="str">
        <f>IF('Data-Plot'!C902="","",MAX('Data-Plot'!$C$11:$C$1010)*(1+$Q$9/100))</f>
        <v/>
      </c>
      <c r="R902" s="22" t="str">
        <f>IF('Data-Plot'!C902="","",('Data-Plot'!C902-'Data-Plot'!D902)*$P$9)</f>
        <v/>
      </c>
    </row>
    <row r="903" spans="16:18" x14ac:dyDescent="0.25">
      <c r="P903" s="22" t="str">
        <f>IF('Data-Plot'!C903="","",$Q$11+('Data-Plot'!C903-'Data-Plot'!D903)*$P$9)</f>
        <v/>
      </c>
      <c r="Q903" s="22" t="str">
        <f>IF('Data-Plot'!C903="","",MAX('Data-Plot'!$C$11:$C$1010)*(1+$Q$9/100))</f>
        <v/>
      </c>
      <c r="R903" s="22" t="str">
        <f>IF('Data-Plot'!C903="","",('Data-Plot'!C903-'Data-Plot'!D903)*$P$9)</f>
        <v/>
      </c>
    </row>
    <row r="904" spans="16:18" x14ac:dyDescent="0.25">
      <c r="P904" s="22" t="str">
        <f>IF('Data-Plot'!C904="","",$Q$11+('Data-Plot'!C904-'Data-Plot'!D904)*$P$9)</f>
        <v/>
      </c>
      <c r="Q904" s="22" t="str">
        <f>IF('Data-Plot'!C904="","",MAX('Data-Plot'!$C$11:$C$1010)*(1+$Q$9/100))</f>
        <v/>
      </c>
      <c r="R904" s="22" t="str">
        <f>IF('Data-Plot'!C904="","",('Data-Plot'!C904-'Data-Plot'!D904)*$P$9)</f>
        <v/>
      </c>
    </row>
    <row r="905" spans="16:18" x14ac:dyDescent="0.25">
      <c r="P905" s="22" t="str">
        <f>IF('Data-Plot'!C905="","",$Q$11+('Data-Plot'!C905-'Data-Plot'!D905)*$P$9)</f>
        <v/>
      </c>
      <c r="Q905" s="22" t="str">
        <f>IF('Data-Plot'!C905="","",MAX('Data-Plot'!$C$11:$C$1010)*(1+$Q$9/100))</f>
        <v/>
      </c>
      <c r="R905" s="22" t="str">
        <f>IF('Data-Plot'!C905="","",('Data-Plot'!C905-'Data-Plot'!D905)*$P$9)</f>
        <v/>
      </c>
    </row>
    <row r="906" spans="16:18" x14ac:dyDescent="0.25">
      <c r="P906" s="22" t="str">
        <f>IF('Data-Plot'!C906="","",$Q$11+('Data-Plot'!C906-'Data-Plot'!D906)*$P$9)</f>
        <v/>
      </c>
      <c r="Q906" s="22" t="str">
        <f>IF('Data-Plot'!C906="","",MAX('Data-Plot'!$C$11:$C$1010)*(1+$Q$9/100))</f>
        <v/>
      </c>
      <c r="R906" s="22" t="str">
        <f>IF('Data-Plot'!C906="","",('Data-Plot'!C906-'Data-Plot'!D906)*$P$9)</f>
        <v/>
      </c>
    </row>
    <row r="907" spans="16:18" x14ac:dyDescent="0.25">
      <c r="P907" s="22" t="str">
        <f>IF('Data-Plot'!C907="","",$Q$11+('Data-Plot'!C907-'Data-Plot'!D907)*$P$9)</f>
        <v/>
      </c>
      <c r="Q907" s="22" t="str">
        <f>IF('Data-Plot'!C907="","",MAX('Data-Plot'!$C$11:$C$1010)*(1+$Q$9/100))</f>
        <v/>
      </c>
      <c r="R907" s="22" t="str">
        <f>IF('Data-Plot'!C907="","",('Data-Plot'!C907-'Data-Plot'!D907)*$P$9)</f>
        <v/>
      </c>
    </row>
    <row r="908" spans="16:18" x14ac:dyDescent="0.25">
      <c r="P908" s="22" t="str">
        <f>IF('Data-Plot'!C908="","",$Q$11+('Data-Plot'!C908-'Data-Plot'!D908)*$P$9)</f>
        <v/>
      </c>
      <c r="Q908" s="22" t="str">
        <f>IF('Data-Plot'!C908="","",MAX('Data-Plot'!$C$11:$C$1010)*(1+$Q$9/100))</f>
        <v/>
      </c>
      <c r="R908" s="22" t="str">
        <f>IF('Data-Plot'!C908="","",('Data-Plot'!C908-'Data-Plot'!D908)*$P$9)</f>
        <v/>
      </c>
    </row>
    <row r="909" spans="16:18" x14ac:dyDescent="0.25">
      <c r="P909" s="22" t="str">
        <f>IF('Data-Plot'!C909="","",$Q$11+('Data-Plot'!C909-'Data-Plot'!D909)*$P$9)</f>
        <v/>
      </c>
      <c r="Q909" s="22" t="str">
        <f>IF('Data-Plot'!C909="","",MAX('Data-Plot'!$C$11:$C$1010)*(1+$Q$9/100))</f>
        <v/>
      </c>
      <c r="R909" s="22" t="str">
        <f>IF('Data-Plot'!C909="","",('Data-Plot'!C909-'Data-Plot'!D909)*$P$9)</f>
        <v/>
      </c>
    </row>
    <row r="910" spans="16:18" x14ac:dyDescent="0.25">
      <c r="P910" s="22" t="str">
        <f>IF('Data-Plot'!C910="","",$Q$11+('Data-Plot'!C910-'Data-Plot'!D910)*$P$9)</f>
        <v/>
      </c>
      <c r="Q910" s="22" t="str">
        <f>IF('Data-Plot'!C910="","",MAX('Data-Plot'!$C$11:$C$1010)*(1+$Q$9/100))</f>
        <v/>
      </c>
      <c r="R910" s="22" t="str">
        <f>IF('Data-Plot'!C910="","",('Data-Plot'!C910-'Data-Plot'!D910)*$P$9)</f>
        <v/>
      </c>
    </row>
    <row r="911" spans="16:18" x14ac:dyDescent="0.25">
      <c r="P911" s="22" t="str">
        <f>IF('Data-Plot'!C911="","",$Q$11+('Data-Plot'!C911-'Data-Plot'!D911)*$P$9)</f>
        <v/>
      </c>
      <c r="Q911" s="22" t="str">
        <f>IF('Data-Plot'!C911="","",MAX('Data-Plot'!$C$11:$C$1010)*(1+$Q$9/100))</f>
        <v/>
      </c>
      <c r="R911" s="22" t="str">
        <f>IF('Data-Plot'!C911="","",('Data-Plot'!C911-'Data-Plot'!D911)*$P$9)</f>
        <v/>
      </c>
    </row>
    <row r="912" spans="16:18" x14ac:dyDescent="0.25">
      <c r="P912" s="22" t="str">
        <f>IF('Data-Plot'!C912="","",$Q$11+('Data-Plot'!C912-'Data-Plot'!D912)*$P$9)</f>
        <v/>
      </c>
      <c r="Q912" s="22" t="str">
        <f>IF('Data-Plot'!C912="","",MAX('Data-Plot'!$C$11:$C$1010)*(1+$Q$9/100))</f>
        <v/>
      </c>
      <c r="R912" s="22" t="str">
        <f>IF('Data-Plot'!C912="","",('Data-Plot'!C912-'Data-Plot'!D912)*$P$9)</f>
        <v/>
      </c>
    </row>
    <row r="913" spans="16:18" x14ac:dyDescent="0.25">
      <c r="P913" s="22" t="str">
        <f>IF('Data-Plot'!C913="","",$Q$11+('Data-Plot'!C913-'Data-Plot'!D913)*$P$9)</f>
        <v/>
      </c>
      <c r="Q913" s="22" t="str">
        <f>IF('Data-Plot'!C913="","",MAX('Data-Plot'!$C$11:$C$1010)*(1+$Q$9/100))</f>
        <v/>
      </c>
      <c r="R913" s="22" t="str">
        <f>IF('Data-Plot'!C913="","",('Data-Plot'!C913-'Data-Plot'!D913)*$P$9)</f>
        <v/>
      </c>
    </row>
    <row r="914" spans="16:18" x14ac:dyDescent="0.25">
      <c r="P914" s="22" t="str">
        <f>IF('Data-Plot'!C914="","",$Q$11+('Data-Plot'!C914-'Data-Plot'!D914)*$P$9)</f>
        <v/>
      </c>
      <c r="Q914" s="22" t="str">
        <f>IF('Data-Plot'!C914="","",MAX('Data-Plot'!$C$11:$C$1010)*(1+$Q$9/100))</f>
        <v/>
      </c>
      <c r="R914" s="22" t="str">
        <f>IF('Data-Plot'!C914="","",('Data-Plot'!C914-'Data-Plot'!D914)*$P$9)</f>
        <v/>
      </c>
    </row>
    <row r="915" spans="16:18" x14ac:dyDescent="0.25">
      <c r="P915" s="22" t="str">
        <f>IF('Data-Plot'!C915="","",$Q$11+('Data-Plot'!C915-'Data-Plot'!D915)*$P$9)</f>
        <v/>
      </c>
      <c r="Q915" s="22" t="str">
        <f>IF('Data-Plot'!C915="","",MAX('Data-Plot'!$C$11:$C$1010)*(1+$Q$9/100))</f>
        <v/>
      </c>
      <c r="R915" s="22" t="str">
        <f>IF('Data-Plot'!C915="","",('Data-Plot'!C915-'Data-Plot'!D915)*$P$9)</f>
        <v/>
      </c>
    </row>
    <row r="916" spans="16:18" x14ac:dyDescent="0.25">
      <c r="P916" s="22" t="str">
        <f>IF('Data-Plot'!C916="","",$Q$11+('Data-Plot'!C916-'Data-Plot'!D916)*$P$9)</f>
        <v/>
      </c>
      <c r="Q916" s="22" t="str">
        <f>IF('Data-Plot'!C916="","",MAX('Data-Plot'!$C$11:$C$1010)*(1+$Q$9/100))</f>
        <v/>
      </c>
      <c r="R916" s="22" t="str">
        <f>IF('Data-Plot'!C916="","",('Data-Plot'!C916-'Data-Plot'!D916)*$P$9)</f>
        <v/>
      </c>
    </row>
    <row r="917" spans="16:18" x14ac:dyDescent="0.25">
      <c r="P917" s="22" t="str">
        <f>IF('Data-Plot'!C917="","",$Q$11+('Data-Plot'!C917-'Data-Plot'!D917)*$P$9)</f>
        <v/>
      </c>
      <c r="Q917" s="22" t="str">
        <f>IF('Data-Plot'!C917="","",MAX('Data-Plot'!$C$11:$C$1010)*(1+$Q$9/100))</f>
        <v/>
      </c>
      <c r="R917" s="22" t="str">
        <f>IF('Data-Plot'!C917="","",('Data-Plot'!C917-'Data-Plot'!D917)*$P$9)</f>
        <v/>
      </c>
    </row>
    <row r="918" spans="16:18" x14ac:dyDescent="0.25">
      <c r="P918" s="22" t="str">
        <f>IF('Data-Plot'!C918="","",$Q$11+('Data-Plot'!C918-'Data-Plot'!D918)*$P$9)</f>
        <v/>
      </c>
      <c r="Q918" s="22" t="str">
        <f>IF('Data-Plot'!C918="","",MAX('Data-Plot'!$C$11:$C$1010)*(1+$Q$9/100))</f>
        <v/>
      </c>
      <c r="R918" s="22" t="str">
        <f>IF('Data-Plot'!C918="","",('Data-Plot'!C918-'Data-Plot'!D918)*$P$9)</f>
        <v/>
      </c>
    </row>
    <row r="919" spans="16:18" x14ac:dyDescent="0.25">
      <c r="P919" s="22" t="str">
        <f>IF('Data-Plot'!C919="","",$Q$11+('Data-Plot'!C919-'Data-Plot'!D919)*$P$9)</f>
        <v/>
      </c>
      <c r="Q919" s="22" t="str">
        <f>IF('Data-Plot'!C919="","",MAX('Data-Plot'!$C$11:$C$1010)*(1+$Q$9/100))</f>
        <v/>
      </c>
      <c r="R919" s="22" t="str">
        <f>IF('Data-Plot'!C919="","",('Data-Plot'!C919-'Data-Plot'!D919)*$P$9)</f>
        <v/>
      </c>
    </row>
    <row r="920" spans="16:18" x14ac:dyDescent="0.25">
      <c r="P920" s="22" t="str">
        <f>IF('Data-Plot'!C920="","",$Q$11+('Data-Plot'!C920-'Data-Plot'!D920)*$P$9)</f>
        <v/>
      </c>
      <c r="Q920" s="22" t="str">
        <f>IF('Data-Plot'!C920="","",MAX('Data-Plot'!$C$11:$C$1010)*(1+$Q$9/100))</f>
        <v/>
      </c>
      <c r="R920" s="22" t="str">
        <f>IF('Data-Plot'!C920="","",('Data-Plot'!C920-'Data-Plot'!D920)*$P$9)</f>
        <v/>
      </c>
    </row>
    <row r="921" spans="16:18" x14ac:dyDescent="0.25">
      <c r="P921" s="22" t="str">
        <f>IF('Data-Plot'!C921="","",$Q$11+('Data-Plot'!C921-'Data-Plot'!D921)*$P$9)</f>
        <v/>
      </c>
      <c r="Q921" s="22" t="str">
        <f>IF('Data-Plot'!C921="","",MAX('Data-Plot'!$C$11:$C$1010)*(1+$Q$9/100))</f>
        <v/>
      </c>
      <c r="R921" s="22" t="str">
        <f>IF('Data-Plot'!C921="","",('Data-Plot'!C921-'Data-Plot'!D921)*$P$9)</f>
        <v/>
      </c>
    </row>
    <row r="922" spans="16:18" x14ac:dyDescent="0.25">
      <c r="P922" s="22" t="str">
        <f>IF('Data-Plot'!C922="","",$Q$11+('Data-Plot'!C922-'Data-Plot'!D922)*$P$9)</f>
        <v/>
      </c>
      <c r="Q922" s="22" t="str">
        <f>IF('Data-Plot'!C922="","",MAX('Data-Plot'!$C$11:$C$1010)*(1+$Q$9/100))</f>
        <v/>
      </c>
      <c r="R922" s="22" t="str">
        <f>IF('Data-Plot'!C922="","",('Data-Plot'!C922-'Data-Plot'!D922)*$P$9)</f>
        <v/>
      </c>
    </row>
    <row r="923" spans="16:18" x14ac:dyDescent="0.25">
      <c r="P923" s="22" t="str">
        <f>IF('Data-Plot'!C923="","",$Q$11+('Data-Plot'!C923-'Data-Plot'!D923)*$P$9)</f>
        <v/>
      </c>
      <c r="Q923" s="22" t="str">
        <f>IF('Data-Plot'!C923="","",MAX('Data-Plot'!$C$11:$C$1010)*(1+$Q$9/100))</f>
        <v/>
      </c>
      <c r="R923" s="22" t="str">
        <f>IF('Data-Plot'!C923="","",('Data-Plot'!C923-'Data-Plot'!D923)*$P$9)</f>
        <v/>
      </c>
    </row>
    <row r="924" spans="16:18" x14ac:dyDescent="0.25">
      <c r="P924" s="22" t="str">
        <f>IF('Data-Plot'!C924="","",$Q$11+('Data-Plot'!C924-'Data-Plot'!D924)*$P$9)</f>
        <v/>
      </c>
      <c r="Q924" s="22" t="str">
        <f>IF('Data-Plot'!C924="","",MAX('Data-Plot'!$C$11:$C$1010)*(1+$Q$9/100))</f>
        <v/>
      </c>
      <c r="R924" s="22" t="str">
        <f>IF('Data-Plot'!C924="","",('Data-Plot'!C924-'Data-Plot'!D924)*$P$9)</f>
        <v/>
      </c>
    </row>
    <row r="925" spans="16:18" x14ac:dyDescent="0.25">
      <c r="P925" s="22" t="str">
        <f>IF('Data-Plot'!C925="","",$Q$11+('Data-Plot'!C925-'Data-Plot'!D925)*$P$9)</f>
        <v/>
      </c>
      <c r="Q925" s="22" t="str">
        <f>IF('Data-Plot'!C925="","",MAX('Data-Plot'!$C$11:$C$1010)*(1+$Q$9/100))</f>
        <v/>
      </c>
      <c r="R925" s="22" t="str">
        <f>IF('Data-Plot'!C925="","",('Data-Plot'!C925-'Data-Plot'!D925)*$P$9)</f>
        <v/>
      </c>
    </row>
    <row r="926" spans="16:18" x14ac:dyDescent="0.25">
      <c r="P926" s="22" t="str">
        <f>IF('Data-Plot'!C926="","",$Q$11+('Data-Plot'!C926-'Data-Plot'!D926)*$P$9)</f>
        <v/>
      </c>
      <c r="Q926" s="22" t="str">
        <f>IF('Data-Plot'!C926="","",MAX('Data-Plot'!$C$11:$C$1010)*(1+$Q$9/100))</f>
        <v/>
      </c>
      <c r="R926" s="22" t="str">
        <f>IF('Data-Plot'!C926="","",('Data-Plot'!C926-'Data-Plot'!D926)*$P$9)</f>
        <v/>
      </c>
    </row>
    <row r="927" spans="16:18" x14ac:dyDescent="0.25">
      <c r="P927" s="22" t="str">
        <f>IF('Data-Plot'!C927="","",$Q$11+('Data-Plot'!C927-'Data-Plot'!D927)*$P$9)</f>
        <v/>
      </c>
      <c r="Q927" s="22" t="str">
        <f>IF('Data-Plot'!C927="","",MAX('Data-Plot'!$C$11:$C$1010)*(1+$Q$9/100))</f>
        <v/>
      </c>
      <c r="R927" s="22" t="str">
        <f>IF('Data-Plot'!C927="","",('Data-Plot'!C927-'Data-Plot'!D927)*$P$9)</f>
        <v/>
      </c>
    </row>
    <row r="928" spans="16:18" x14ac:dyDescent="0.25">
      <c r="P928" s="22" t="str">
        <f>IF('Data-Plot'!C928="","",$Q$11+('Data-Plot'!C928-'Data-Plot'!D928)*$P$9)</f>
        <v/>
      </c>
      <c r="Q928" s="22" t="str">
        <f>IF('Data-Plot'!C928="","",MAX('Data-Plot'!$C$11:$C$1010)*(1+$Q$9/100))</f>
        <v/>
      </c>
      <c r="R928" s="22" t="str">
        <f>IF('Data-Plot'!C928="","",('Data-Plot'!C928-'Data-Plot'!D928)*$P$9)</f>
        <v/>
      </c>
    </row>
    <row r="929" spans="16:18" x14ac:dyDescent="0.25">
      <c r="P929" s="22" t="str">
        <f>IF('Data-Plot'!C929="","",$Q$11+('Data-Plot'!C929-'Data-Plot'!D929)*$P$9)</f>
        <v/>
      </c>
      <c r="Q929" s="22" t="str">
        <f>IF('Data-Plot'!C929="","",MAX('Data-Plot'!$C$11:$C$1010)*(1+$Q$9/100))</f>
        <v/>
      </c>
      <c r="R929" s="22" t="str">
        <f>IF('Data-Plot'!C929="","",('Data-Plot'!C929-'Data-Plot'!D929)*$P$9)</f>
        <v/>
      </c>
    </row>
    <row r="930" spans="16:18" x14ac:dyDescent="0.25">
      <c r="P930" s="22" t="str">
        <f>IF('Data-Plot'!C930="","",$Q$11+('Data-Plot'!C930-'Data-Plot'!D930)*$P$9)</f>
        <v/>
      </c>
      <c r="Q930" s="22" t="str">
        <f>IF('Data-Plot'!C930="","",MAX('Data-Plot'!$C$11:$C$1010)*(1+$Q$9/100))</f>
        <v/>
      </c>
      <c r="R930" s="22" t="str">
        <f>IF('Data-Plot'!C930="","",('Data-Plot'!C930-'Data-Plot'!D930)*$P$9)</f>
        <v/>
      </c>
    </row>
    <row r="931" spans="16:18" x14ac:dyDescent="0.25">
      <c r="P931" s="22" t="str">
        <f>IF('Data-Plot'!C931="","",$Q$11+('Data-Plot'!C931-'Data-Plot'!D931)*$P$9)</f>
        <v/>
      </c>
      <c r="Q931" s="22" t="str">
        <f>IF('Data-Plot'!C931="","",MAX('Data-Plot'!$C$11:$C$1010)*(1+$Q$9/100))</f>
        <v/>
      </c>
      <c r="R931" s="22" t="str">
        <f>IF('Data-Plot'!C931="","",('Data-Plot'!C931-'Data-Plot'!D931)*$P$9)</f>
        <v/>
      </c>
    </row>
    <row r="932" spans="16:18" x14ac:dyDescent="0.25">
      <c r="P932" s="22" t="str">
        <f>IF('Data-Plot'!C932="","",$Q$11+('Data-Plot'!C932-'Data-Plot'!D932)*$P$9)</f>
        <v/>
      </c>
      <c r="Q932" s="22" t="str">
        <f>IF('Data-Plot'!C932="","",MAX('Data-Plot'!$C$11:$C$1010)*(1+$Q$9/100))</f>
        <v/>
      </c>
      <c r="R932" s="22" t="str">
        <f>IF('Data-Plot'!C932="","",('Data-Plot'!C932-'Data-Plot'!D932)*$P$9)</f>
        <v/>
      </c>
    </row>
    <row r="933" spans="16:18" x14ac:dyDescent="0.25">
      <c r="P933" s="22" t="str">
        <f>IF('Data-Plot'!C933="","",$Q$11+('Data-Plot'!C933-'Data-Plot'!D933)*$P$9)</f>
        <v/>
      </c>
      <c r="Q933" s="22" t="str">
        <f>IF('Data-Plot'!C933="","",MAX('Data-Plot'!$C$11:$C$1010)*(1+$Q$9/100))</f>
        <v/>
      </c>
      <c r="R933" s="22" t="str">
        <f>IF('Data-Plot'!C933="","",('Data-Plot'!C933-'Data-Plot'!D933)*$P$9)</f>
        <v/>
      </c>
    </row>
    <row r="934" spans="16:18" x14ac:dyDescent="0.25">
      <c r="P934" s="22" t="str">
        <f>IF('Data-Plot'!C934="","",$Q$11+('Data-Plot'!C934-'Data-Plot'!D934)*$P$9)</f>
        <v/>
      </c>
      <c r="Q934" s="22" t="str">
        <f>IF('Data-Plot'!C934="","",MAX('Data-Plot'!$C$11:$C$1010)*(1+$Q$9/100))</f>
        <v/>
      </c>
      <c r="R934" s="22" t="str">
        <f>IF('Data-Plot'!C934="","",('Data-Plot'!C934-'Data-Plot'!D934)*$P$9)</f>
        <v/>
      </c>
    </row>
    <row r="935" spans="16:18" x14ac:dyDescent="0.25">
      <c r="P935" s="22" t="str">
        <f>IF('Data-Plot'!C935="","",$Q$11+('Data-Plot'!C935-'Data-Plot'!D935)*$P$9)</f>
        <v/>
      </c>
      <c r="Q935" s="22" t="str">
        <f>IF('Data-Plot'!C935="","",MAX('Data-Plot'!$C$11:$C$1010)*(1+$Q$9/100))</f>
        <v/>
      </c>
      <c r="R935" s="22" t="str">
        <f>IF('Data-Plot'!C935="","",('Data-Plot'!C935-'Data-Plot'!D935)*$P$9)</f>
        <v/>
      </c>
    </row>
    <row r="936" spans="16:18" x14ac:dyDescent="0.25">
      <c r="P936" s="22" t="str">
        <f>IF('Data-Plot'!C936="","",$Q$11+('Data-Plot'!C936-'Data-Plot'!D936)*$P$9)</f>
        <v/>
      </c>
      <c r="Q936" s="22" t="str">
        <f>IF('Data-Plot'!C936="","",MAX('Data-Plot'!$C$11:$C$1010)*(1+$Q$9/100))</f>
        <v/>
      </c>
      <c r="R936" s="22" t="str">
        <f>IF('Data-Plot'!C936="","",('Data-Plot'!C936-'Data-Plot'!D936)*$P$9)</f>
        <v/>
      </c>
    </row>
    <row r="937" spans="16:18" x14ac:dyDescent="0.25">
      <c r="P937" s="22" t="str">
        <f>IF('Data-Plot'!C937="","",$Q$11+('Data-Plot'!C937-'Data-Plot'!D937)*$P$9)</f>
        <v/>
      </c>
      <c r="Q937" s="22" t="str">
        <f>IF('Data-Plot'!C937="","",MAX('Data-Plot'!$C$11:$C$1010)*(1+$Q$9/100))</f>
        <v/>
      </c>
      <c r="R937" s="22" t="str">
        <f>IF('Data-Plot'!C937="","",('Data-Plot'!C937-'Data-Plot'!D937)*$P$9)</f>
        <v/>
      </c>
    </row>
    <row r="938" spans="16:18" x14ac:dyDescent="0.25">
      <c r="P938" s="22" t="str">
        <f>IF('Data-Plot'!C938="","",$Q$11+('Data-Plot'!C938-'Data-Plot'!D938)*$P$9)</f>
        <v/>
      </c>
      <c r="Q938" s="22" t="str">
        <f>IF('Data-Plot'!C938="","",MAX('Data-Plot'!$C$11:$C$1010)*(1+$Q$9/100))</f>
        <v/>
      </c>
      <c r="R938" s="22" t="str">
        <f>IF('Data-Plot'!C938="","",('Data-Plot'!C938-'Data-Plot'!D938)*$P$9)</f>
        <v/>
      </c>
    </row>
    <row r="939" spans="16:18" x14ac:dyDescent="0.25">
      <c r="P939" s="22" t="str">
        <f>IF('Data-Plot'!C939="","",$Q$11+('Data-Plot'!C939-'Data-Plot'!D939)*$P$9)</f>
        <v/>
      </c>
      <c r="Q939" s="22" t="str">
        <f>IF('Data-Plot'!C939="","",MAX('Data-Plot'!$C$11:$C$1010)*(1+$Q$9/100))</f>
        <v/>
      </c>
      <c r="R939" s="22" t="str">
        <f>IF('Data-Plot'!C939="","",('Data-Plot'!C939-'Data-Plot'!D939)*$P$9)</f>
        <v/>
      </c>
    </row>
    <row r="940" spans="16:18" x14ac:dyDescent="0.25">
      <c r="P940" s="22" t="str">
        <f>IF('Data-Plot'!C940="","",$Q$11+('Data-Plot'!C940-'Data-Plot'!D940)*$P$9)</f>
        <v/>
      </c>
      <c r="Q940" s="22" t="str">
        <f>IF('Data-Plot'!C940="","",MAX('Data-Plot'!$C$11:$C$1010)*(1+$Q$9/100))</f>
        <v/>
      </c>
      <c r="R940" s="22" t="str">
        <f>IF('Data-Plot'!C940="","",('Data-Plot'!C940-'Data-Plot'!D940)*$P$9)</f>
        <v/>
      </c>
    </row>
    <row r="941" spans="16:18" x14ac:dyDescent="0.25">
      <c r="P941" s="22" t="str">
        <f>IF('Data-Plot'!C941="","",$Q$11+('Data-Plot'!C941-'Data-Plot'!D941)*$P$9)</f>
        <v/>
      </c>
      <c r="Q941" s="22" t="str">
        <f>IF('Data-Plot'!C941="","",MAX('Data-Plot'!$C$11:$C$1010)*(1+$Q$9/100))</f>
        <v/>
      </c>
      <c r="R941" s="22" t="str">
        <f>IF('Data-Plot'!C941="","",('Data-Plot'!C941-'Data-Plot'!D941)*$P$9)</f>
        <v/>
      </c>
    </row>
    <row r="942" spans="16:18" x14ac:dyDescent="0.25">
      <c r="P942" s="22" t="str">
        <f>IF('Data-Plot'!C942="","",$Q$11+('Data-Plot'!C942-'Data-Plot'!D942)*$P$9)</f>
        <v/>
      </c>
      <c r="Q942" s="22" t="str">
        <f>IF('Data-Plot'!C942="","",MAX('Data-Plot'!$C$11:$C$1010)*(1+$Q$9/100))</f>
        <v/>
      </c>
      <c r="R942" s="22" t="str">
        <f>IF('Data-Plot'!C942="","",('Data-Plot'!C942-'Data-Plot'!D942)*$P$9)</f>
        <v/>
      </c>
    </row>
    <row r="943" spans="16:18" x14ac:dyDescent="0.25">
      <c r="P943" s="22" t="str">
        <f>IF('Data-Plot'!C943="","",$Q$11+('Data-Plot'!C943-'Data-Plot'!D943)*$P$9)</f>
        <v/>
      </c>
      <c r="Q943" s="22" t="str">
        <f>IF('Data-Plot'!C943="","",MAX('Data-Plot'!$C$11:$C$1010)*(1+$Q$9/100))</f>
        <v/>
      </c>
      <c r="R943" s="22" t="str">
        <f>IF('Data-Plot'!C943="","",('Data-Plot'!C943-'Data-Plot'!D943)*$P$9)</f>
        <v/>
      </c>
    </row>
    <row r="944" spans="16:18" x14ac:dyDescent="0.25">
      <c r="P944" s="22" t="str">
        <f>IF('Data-Plot'!C944="","",$Q$11+('Data-Plot'!C944-'Data-Plot'!D944)*$P$9)</f>
        <v/>
      </c>
      <c r="Q944" s="22" t="str">
        <f>IF('Data-Plot'!C944="","",MAX('Data-Plot'!$C$11:$C$1010)*(1+$Q$9/100))</f>
        <v/>
      </c>
      <c r="R944" s="22" t="str">
        <f>IF('Data-Plot'!C944="","",('Data-Plot'!C944-'Data-Plot'!D944)*$P$9)</f>
        <v/>
      </c>
    </row>
    <row r="945" spans="16:18" x14ac:dyDescent="0.25">
      <c r="P945" s="22" t="str">
        <f>IF('Data-Plot'!C945="","",$Q$11+('Data-Plot'!C945-'Data-Plot'!D945)*$P$9)</f>
        <v/>
      </c>
      <c r="Q945" s="22" t="str">
        <f>IF('Data-Plot'!C945="","",MAX('Data-Plot'!$C$11:$C$1010)*(1+$Q$9/100))</f>
        <v/>
      </c>
      <c r="R945" s="22" t="str">
        <f>IF('Data-Plot'!C945="","",('Data-Plot'!C945-'Data-Plot'!D945)*$P$9)</f>
        <v/>
      </c>
    </row>
    <row r="946" spans="16:18" x14ac:dyDescent="0.25">
      <c r="P946" s="22" t="str">
        <f>IF('Data-Plot'!C946="","",$Q$11+('Data-Plot'!C946-'Data-Plot'!D946)*$P$9)</f>
        <v/>
      </c>
      <c r="Q946" s="22" t="str">
        <f>IF('Data-Plot'!C946="","",MAX('Data-Plot'!$C$11:$C$1010)*(1+$Q$9/100))</f>
        <v/>
      </c>
      <c r="R946" s="22" t="str">
        <f>IF('Data-Plot'!C946="","",('Data-Plot'!C946-'Data-Plot'!D946)*$P$9)</f>
        <v/>
      </c>
    </row>
    <row r="947" spans="16:18" x14ac:dyDescent="0.25">
      <c r="P947" s="22" t="str">
        <f>IF('Data-Plot'!C947="","",$Q$11+('Data-Plot'!C947-'Data-Plot'!D947)*$P$9)</f>
        <v/>
      </c>
      <c r="Q947" s="22" t="str">
        <f>IF('Data-Plot'!C947="","",MAX('Data-Plot'!$C$11:$C$1010)*(1+$Q$9/100))</f>
        <v/>
      </c>
      <c r="R947" s="22" t="str">
        <f>IF('Data-Plot'!C947="","",('Data-Plot'!C947-'Data-Plot'!D947)*$P$9)</f>
        <v/>
      </c>
    </row>
    <row r="948" spans="16:18" x14ac:dyDescent="0.25">
      <c r="P948" s="22" t="str">
        <f>IF('Data-Plot'!C948="","",$Q$11+('Data-Plot'!C948-'Data-Plot'!D948)*$P$9)</f>
        <v/>
      </c>
      <c r="Q948" s="22" t="str">
        <f>IF('Data-Plot'!C948="","",MAX('Data-Plot'!$C$11:$C$1010)*(1+$Q$9/100))</f>
        <v/>
      </c>
      <c r="R948" s="22" t="str">
        <f>IF('Data-Plot'!C948="","",('Data-Plot'!C948-'Data-Plot'!D948)*$P$9)</f>
        <v/>
      </c>
    </row>
    <row r="949" spans="16:18" x14ac:dyDescent="0.25">
      <c r="P949" s="22" t="str">
        <f>IF('Data-Plot'!C949="","",$Q$11+('Data-Plot'!C949-'Data-Plot'!D949)*$P$9)</f>
        <v/>
      </c>
      <c r="Q949" s="22" t="str">
        <f>IF('Data-Plot'!C949="","",MAX('Data-Plot'!$C$11:$C$1010)*(1+$Q$9/100))</f>
        <v/>
      </c>
      <c r="R949" s="22" t="str">
        <f>IF('Data-Plot'!C949="","",('Data-Plot'!C949-'Data-Plot'!D949)*$P$9)</f>
        <v/>
      </c>
    </row>
    <row r="950" spans="16:18" x14ac:dyDescent="0.25">
      <c r="P950" s="22" t="str">
        <f>IF('Data-Plot'!C950="","",$Q$11+('Data-Plot'!C950-'Data-Plot'!D950)*$P$9)</f>
        <v/>
      </c>
      <c r="Q950" s="22" t="str">
        <f>IF('Data-Plot'!C950="","",MAX('Data-Plot'!$C$11:$C$1010)*(1+$Q$9/100))</f>
        <v/>
      </c>
      <c r="R950" s="22" t="str">
        <f>IF('Data-Plot'!C950="","",('Data-Plot'!C950-'Data-Plot'!D950)*$P$9)</f>
        <v/>
      </c>
    </row>
    <row r="951" spans="16:18" x14ac:dyDescent="0.25">
      <c r="P951" s="22" t="str">
        <f>IF('Data-Plot'!C951="","",$Q$11+('Data-Plot'!C951-'Data-Plot'!D951)*$P$9)</f>
        <v/>
      </c>
      <c r="Q951" s="22" t="str">
        <f>IF('Data-Plot'!C951="","",MAX('Data-Plot'!$C$11:$C$1010)*(1+$Q$9/100))</f>
        <v/>
      </c>
      <c r="R951" s="22" t="str">
        <f>IF('Data-Plot'!C951="","",('Data-Plot'!C951-'Data-Plot'!D951)*$P$9)</f>
        <v/>
      </c>
    </row>
    <row r="952" spans="16:18" x14ac:dyDescent="0.25">
      <c r="P952" s="22" t="str">
        <f>IF('Data-Plot'!C952="","",$Q$11+('Data-Plot'!C952-'Data-Plot'!D952)*$P$9)</f>
        <v/>
      </c>
      <c r="Q952" s="22" t="str">
        <f>IF('Data-Plot'!C952="","",MAX('Data-Plot'!$C$11:$C$1010)*(1+$Q$9/100))</f>
        <v/>
      </c>
      <c r="R952" s="22" t="str">
        <f>IF('Data-Plot'!C952="","",('Data-Plot'!C952-'Data-Plot'!D952)*$P$9)</f>
        <v/>
      </c>
    </row>
    <row r="953" spans="16:18" x14ac:dyDescent="0.25">
      <c r="P953" s="22" t="str">
        <f>IF('Data-Plot'!C953="","",$Q$11+('Data-Plot'!C953-'Data-Plot'!D953)*$P$9)</f>
        <v/>
      </c>
      <c r="Q953" s="22" t="str">
        <f>IF('Data-Plot'!C953="","",MAX('Data-Plot'!$C$11:$C$1010)*(1+$Q$9/100))</f>
        <v/>
      </c>
      <c r="R953" s="22" t="str">
        <f>IF('Data-Plot'!C953="","",('Data-Plot'!C953-'Data-Plot'!D953)*$P$9)</f>
        <v/>
      </c>
    </row>
    <row r="954" spans="16:18" x14ac:dyDescent="0.25">
      <c r="P954" s="22" t="str">
        <f>IF('Data-Plot'!C954="","",$Q$11+('Data-Plot'!C954-'Data-Plot'!D954)*$P$9)</f>
        <v/>
      </c>
      <c r="Q954" s="22" t="str">
        <f>IF('Data-Plot'!C954="","",MAX('Data-Plot'!$C$11:$C$1010)*(1+$Q$9/100))</f>
        <v/>
      </c>
      <c r="R954" s="22" t="str">
        <f>IF('Data-Plot'!C954="","",('Data-Plot'!C954-'Data-Plot'!D954)*$P$9)</f>
        <v/>
      </c>
    </row>
    <row r="955" spans="16:18" x14ac:dyDescent="0.25">
      <c r="P955" s="22" t="str">
        <f>IF('Data-Plot'!C955="","",$Q$11+('Data-Plot'!C955-'Data-Plot'!D955)*$P$9)</f>
        <v/>
      </c>
      <c r="Q955" s="22" t="str">
        <f>IF('Data-Plot'!C955="","",MAX('Data-Plot'!$C$11:$C$1010)*(1+$Q$9/100))</f>
        <v/>
      </c>
      <c r="R955" s="22" t="str">
        <f>IF('Data-Plot'!C955="","",('Data-Plot'!C955-'Data-Plot'!D955)*$P$9)</f>
        <v/>
      </c>
    </row>
    <row r="956" spans="16:18" x14ac:dyDescent="0.25">
      <c r="P956" s="22" t="str">
        <f>IF('Data-Plot'!C956="","",$Q$11+('Data-Plot'!C956-'Data-Plot'!D956)*$P$9)</f>
        <v/>
      </c>
      <c r="Q956" s="22" t="str">
        <f>IF('Data-Plot'!C956="","",MAX('Data-Plot'!$C$11:$C$1010)*(1+$Q$9/100))</f>
        <v/>
      </c>
      <c r="R956" s="22" t="str">
        <f>IF('Data-Plot'!C956="","",('Data-Plot'!C956-'Data-Plot'!D956)*$P$9)</f>
        <v/>
      </c>
    </row>
    <row r="957" spans="16:18" x14ac:dyDescent="0.25">
      <c r="P957" s="22" t="str">
        <f>IF('Data-Plot'!C957="","",$Q$11+('Data-Plot'!C957-'Data-Plot'!D957)*$P$9)</f>
        <v/>
      </c>
      <c r="Q957" s="22" t="str">
        <f>IF('Data-Plot'!C957="","",MAX('Data-Plot'!$C$11:$C$1010)*(1+$Q$9/100))</f>
        <v/>
      </c>
      <c r="R957" s="22" t="str">
        <f>IF('Data-Plot'!C957="","",('Data-Plot'!C957-'Data-Plot'!D957)*$P$9)</f>
        <v/>
      </c>
    </row>
    <row r="958" spans="16:18" x14ac:dyDescent="0.25">
      <c r="P958" s="22" t="str">
        <f>IF('Data-Plot'!C958="","",$Q$11+('Data-Plot'!C958-'Data-Plot'!D958)*$P$9)</f>
        <v/>
      </c>
      <c r="Q958" s="22" t="str">
        <f>IF('Data-Plot'!C958="","",MAX('Data-Plot'!$C$11:$C$1010)*(1+$Q$9/100))</f>
        <v/>
      </c>
      <c r="R958" s="22" t="str">
        <f>IF('Data-Plot'!C958="","",('Data-Plot'!C958-'Data-Plot'!D958)*$P$9)</f>
        <v/>
      </c>
    </row>
    <row r="959" spans="16:18" x14ac:dyDescent="0.25">
      <c r="P959" s="22" t="str">
        <f>IF('Data-Plot'!C959="","",$Q$11+('Data-Plot'!C959-'Data-Plot'!D959)*$P$9)</f>
        <v/>
      </c>
      <c r="Q959" s="22" t="str">
        <f>IF('Data-Plot'!C959="","",MAX('Data-Plot'!$C$11:$C$1010)*(1+$Q$9/100))</f>
        <v/>
      </c>
      <c r="R959" s="22" t="str">
        <f>IF('Data-Plot'!C959="","",('Data-Plot'!C959-'Data-Plot'!D959)*$P$9)</f>
        <v/>
      </c>
    </row>
    <row r="960" spans="16:18" x14ac:dyDescent="0.25">
      <c r="P960" s="22" t="str">
        <f>IF('Data-Plot'!C960="","",$Q$11+('Data-Plot'!C960-'Data-Plot'!D960)*$P$9)</f>
        <v/>
      </c>
      <c r="Q960" s="22" t="str">
        <f>IF('Data-Plot'!C960="","",MAX('Data-Plot'!$C$11:$C$1010)*(1+$Q$9/100))</f>
        <v/>
      </c>
      <c r="R960" s="22" t="str">
        <f>IF('Data-Plot'!C960="","",('Data-Plot'!C960-'Data-Plot'!D960)*$P$9)</f>
        <v/>
      </c>
    </row>
    <row r="961" spans="16:18" x14ac:dyDescent="0.25">
      <c r="P961" s="22" t="str">
        <f>IF('Data-Plot'!C961="","",$Q$11+('Data-Plot'!C961-'Data-Plot'!D961)*$P$9)</f>
        <v/>
      </c>
      <c r="Q961" s="22" t="str">
        <f>IF('Data-Plot'!C961="","",MAX('Data-Plot'!$C$11:$C$1010)*(1+$Q$9/100))</f>
        <v/>
      </c>
      <c r="R961" s="22" t="str">
        <f>IF('Data-Plot'!C961="","",('Data-Plot'!C961-'Data-Plot'!D961)*$P$9)</f>
        <v/>
      </c>
    </row>
    <row r="962" spans="16:18" x14ac:dyDescent="0.25">
      <c r="P962" s="22" t="str">
        <f>IF('Data-Plot'!C962="","",$Q$11+('Data-Plot'!C962-'Data-Plot'!D962)*$P$9)</f>
        <v/>
      </c>
      <c r="Q962" s="22" t="str">
        <f>IF('Data-Plot'!C962="","",MAX('Data-Plot'!$C$11:$C$1010)*(1+$Q$9/100))</f>
        <v/>
      </c>
      <c r="R962" s="22" t="str">
        <f>IF('Data-Plot'!C962="","",('Data-Plot'!C962-'Data-Plot'!D962)*$P$9)</f>
        <v/>
      </c>
    </row>
    <row r="963" spans="16:18" x14ac:dyDescent="0.25">
      <c r="P963" s="22" t="str">
        <f>IF('Data-Plot'!C963="","",$Q$11+('Data-Plot'!C963-'Data-Plot'!D963)*$P$9)</f>
        <v/>
      </c>
      <c r="Q963" s="22" t="str">
        <f>IF('Data-Plot'!C963="","",MAX('Data-Plot'!$C$11:$C$1010)*(1+$Q$9/100))</f>
        <v/>
      </c>
      <c r="R963" s="22" t="str">
        <f>IF('Data-Plot'!C963="","",('Data-Plot'!C963-'Data-Plot'!D963)*$P$9)</f>
        <v/>
      </c>
    </row>
    <row r="964" spans="16:18" x14ac:dyDescent="0.25">
      <c r="P964" s="22" t="str">
        <f>IF('Data-Plot'!C964="","",$Q$11+('Data-Plot'!C964-'Data-Plot'!D964)*$P$9)</f>
        <v/>
      </c>
      <c r="Q964" s="22" t="str">
        <f>IF('Data-Plot'!C964="","",MAX('Data-Plot'!$C$11:$C$1010)*(1+$Q$9/100))</f>
        <v/>
      </c>
      <c r="R964" s="22" t="str">
        <f>IF('Data-Plot'!C964="","",('Data-Plot'!C964-'Data-Plot'!D964)*$P$9)</f>
        <v/>
      </c>
    </row>
    <row r="965" spans="16:18" x14ac:dyDescent="0.25">
      <c r="P965" s="22" t="str">
        <f>IF('Data-Plot'!C965="","",$Q$11+('Data-Plot'!C965-'Data-Plot'!D965)*$P$9)</f>
        <v/>
      </c>
      <c r="Q965" s="22" t="str">
        <f>IF('Data-Plot'!C965="","",MAX('Data-Plot'!$C$11:$C$1010)*(1+$Q$9/100))</f>
        <v/>
      </c>
      <c r="R965" s="22" t="str">
        <f>IF('Data-Plot'!C965="","",('Data-Plot'!C965-'Data-Plot'!D965)*$P$9)</f>
        <v/>
      </c>
    </row>
    <row r="966" spans="16:18" x14ac:dyDescent="0.25">
      <c r="P966" s="22" t="str">
        <f>IF('Data-Plot'!C966="","",$Q$11+('Data-Plot'!C966-'Data-Plot'!D966)*$P$9)</f>
        <v/>
      </c>
      <c r="Q966" s="22" t="str">
        <f>IF('Data-Plot'!C966="","",MAX('Data-Plot'!$C$11:$C$1010)*(1+$Q$9/100))</f>
        <v/>
      </c>
      <c r="R966" s="22" t="str">
        <f>IF('Data-Plot'!C966="","",('Data-Plot'!C966-'Data-Plot'!D966)*$P$9)</f>
        <v/>
      </c>
    </row>
    <row r="967" spans="16:18" x14ac:dyDescent="0.25">
      <c r="P967" s="22" t="str">
        <f>IF('Data-Plot'!C967="","",$Q$11+('Data-Plot'!C967-'Data-Plot'!D967)*$P$9)</f>
        <v/>
      </c>
      <c r="Q967" s="22" t="str">
        <f>IF('Data-Plot'!C967="","",MAX('Data-Plot'!$C$11:$C$1010)*(1+$Q$9/100))</f>
        <v/>
      </c>
      <c r="R967" s="22" t="str">
        <f>IF('Data-Plot'!C967="","",('Data-Plot'!C967-'Data-Plot'!D967)*$P$9)</f>
        <v/>
      </c>
    </row>
    <row r="968" spans="16:18" x14ac:dyDescent="0.25">
      <c r="P968" s="22" t="str">
        <f>IF('Data-Plot'!C968="","",$Q$11+('Data-Plot'!C968-'Data-Plot'!D968)*$P$9)</f>
        <v/>
      </c>
      <c r="Q968" s="22" t="str">
        <f>IF('Data-Plot'!C968="","",MAX('Data-Plot'!$C$11:$C$1010)*(1+$Q$9/100))</f>
        <v/>
      </c>
      <c r="R968" s="22" t="str">
        <f>IF('Data-Plot'!C968="","",('Data-Plot'!C968-'Data-Plot'!D968)*$P$9)</f>
        <v/>
      </c>
    </row>
    <row r="969" spans="16:18" x14ac:dyDescent="0.25">
      <c r="P969" s="22" t="str">
        <f>IF('Data-Plot'!C969="","",$Q$11+('Data-Plot'!C969-'Data-Plot'!D969)*$P$9)</f>
        <v/>
      </c>
      <c r="Q969" s="22" t="str">
        <f>IF('Data-Plot'!C969="","",MAX('Data-Plot'!$C$11:$C$1010)*(1+$Q$9/100))</f>
        <v/>
      </c>
      <c r="R969" s="22" t="str">
        <f>IF('Data-Plot'!C969="","",('Data-Plot'!C969-'Data-Plot'!D969)*$P$9)</f>
        <v/>
      </c>
    </row>
    <row r="970" spans="16:18" x14ac:dyDescent="0.25">
      <c r="P970" s="22" t="str">
        <f>IF('Data-Plot'!C970="","",$Q$11+('Data-Plot'!C970-'Data-Plot'!D970)*$P$9)</f>
        <v/>
      </c>
      <c r="Q970" s="22" t="str">
        <f>IF('Data-Plot'!C970="","",MAX('Data-Plot'!$C$11:$C$1010)*(1+$Q$9/100))</f>
        <v/>
      </c>
      <c r="R970" s="22" t="str">
        <f>IF('Data-Plot'!C970="","",('Data-Plot'!C970-'Data-Plot'!D970)*$P$9)</f>
        <v/>
      </c>
    </row>
    <row r="971" spans="16:18" x14ac:dyDescent="0.25">
      <c r="P971" s="22" t="str">
        <f>IF('Data-Plot'!C971="","",$Q$11+('Data-Plot'!C971-'Data-Plot'!D971)*$P$9)</f>
        <v/>
      </c>
      <c r="Q971" s="22" t="str">
        <f>IF('Data-Plot'!C971="","",MAX('Data-Plot'!$C$11:$C$1010)*(1+$Q$9/100))</f>
        <v/>
      </c>
      <c r="R971" s="22" t="str">
        <f>IF('Data-Plot'!C971="","",('Data-Plot'!C971-'Data-Plot'!D971)*$P$9)</f>
        <v/>
      </c>
    </row>
    <row r="972" spans="16:18" x14ac:dyDescent="0.25">
      <c r="P972" s="22" t="str">
        <f>IF('Data-Plot'!C972="","",$Q$11+('Data-Plot'!C972-'Data-Plot'!D972)*$P$9)</f>
        <v/>
      </c>
      <c r="Q972" s="22" t="str">
        <f>IF('Data-Plot'!C972="","",MAX('Data-Plot'!$C$11:$C$1010)*(1+$Q$9/100))</f>
        <v/>
      </c>
      <c r="R972" s="22" t="str">
        <f>IF('Data-Plot'!C972="","",('Data-Plot'!C972-'Data-Plot'!D972)*$P$9)</f>
        <v/>
      </c>
    </row>
    <row r="973" spans="16:18" x14ac:dyDescent="0.25">
      <c r="P973" s="22" t="str">
        <f>IF('Data-Plot'!C973="","",$Q$11+('Data-Plot'!C973-'Data-Plot'!D973)*$P$9)</f>
        <v/>
      </c>
      <c r="Q973" s="22" t="str">
        <f>IF('Data-Plot'!C973="","",MAX('Data-Plot'!$C$11:$C$1010)*(1+$Q$9/100))</f>
        <v/>
      </c>
      <c r="R973" s="22" t="str">
        <f>IF('Data-Plot'!C973="","",('Data-Plot'!C973-'Data-Plot'!D973)*$P$9)</f>
        <v/>
      </c>
    </row>
    <row r="974" spans="16:18" x14ac:dyDescent="0.25">
      <c r="P974" s="22" t="str">
        <f>IF('Data-Plot'!C974="","",$Q$11+('Data-Plot'!C974-'Data-Plot'!D974)*$P$9)</f>
        <v/>
      </c>
      <c r="Q974" s="22" t="str">
        <f>IF('Data-Plot'!C974="","",MAX('Data-Plot'!$C$11:$C$1010)*(1+$Q$9/100))</f>
        <v/>
      </c>
      <c r="R974" s="22" t="str">
        <f>IF('Data-Plot'!C974="","",('Data-Plot'!C974-'Data-Plot'!D974)*$P$9)</f>
        <v/>
      </c>
    </row>
    <row r="975" spans="16:18" x14ac:dyDescent="0.25">
      <c r="P975" s="22" t="str">
        <f>IF('Data-Plot'!C975="","",$Q$11+('Data-Plot'!C975-'Data-Plot'!D975)*$P$9)</f>
        <v/>
      </c>
      <c r="Q975" s="22" t="str">
        <f>IF('Data-Plot'!C975="","",MAX('Data-Plot'!$C$11:$C$1010)*(1+$Q$9/100))</f>
        <v/>
      </c>
      <c r="R975" s="22" t="str">
        <f>IF('Data-Plot'!C975="","",('Data-Plot'!C975-'Data-Plot'!D975)*$P$9)</f>
        <v/>
      </c>
    </row>
    <row r="976" spans="16:18" x14ac:dyDescent="0.25">
      <c r="P976" s="22" t="str">
        <f>IF('Data-Plot'!C976="","",$Q$11+('Data-Plot'!C976-'Data-Plot'!D976)*$P$9)</f>
        <v/>
      </c>
      <c r="Q976" s="22" t="str">
        <f>IF('Data-Plot'!C976="","",MAX('Data-Plot'!$C$11:$C$1010)*(1+$Q$9/100))</f>
        <v/>
      </c>
      <c r="R976" s="22" t="str">
        <f>IF('Data-Plot'!C976="","",('Data-Plot'!C976-'Data-Plot'!D976)*$P$9)</f>
        <v/>
      </c>
    </row>
    <row r="977" spans="16:18" x14ac:dyDescent="0.25">
      <c r="P977" s="22" t="str">
        <f>IF('Data-Plot'!C977="","",$Q$11+('Data-Plot'!C977-'Data-Plot'!D977)*$P$9)</f>
        <v/>
      </c>
      <c r="Q977" s="22" t="str">
        <f>IF('Data-Plot'!C977="","",MAX('Data-Plot'!$C$11:$C$1010)*(1+$Q$9/100))</f>
        <v/>
      </c>
      <c r="R977" s="22" t="str">
        <f>IF('Data-Plot'!C977="","",('Data-Plot'!C977-'Data-Plot'!D977)*$P$9)</f>
        <v/>
      </c>
    </row>
    <row r="978" spans="16:18" x14ac:dyDescent="0.25">
      <c r="P978" s="22" t="str">
        <f>IF('Data-Plot'!C978="","",$Q$11+('Data-Plot'!C978-'Data-Plot'!D978)*$P$9)</f>
        <v/>
      </c>
      <c r="Q978" s="22" t="str">
        <f>IF('Data-Plot'!C978="","",MAX('Data-Plot'!$C$11:$C$1010)*(1+$Q$9/100))</f>
        <v/>
      </c>
      <c r="R978" s="22" t="str">
        <f>IF('Data-Plot'!C978="","",('Data-Plot'!C978-'Data-Plot'!D978)*$P$9)</f>
        <v/>
      </c>
    </row>
    <row r="979" spans="16:18" x14ac:dyDescent="0.25">
      <c r="P979" s="22" t="str">
        <f>IF('Data-Plot'!C979="","",$Q$11+('Data-Plot'!C979-'Data-Plot'!D979)*$P$9)</f>
        <v/>
      </c>
      <c r="Q979" s="22" t="str">
        <f>IF('Data-Plot'!C979="","",MAX('Data-Plot'!$C$11:$C$1010)*(1+$Q$9/100))</f>
        <v/>
      </c>
      <c r="R979" s="22" t="str">
        <f>IF('Data-Plot'!C979="","",('Data-Plot'!C979-'Data-Plot'!D979)*$P$9)</f>
        <v/>
      </c>
    </row>
    <row r="980" spans="16:18" x14ac:dyDescent="0.25">
      <c r="P980" s="22" t="str">
        <f>IF('Data-Plot'!C980="","",$Q$11+('Data-Plot'!C980-'Data-Plot'!D980)*$P$9)</f>
        <v/>
      </c>
      <c r="Q980" s="22" t="str">
        <f>IF('Data-Plot'!C980="","",MAX('Data-Plot'!$C$11:$C$1010)*(1+$Q$9/100))</f>
        <v/>
      </c>
      <c r="R980" s="22" t="str">
        <f>IF('Data-Plot'!C980="","",('Data-Plot'!C980-'Data-Plot'!D980)*$P$9)</f>
        <v/>
      </c>
    </row>
    <row r="981" spans="16:18" x14ac:dyDescent="0.25">
      <c r="P981" s="22" t="str">
        <f>IF('Data-Plot'!C981="","",$Q$11+('Data-Plot'!C981-'Data-Plot'!D981)*$P$9)</f>
        <v/>
      </c>
      <c r="Q981" s="22" t="str">
        <f>IF('Data-Plot'!C981="","",MAX('Data-Plot'!$C$11:$C$1010)*(1+$Q$9/100))</f>
        <v/>
      </c>
      <c r="R981" s="22" t="str">
        <f>IF('Data-Plot'!C981="","",('Data-Plot'!C981-'Data-Plot'!D981)*$P$9)</f>
        <v/>
      </c>
    </row>
    <row r="982" spans="16:18" x14ac:dyDescent="0.25">
      <c r="P982" s="22" t="str">
        <f>IF('Data-Plot'!C982="","",$Q$11+('Data-Plot'!C982-'Data-Plot'!D982)*$P$9)</f>
        <v/>
      </c>
      <c r="Q982" s="22" t="str">
        <f>IF('Data-Plot'!C982="","",MAX('Data-Plot'!$C$11:$C$1010)*(1+$Q$9/100))</f>
        <v/>
      </c>
      <c r="R982" s="22" t="str">
        <f>IF('Data-Plot'!C982="","",('Data-Plot'!C982-'Data-Plot'!D982)*$P$9)</f>
        <v/>
      </c>
    </row>
    <row r="983" spans="16:18" x14ac:dyDescent="0.25">
      <c r="P983" s="22" t="str">
        <f>IF('Data-Plot'!C983="","",$Q$11+('Data-Plot'!C983-'Data-Plot'!D983)*$P$9)</f>
        <v/>
      </c>
      <c r="Q983" s="22" t="str">
        <f>IF('Data-Plot'!C983="","",MAX('Data-Plot'!$C$11:$C$1010)*(1+$Q$9/100))</f>
        <v/>
      </c>
      <c r="R983" s="22" t="str">
        <f>IF('Data-Plot'!C983="","",('Data-Plot'!C983-'Data-Plot'!D983)*$P$9)</f>
        <v/>
      </c>
    </row>
    <row r="984" spans="16:18" x14ac:dyDescent="0.25">
      <c r="P984" s="22" t="str">
        <f>IF('Data-Plot'!C984="","",$Q$11+('Data-Plot'!C984-'Data-Plot'!D984)*$P$9)</f>
        <v/>
      </c>
      <c r="Q984" s="22" t="str">
        <f>IF('Data-Plot'!C984="","",MAX('Data-Plot'!$C$11:$C$1010)*(1+$Q$9/100))</f>
        <v/>
      </c>
      <c r="R984" s="22" t="str">
        <f>IF('Data-Plot'!C984="","",('Data-Plot'!C984-'Data-Plot'!D984)*$P$9)</f>
        <v/>
      </c>
    </row>
    <row r="985" spans="16:18" x14ac:dyDescent="0.25">
      <c r="P985" s="22" t="str">
        <f>IF('Data-Plot'!C985="","",$Q$11+('Data-Plot'!C985-'Data-Plot'!D985)*$P$9)</f>
        <v/>
      </c>
      <c r="Q985" s="22" t="str">
        <f>IF('Data-Plot'!C985="","",MAX('Data-Plot'!$C$11:$C$1010)*(1+$Q$9/100))</f>
        <v/>
      </c>
      <c r="R985" s="22" t="str">
        <f>IF('Data-Plot'!C985="","",('Data-Plot'!C985-'Data-Plot'!D985)*$P$9)</f>
        <v/>
      </c>
    </row>
    <row r="986" spans="16:18" x14ac:dyDescent="0.25">
      <c r="P986" s="22" t="str">
        <f>IF('Data-Plot'!C986="","",$Q$11+('Data-Plot'!C986-'Data-Plot'!D986)*$P$9)</f>
        <v/>
      </c>
      <c r="Q986" s="22" t="str">
        <f>IF('Data-Plot'!C986="","",MAX('Data-Plot'!$C$11:$C$1010)*(1+$Q$9/100))</f>
        <v/>
      </c>
      <c r="R986" s="22" t="str">
        <f>IF('Data-Plot'!C986="","",('Data-Plot'!C986-'Data-Plot'!D986)*$P$9)</f>
        <v/>
      </c>
    </row>
    <row r="987" spans="16:18" x14ac:dyDescent="0.25">
      <c r="P987" s="22" t="str">
        <f>IF('Data-Plot'!C987="","",$Q$11+('Data-Plot'!C987-'Data-Plot'!D987)*$P$9)</f>
        <v/>
      </c>
      <c r="Q987" s="22" t="str">
        <f>IF('Data-Plot'!C987="","",MAX('Data-Plot'!$C$11:$C$1010)*(1+$Q$9/100))</f>
        <v/>
      </c>
      <c r="R987" s="22" t="str">
        <f>IF('Data-Plot'!C987="","",('Data-Plot'!C987-'Data-Plot'!D987)*$P$9)</f>
        <v/>
      </c>
    </row>
    <row r="988" spans="16:18" x14ac:dyDescent="0.25">
      <c r="P988" s="22" t="str">
        <f>IF('Data-Plot'!C988="","",$Q$11+('Data-Plot'!C988-'Data-Plot'!D988)*$P$9)</f>
        <v/>
      </c>
      <c r="Q988" s="22" t="str">
        <f>IF('Data-Plot'!C988="","",MAX('Data-Plot'!$C$11:$C$1010)*(1+$Q$9/100))</f>
        <v/>
      </c>
      <c r="R988" s="22" t="str">
        <f>IF('Data-Plot'!C988="","",('Data-Plot'!C988-'Data-Plot'!D988)*$P$9)</f>
        <v/>
      </c>
    </row>
    <row r="989" spans="16:18" x14ac:dyDescent="0.25">
      <c r="P989" s="22" t="str">
        <f>IF('Data-Plot'!C989="","",$Q$11+('Data-Plot'!C989-'Data-Plot'!D989)*$P$9)</f>
        <v/>
      </c>
      <c r="Q989" s="22" t="str">
        <f>IF('Data-Plot'!C989="","",MAX('Data-Plot'!$C$11:$C$1010)*(1+$Q$9/100))</f>
        <v/>
      </c>
      <c r="R989" s="22" t="str">
        <f>IF('Data-Plot'!C989="","",('Data-Plot'!C989-'Data-Plot'!D989)*$P$9)</f>
        <v/>
      </c>
    </row>
    <row r="990" spans="16:18" x14ac:dyDescent="0.25">
      <c r="P990" s="22" t="str">
        <f>IF('Data-Plot'!C990="","",$Q$11+('Data-Plot'!C990-'Data-Plot'!D990)*$P$9)</f>
        <v/>
      </c>
      <c r="Q990" s="22" t="str">
        <f>IF('Data-Plot'!C990="","",MAX('Data-Plot'!$C$11:$C$1010)*(1+$Q$9/100))</f>
        <v/>
      </c>
      <c r="R990" s="22" t="str">
        <f>IF('Data-Plot'!C990="","",('Data-Plot'!C990-'Data-Plot'!D990)*$P$9)</f>
        <v/>
      </c>
    </row>
    <row r="991" spans="16:18" x14ac:dyDescent="0.25">
      <c r="P991" s="22" t="str">
        <f>IF('Data-Plot'!C991="","",$Q$11+('Data-Plot'!C991-'Data-Plot'!D991)*$P$9)</f>
        <v/>
      </c>
      <c r="Q991" s="22" t="str">
        <f>IF('Data-Plot'!C991="","",MAX('Data-Plot'!$C$11:$C$1010)*(1+$Q$9/100))</f>
        <v/>
      </c>
      <c r="R991" s="22" t="str">
        <f>IF('Data-Plot'!C991="","",('Data-Plot'!C991-'Data-Plot'!D991)*$P$9)</f>
        <v/>
      </c>
    </row>
    <row r="992" spans="16:18" x14ac:dyDescent="0.25">
      <c r="P992" s="22" t="str">
        <f>IF('Data-Plot'!C992="","",$Q$11+('Data-Plot'!C992-'Data-Plot'!D992)*$P$9)</f>
        <v/>
      </c>
      <c r="Q992" s="22" t="str">
        <f>IF('Data-Plot'!C992="","",MAX('Data-Plot'!$C$11:$C$1010)*(1+$Q$9/100))</f>
        <v/>
      </c>
      <c r="R992" s="22" t="str">
        <f>IF('Data-Plot'!C992="","",('Data-Plot'!C992-'Data-Plot'!D992)*$P$9)</f>
        <v/>
      </c>
    </row>
    <row r="993" spans="16:18" x14ac:dyDescent="0.25">
      <c r="P993" s="22" t="str">
        <f>IF('Data-Plot'!C993="","",$Q$11+('Data-Plot'!C993-'Data-Plot'!D993)*$P$9)</f>
        <v/>
      </c>
      <c r="Q993" s="22" t="str">
        <f>IF('Data-Plot'!C993="","",MAX('Data-Plot'!$C$11:$C$1010)*(1+$Q$9/100))</f>
        <v/>
      </c>
      <c r="R993" s="22" t="str">
        <f>IF('Data-Plot'!C993="","",('Data-Plot'!C993-'Data-Plot'!D993)*$P$9)</f>
        <v/>
      </c>
    </row>
    <row r="994" spans="16:18" x14ac:dyDescent="0.25">
      <c r="P994" s="22" t="str">
        <f>IF('Data-Plot'!C994="","",$Q$11+('Data-Plot'!C994-'Data-Plot'!D994)*$P$9)</f>
        <v/>
      </c>
      <c r="Q994" s="22" t="str">
        <f>IF('Data-Plot'!C994="","",MAX('Data-Plot'!$C$11:$C$1010)*(1+$Q$9/100))</f>
        <v/>
      </c>
      <c r="R994" s="22" t="str">
        <f>IF('Data-Plot'!C994="","",('Data-Plot'!C994-'Data-Plot'!D994)*$P$9)</f>
        <v/>
      </c>
    </row>
    <row r="995" spans="16:18" x14ac:dyDescent="0.25">
      <c r="P995" s="22" t="str">
        <f>IF('Data-Plot'!C995="","",$Q$11+('Data-Plot'!C995-'Data-Plot'!D995)*$P$9)</f>
        <v/>
      </c>
      <c r="Q995" s="22" t="str">
        <f>IF('Data-Plot'!C995="","",MAX('Data-Plot'!$C$11:$C$1010)*(1+$Q$9/100))</f>
        <v/>
      </c>
      <c r="R995" s="22" t="str">
        <f>IF('Data-Plot'!C995="","",('Data-Plot'!C995-'Data-Plot'!D995)*$P$9)</f>
        <v/>
      </c>
    </row>
    <row r="996" spans="16:18" x14ac:dyDescent="0.25">
      <c r="P996" s="22" t="str">
        <f>IF('Data-Plot'!C996="","",$Q$11+('Data-Plot'!C996-'Data-Plot'!D996)*$P$9)</f>
        <v/>
      </c>
      <c r="Q996" s="22" t="str">
        <f>IF('Data-Plot'!C996="","",MAX('Data-Plot'!$C$11:$C$1010)*(1+$Q$9/100))</f>
        <v/>
      </c>
      <c r="R996" s="22" t="str">
        <f>IF('Data-Plot'!C996="","",('Data-Plot'!C996-'Data-Plot'!D996)*$P$9)</f>
        <v/>
      </c>
    </row>
    <row r="997" spans="16:18" x14ac:dyDescent="0.25">
      <c r="P997" s="22" t="str">
        <f>IF('Data-Plot'!C997="","",$Q$11+('Data-Plot'!C997-'Data-Plot'!D997)*$P$9)</f>
        <v/>
      </c>
      <c r="Q997" s="22" t="str">
        <f>IF('Data-Plot'!C997="","",MAX('Data-Plot'!$C$11:$C$1010)*(1+$Q$9/100))</f>
        <v/>
      </c>
      <c r="R997" s="22" t="str">
        <f>IF('Data-Plot'!C997="","",('Data-Plot'!C997-'Data-Plot'!D997)*$P$9)</f>
        <v/>
      </c>
    </row>
    <row r="998" spans="16:18" x14ac:dyDescent="0.25">
      <c r="P998" s="22" t="str">
        <f>IF('Data-Plot'!C998="","",$Q$11+('Data-Plot'!C998-'Data-Plot'!D998)*$P$9)</f>
        <v/>
      </c>
      <c r="Q998" s="22" t="str">
        <f>IF('Data-Plot'!C998="","",MAX('Data-Plot'!$C$11:$C$1010)*(1+$Q$9/100))</f>
        <v/>
      </c>
      <c r="R998" s="22" t="str">
        <f>IF('Data-Plot'!C998="","",('Data-Plot'!C998-'Data-Plot'!D998)*$P$9)</f>
        <v/>
      </c>
    </row>
    <row r="999" spans="16:18" x14ac:dyDescent="0.25">
      <c r="P999" s="22" t="str">
        <f>IF('Data-Plot'!C999="","",$Q$11+('Data-Plot'!C999-'Data-Plot'!D999)*$P$9)</f>
        <v/>
      </c>
      <c r="Q999" s="22" t="str">
        <f>IF('Data-Plot'!C999="","",MAX('Data-Plot'!$C$11:$C$1010)*(1+$Q$9/100))</f>
        <v/>
      </c>
      <c r="R999" s="22" t="str">
        <f>IF('Data-Plot'!C999="","",('Data-Plot'!C999-'Data-Plot'!D999)*$P$9)</f>
        <v/>
      </c>
    </row>
    <row r="1000" spans="16:18" x14ac:dyDescent="0.25">
      <c r="P1000" s="22" t="str">
        <f>IF('Data-Plot'!C1000="","",$Q$11+('Data-Plot'!C1000-'Data-Plot'!D1000)*$P$9)</f>
        <v/>
      </c>
      <c r="Q1000" s="22" t="str">
        <f>IF('Data-Plot'!C1000="","",MAX('Data-Plot'!$C$11:$C$1010)*(1+$Q$9/100))</f>
        <v/>
      </c>
      <c r="R1000" s="22" t="str">
        <f>IF('Data-Plot'!C1000="","",('Data-Plot'!C1000-'Data-Plot'!D1000)*$P$9)</f>
        <v/>
      </c>
    </row>
    <row r="1001" spans="16:18" x14ac:dyDescent="0.25">
      <c r="P1001" s="22" t="str">
        <f>IF('Data-Plot'!C1001="","",$Q$11+('Data-Plot'!C1001-'Data-Plot'!D1001)*$P$9)</f>
        <v/>
      </c>
      <c r="Q1001" s="22" t="str">
        <f>IF('Data-Plot'!C1001="","",MAX('Data-Plot'!$C$11:$C$1010)*(1+$Q$9/100))</f>
        <v/>
      </c>
      <c r="R1001" s="22" t="str">
        <f>IF('Data-Plot'!C1001="","",('Data-Plot'!C1001-'Data-Plot'!D1001)*$P$9)</f>
        <v/>
      </c>
    </row>
    <row r="1002" spans="16:18" x14ac:dyDescent="0.25">
      <c r="P1002" s="22" t="str">
        <f>IF('Data-Plot'!C1002="","",$Q$11+('Data-Plot'!C1002-'Data-Plot'!D1002)*$P$9)</f>
        <v/>
      </c>
      <c r="Q1002" s="22" t="str">
        <f>IF('Data-Plot'!C1002="","",MAX('Data-Plot'!$C$11:$C$1010)*(1+$Q$9/100))</f>
        <v/>
      </c>
      <c r="R1002" s="22" t="str">
        <f>IF('Data-Plot'!C1002="","",('Data-Plot'!C1002-'Data-Plot'!D1002)*$P$9)</f>
        <v/>
      </c>
    </row>
    <row r="1003" spans="16:18" x14ac:dyDescent="0.25">
      <c r="P1003" s="22" t="str">
        <f>IF('Data-Plot'!C1003="","",$Q$11+('Data-Plot'!C1003-'Data-Plot'!D1003)*$P$9)</f>
        <v/>
      </c>
      <c r="Q1003" s="22" t="str">
        <f>IF('Data-Plot'!C1003="","",MAX('Data-Plot'!$C$11:$C$1010)*(1+$Q$9/100))</f>
        <v/>
      </c>
      <c r="R1003" s="22" t="str">
        <f>IF('Data-Plot'!C1003="","",('Data-Plot'!C1003-'Data-Plot'!D1003)*$P$9)</f>
        <v/>
      </c>
    </row>
    <row r="1004" spans="16:18" x14ac:dyDescent="0.25">
      <c r="P1004" s="22" t="str">
        <f>IF('Data-Plot'!C1004="","",$Q$11+('Data-Plot'!C1004-'Data-Plot'!D1004)*$P$9)</f>
        <v/>
      </c>
      <c r="Q1004" s="22" t="str">
        <f>IF('Data-Plot'!C1004="","",MAX('Data-Plot'!$C$11:$C$1010)*(1+$Q$9/100))</f>
        <v/>
      </c>
      <c r="R1004" s="22" t="str">
        <f>IF('Data-Plot'!C1004="","",('Data-Plot'!C1004-'Data-Plot'!D1004)*$P$9)</f>
        <v/>
      </c>
    </row>
    <row r="1005" spans="16:18" x14ac:dyDescent="0.25">
      <c r="P1005" s="22" t="str">
        <f>IF('Data-Plot'!C1005="","",$Q$11+('Data-Plot'!C1005-'Data-Plot'!D1005)*$P$9)</f>
        <v/>
      </c>
      <c r="Q1005" s="22" t="str">
        <f>IF('Data-Plot'!C1005="","",MAX('Data-Plot'!$C$11:$C$1010)*(1+$Q$9/100))</f>
        <v/>
      </c>
      <c r="R1005" s="22" t="str">
        <f>IF('Data-Plot'!C1005="","",('Data-Plot'!C1005-'Data-Plot'!D1005)*$P$9)</f>
        <v/>
      </c>
    </row>
    <row r="1006" spans="16:18" x14ac:dyDescent="0.25">
      <c r="P1006" s="22" t="str">
        <f>IF('Data-Plot'!C1006="","",$Q$11+('Data-Plot'!C1006-'Data-Plot'!D1006)*$P$9)</f>
        <v/>
      </c>
      <c r="Q1006" s="22" t="str">
        <f>IF('Data-Plot'!C1006="","",MAX('Data-Plot'!$C$11:$C$1010)*(1+$Q$9/100))</f>
        <v/>
      </c>
      <c r="R1006" s="22" t="str">
        <f>IF('Data-Plot'!C1006="","",('Data-Plot'!C1006-'Data-Plot'!D1006)*$P$9)</f>
        <v/>
      </c>
    </row>
    <row r="1007" spans="16:18" x14ac:dyDescent="0.25">
      <c r="P1007" s="22" t="str">
        <f>IF('Data-Plot'!C1007="","",$Q$11+('Data-Plot'!C1007-'Data-Plot'!D1007)*$P$9)</f>
        <v/>
      </c>
      <c r="Q1007" s="22" t="str">
        <f>IF('Data-Plot'!C1007="","",MAX('Data-Plot'!$C$11:$C$1010)*(1+$Q$9/100))</f>
        <v/>
      </c>
      <c r="R1007" s="22" t="str">
        <f>IF('Data-Plot'!C1007="","",('Data-Plot'!C1007-'Data-Plot'!D1007)*$P$9)</f>
        <v/>
      </c>
    </row>
    <row r="1008" spans="16:18" x14ac:dyDescent="0.25">
      <c r="P1008" s="22" t="str">
        <f>IF('Data-Plot'!C1008="","",$Q$11+('Data-Plot'!C1008-'Data-Plot'!D1008)*$P$9)</f>
        <v/>
      </c>
      <c r="Q1008" s="22" t="str">
        <f>IF('Data-Plot'!C1008="","",MAX('Data-Plot'!$C$11:$C$1010)*(1+$Q$9/100))</f>
        <v/>
      </c>
      <c r="R1008" s="22" t="str">
        <f>IF('Data-Plot'!C1008="","",('Data-Plot'!C1008-'Data-Plot'!D1008)*$P$9)</f>
        <v/>
      </c>
    </row>
    <row r="1009" spans="16:18" x14ac:dyDescent="0.25">
      <c r="P1009" s="22" t="str">
        <f>IF('Data-Plot'!C1009="","",$Q$11+('Data-Plot'!C1009-'Data-Plot'!D1009)*$P$9)</f>
        <v/>
      </c>
      <c r="Q1009" s="22" t="str">
        <f>IF('Data-Plot'!C1009="","",MAX('Data-Plot'!$C$11:$C$1010)*(1+$Q$9/100))</f>
        <v/>
      </c>
      <c r="R1009" s="22" t="str">
        <f>IF('Data-Plot'!C1009="","",('Data-Plot'!C1009-'Data-Plot'!D1009)*$P$9)</f>
        <v/>
      </c>
    </row>
    <row r="1010" spans="16:18" x14ac:dyDescent="0.25">
      <c r="P1010" s="22" t="str">
        <f>IF('Data-Plot'!C1010="","",$Q$11+('Data-Plot'!C1010-'Data-Plot'!D1010)*$P$9)</f>
        <v/>
      </c>
      <c r="Q1010" s="22" t="str">
        <f>IF('Data-Plot'!C1010="","",MAX('Data-Plot'!$C$11:$C$1010)*(1+$Q$9/100))</f>
        <v/>
      </c>
      <c r="R1010" s="22" t="str">
        <f>IF('Data-Plot'!C1010="","",('Data-Plot'!C1010-'Data-Plot'!D1010)*$P$9)</f>
        <v/>
      </c>
    </row>
    <row r="1598" spans="3:3" x14ac:dyDescent="0.25">
      <c r="C1598" s="22">
        <v>0.2557661489763024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3"/>
  <dimension ref="A1:M57"/>
  <sheetViews>
    <sheetView zoomScale="85" zoomScaleNormal="85" workbookViewId="0">
      <selection activeCell="C1" sqref="C1"/>
    </sheetView>
  </sheetViews>
  <sheetFormatPr defaultRowHeight="15" x14ac:dyDescent="0.25"/>
  <cols>
    <col min="1" max="1" width="4" customWidth="1"/>
    <col min="2" max="2" width="10" customWidth="1"/>
    <col min="3" max="12" width="14.28515625" customWidth="1"/>
    <col min="13" max="13" width="12.28515625" bestFit="1" customWidth="1"/>
  </cols>
  <sheetData>
    <row r="1" spans="1:13" x14ac:dyDescent="0.25">
      <c r="B1" s="13" t="s">
        <v>46</v>
      </c>
      <c r="C1" s="12" t="s">
        <v>97</v>
      </c>
      <c r="D1" s="12" t="s">
        <v>97</v>
      </c>
      <c r="E1" s="12" t="s">
        <v>63</v>
      </c>
      <c r="F1" s="12" t="s">
        <v>61</v>
      </c>
      <c r="G1" s="12" t="s">
        <v>64</v>
      </c>
      <c r="H1" s="12"/>
      <c r="I1" s="12"/>
      <c r="J1" s="12"/>
      <c r="K1" s="12"/>
      <c r="L1" s="12"/>
    </row>
    <row r="2" spans="1:13" x14ac:dyDescent="0.25">
      <c r="B2" s="13" t="s">
        <v>47</v>
      </c>
      <c r="C2" s="17">
        <v>125075.853</v>
      </c>
      <c r="D2" s="18">
        <v>141954.12599999999</v>
      </c>
      <c r="E2" s="18">
        <v>340.90100000000001</v>
      </c>
      <c r="F2" s="18">
        <v>287.58499999999998</v>
      </c>
      <c r="G2" s="18">
        <v>21893.93</v>
      </c>
      <c r="H2" s="10"/>
      <c r="I2" s="10"/>
      <c r="J2" s="10"/>
      <c r="K2" s="10"/>
      <c r="L2" s="10"/>
    </row>
    <row r="3" spans="1:13" x14ac:dyDescent="0.25">
      <c r="B3" s="13" t="s">
        <v>48</v>
      </c>
      <c r="C3" s="17">
        <v>-2.052</v>
      </c>
      <c r="D3" s="18">
        <v>-12.225</v>
      </c>
      <c r="E3" s="16">
        <v>2.931</v>
      </c>
      <c r="F3" s="18">
        <v>-5695.134</v>
      </c>
      <c r="G3" s="18">
        <v>190.58799999999999</v>
      </c>
      <c r="H3" s="10"/>
      <c r="I3" s="10"/>
      <c r="J3" s="10"/>
      <c r="K3" s="10"/>
      <c r="L3" s="10"/>
    </row>
    <row r="4" spans="1:13" x14ac:dyDescent="0.25">
      <c r="B4" s="13" t="s">
        <v>49</v>
      </c>
      <c r="C4" s="17">
        <v>819.77499999999998</v>
      </c>
      <c r="D4" s="16">
        <v>167.92500000000001</v>
      </c>
      <c r="E4" s="16">
        <v>0.58399999999999996</v>
      </c>
      <c r="F4" s="16"/>
      <c r="G4" s="18">
        <v>-36.780999999999999</v>
      </c>
      <c r="H4" s="10"/>
      <c r="I4" s="10"/>
      <c r="J4" s="10"/>
      <c r="K4" s="10"/>
      <c r="L4" s="10"/>
    </row>
    <row r="5" spans="1:13" x14ac:dyDescent="0.25">
      <c r="B5" s="13" t="s">
        <v>50</v>
      </c>
      <c r="C5" s="17"/>
      <c r="D5" s="19"/>
      <c r="E5" s="19">
        <v>-1.24E-3</v>
      </c>
      <c r="F5" s="19"/>
      <c r="G5" s="19"/>
      <c r="H5" s="10"/>
      <c r="I5" s="10"/>
      <c r="J5" s="10"/>
      <c r="K5" s="10"/>
      <c r="L5" s="10"/>
    </row>
    <row r="6" spans="1:13" x14ac:dyDescent="0.25">
      <c r="A6" s="11"/>
      <c r="B6" s="11"/>
      <c r="C6" s="11" t="s">
        <v>2</v>
      </c>
      <c r="D6" s="11"/>
      <c r="E6" s="11"/>
      <c r="F6" s="11"/>
      <c r="G6" s="11"/>
      <c r="H6" s="11"/>
      <c r="I6" s="11"/>
      <c r="J6" s="11"/>
      <c r="K6" s="11"/>
      <c r="L6" s="11"/>
    </row>
    <row r="7" spans="1:13" x14ac:dyDescent="0.25">
      <c r="A7" s="11"/>
      <c r="B7" s="3" t="s">
        <v>60</v>
      </c>
      <c r="C7" s="4" t="s">
        <v>7</v>
      </c>
      <c r="D7" s="4" t="s">
        <v>36</v>
      </c>
      <c r="E7" s="4" t="s">
        <v>37</v>
      </c>
      <c r="F7" s="4" t="s">
        <v>38</v>
      </c>
      <c r="G7" s="4" t="s">
        <v>39</v>
      </c>
      <c r="H7" s="14"/>
      <c r="I7" s="14"/>
      <c r="J7" s="14"/>
      <c r="K7" s="14"/>
      <c r="L7" s="14"/>
    </row>
    <row r="8" spans="1:13" x14ac:dyDescent="0.25">
      <c r="A8" s="11">
        <v>1</v>
      </c>
      <c r="B8" s="11">
        <v>19.8</v>
      </c>
      <c r="C8" s="11">
        <v>2536.634</v>
      </c>
      <c r="D8" s="11">
        <v>7247.2209999999995</v>
      </c>
      <c r="E8" s="11">
        <v>617.06100000000004</v>
      </c>
      <c r="F8" s="11">
        <v>2112.7750000000001</v>
      </c>
      <c r="G8" s="11">
        <v>790.62900000000002</v>
      </c>
      <c r="H8" s="11"/>
      <c r="I8" s="11"/>
      <c r="J8" s="11"/>
      <c r="K8" s="11"/>
      <c r="L8" s="11"/>
      <c r="M8" s="15"/>
    </row>
    <row r="9" spans="1:13" x14ac:dyDescent="0.25">
      <c r="A9" s="11">
        <v>2</v>
      </c>
      <c r="B9" s="11">
        <v>33</v>
      </c>
      <c r="C9" s="11">
        <v>4359.9089999999997</v>
      </c>
      <c r="D9" s="11">
        <v>15450.38</v>
      </c>
      <c r="E9" s="11">
        <v>1142.4349999999999</v>
      </c>
      <c r="F9" s="11">
        <v>4363.6710000000003</v>
      </c>
      <c r="G9" s="11">
        <v>1351.8869999999999</v>
      </c>
      <c r="H9" s="11"/>
      <c r="I9" s="11"/>
      <c r="J9" s="11"/>
      <c r="K9" s="11"/>
      <c r="L9" s="11"/>
      <c r="M9" s="15"/>
    </row>
    <row r="10" spans="1:13" x14ac:dyDescent="0.25">
      <c r="A10" s="11">
        <v>3</v>
      </c>
      <c r="B10" s="11">
        <v>46.2</v>
      </c>
      <c r="C10" s="11">
        <v>6702.4290000000001</v>
      </c>
      <c r="D10" s="11">
        <v>25586.187999999998</v>
      </c>
      <c r="E10" s="11">
        <v>1559.682</v>
      </c>
      <c r="F10" s="11">
        <v>7568.7939999999999</v>
      </c>
      <c r="G10" s="11">
        <v>2255.076</v>
      </c>
      <c r="H10" s="11"/>
      <c r="I10" s="11"/>
      <c r="J10" s="11"/>
      <c r="K10" s="11"/>
      <c r="L10" s="11"/>
      <c r="M10" s="15"/>
    </row>
    <row r="11" spans="1:13" x14ac:dyDescent="0.25">
      <c r="A11" s="11">
        <v>4</v>
      </c>
      <c r="B11" s="11">
        <v>59.4</v>
      </c>
      <c r="C11" s="11">
        <v>8873.2630000000008</v>
      </c>
      <c r="D11" s="11">
        <v>35124.36</v>
      </c>
      <c r="E11" s="11">
        <v>2244.2840000000001</v>
      </c>
      <c r="F11" s="11">
        <v>10598.478999999999</v>
      </c>
      <c r="G11" s="11">
        <v>3091.15</v>
      </c>
      <c r="H11" s="11"/>
      <c r="I11" s="11"/>
      <c r="J11" s="11"/>
      <c r="K11" s="11"/>
      <c r="L11" s="11"/>
      <c r="M11" s="15"/>
    </row>
    <row r="12" spans="1:13" x14ac:dyDescent="0.25">
      <c r="A12" s="11">
        <v>5</v>
      </c>
      <c r="B12" s="11">
        <v>105.6</v>
      </c>
      <c r="C12" s="11">
        <v>14889.1</v>
      </c>
      <c r="D12" s="11">
        <v>60535.675999999999</v>
      </c>
      <c r="E12" s="11">
        <v>5499.4740000000002</v>
      </c>
      <c r="F12" s="11">
        <v>23045.367999999999</v>
      </c>
      <c r="G12" s="11">
        <v>5551.3289999999997</v>
      </c>
      <c r="H12" s="11"/>
      <c r="I12" s="11"/>
      <c r="J12" s="11"/>
      <c r="K12" s="11"/>
      <c r="L12" s="11"/>
      <c r="M12" s="15"/>
    </row>
    <row r="13" spans="1:13" x14ac:dyDescent="0.25">
      <c r="A13" s="11">
        <v>6</v>
      </c>
      <c r="B13" s="11">
        <v>158.4</v>
      </c>
      <c r="C13" s="11">
        <v>21570.281999999999</v>
      </c>
      <c r="D13" s="11">
        <v>82383.971999999994</v>
      </c>
      <c r="E13" s="11">
        <v>11011.562</v>
      </c>
      <c r="F13" s="11">
        <v>37491.368000000002</v>
      </c>
      <c r="G13" s="11">
        <v>8282.7289999999994</v>
      </c>
      <c r="H13" s="11"/>
      <c r="I13" s="11"/>
      <c r="J13" s="11"/>
      <c r="K13" s="11"/>
      <c r="L13" s="11"/>
      <c r="M13" s="15"/>
    </row>
    <row r="14" spans="1:13" x14ac:dyDescent="0.25">
      <c r="A14" s="11">
        <v>7</v>
      </c>
      <c r="B14" s="11">
        <v>211.2</v>
      </c>
      <c r="C14" s="11">
        <v>27936.245999999999</v>
      </c>
      <c r="D14" s="11">
        <v>99395.652000000002</v>
      </c>
      <c r="E14" s="11">
        <v>14987.233</v>
      </c>
      <c r="F14" s="11">
        <v>55549.434999999998</v>
      </c>
      <c r="G14" s="11">
        <v>10385.636</v>
      </c>
      <c r="H14" s="11"/>
      <c r="I14" s="11"/>
      <c r="J14" s="11"/>
      <c r="K14" s="11"/>
      <c r="L14" s="11"/>
      <c r="M14" s="15"/>
    </row>
    <row r="15" spans="1:13" x14ac:dyDescent="0.25">
      <c r="A15" s="11">
        <v>8</v>
      </c>
      <c r="B15" s="11">
        <v>264</v>
      </c>
      <c r="C15" s="11">
        <v>34387.415000000001</v>
      </c>
      <c r="D15" s="11">
        <v>109692.799</v>
      </c>
      <c r="E15" s="11">
        <v>19122.944</v>
      </c>
      <c r="F15" s="11">
        <v>71845.638999999996</v>
      </c>
      <c r="G15" s="11">
        <v>11459.298000000001</v>
      </c>
      <c r="H15" s="11"/>
      <c r="I15" s="11"/>
      <c r="J15" s="11"/>
      <c r="K15" s="11"/>
      <c r="L15" s="11"/>
      <c r="M15" s="15"/>
    </row>
    <row r="16" spans="1:13" x14ac:dyDescent="0.25">
      <c r="A16" s="11"/>
      <c r="B16" s="11"/>
      <c r="C16" s="11"/>
      <c r="D16" s="11"/>
      <c r="E16" s="11"/>
      <c r="F16" s="11"/>
      <c r="G16" s="11"/>
      <c r="H16" s="11"/>
      <c r="I16" s="11"/>
      <c r="J16" s="11"/>
      <c r="K16" s="11"/>
      <c r="L16" s="11"/>
      <c r="M16" s="15"/>
    </row>
    <row r="17" spans="1:12" x14ac:dyDescent="0.25">
      <c r="A17" s="11"/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</row>
    <row r="18" spans="1:12" x14ac:dyDescent="0.25">
      <c r="A18" s="11"/>
      <c r="B18" s="11"/>
      <c r="C18" s="11"/>
      <c r="D18" s="11"/>
      <c r="E18" s="11"/>
      <c r="F18" s="11"/>
      <c r="G18" s="11"/>
      <c r="H18" s="11"/>
      <c r="I18" s="11"/>
      <c r="J18" s="11"/>
      <c r="K18" s="11"/>
      <c r="L18" s="11"/>
    </row>
    <row r="19" spans="1:12" x14ac:dyDescent="0.25">
      <c r="A19" s="11"/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</row>
    <row r="20" spans="1:12" x14ac:dyDescent="0.25">
      <c r="A20" s="11"/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</row>
    <row r="21" spans="1:12" x14ac:dyDescent="0.25">
      <c r="A21" s="11"/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</row>
    <row r="22" spans="1:12" x14ac:dyDescent="0.25">
      <c r="A22" s="11"/>
      <c r="B22" s="11"/>
      <c r="C22" s="11"/>
      <c r="D22" s="11"/>
      <c r="E22" s="11"/>
      <c r="F22" s="11"/>
      <c r="G22" s="11"/>
      <c r="H22" s="11"/>
      <c r="I22" s="11"/>
      <c r="J22" s="11"/>
      <c r="K22" s="11"/>
      <c r="L22" s="11"/>
    </row>
    <row r="23" spans="1:12" x14ac:dyDescent="0.25">
      <c r="A23" s="11"/>
      <c r="B23" s="11"/>
      <c r="C23" s="11"/>
      <c r="D23" s="11"/>
      <c r="E23" s="11"/>
      <c r="F23" s="11"/>
      <c r="G23" s="11"/>
      <c r="H23" s="11"/>
      <c r="I23" s="11"/>
      <c r="J23" s="11"/>
      <c r="K23" s="11"/>
      <c r="L23" s="11"/>
    </row>
    <row r="24" spans="1:12" x14ac:dyDescent="0.25">
      <c r="A24" s="11"/>
      <c r="B24" s="11"/>
      <c r="C24" s="11"/>
      <c r="D24" s="11"/>
      <c r="E24" s="11"/>
      <c r="F24" s="11"/>
      <c r="G24" s="11"/>
      <c r="H24" s="11"/>
      <c r="I24" s="11"/>
      <c r="J24" s="11"/>
      <c r="K24" s="11"/>
      <c r="L24" s="11"/>
    </row>
    <row r="25" spans="1:12" x14ac:dyDescent="0.25">
      <c r="A25" s="11"/>
      <c r="B25" s="11"/>
      <c r="C25" s="11"/>
      <c r="D25" s="11"/>
      <c r="E25" s="11"/>
      <c r="F25" s="11"/>
      <c r="G25" s="11"/>
      <c r="H25" s="11"/>
      <c r="I25" s="11"/>
      <c r="J25" s="11"/>
      <c r="K25" s="11"/>
      <c r="L25" s="11"/>
    </row>
    <row r="26" spans="1:12" x14ac:dyDescent="0.25">
      <c r="A26" s="1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</row>
    <row r="27" spans="1:12" x14ac:dyDescent="0.25">
      <c r="A27" s="11"/>
      <c r="B27" s="11"/>
      <c r="C27" s="11"/>
      <c r="D27" s="11"/>
      <c r="E27" s="11"/>
      <c r="F27" s="11"/>
      <c r="G27" s="11"/>
      <c r="H27" s="11"/>
      <c r="I27" s="11"/>
      <c r="J27" s="11"/>
      <c r="K27" s="11"/>
      <c r="L27" s="11"/>
    </row>
    <row r="28" spans="1:12" x14ac:dyDescent="0.25">
      <c r="A28" s="11"/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</row>
    <row r="29" spans="1:12" x14ac:dyDescent="0.25">
      <c r="A29" s="11"/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11"/>
    </row>
    <row r="30" spans="1:12" x14ac:dyDescent="0.25">
      <c r="A30" s="11"/>
      <c r="B30" s="11"/>
      <c r="C30" s="11"/>
      <c r="D30" s="11"/>
      <c r="E30" s="11"/>
      <c r="F30" s="11"/>
      <c r="G30" s="11"/>
      <c r="H30" s="11"/>
      <c r="I30" s="11"/>
      <c r="J30" s="11"/>
      <c r="K30" s="11"/>
      <c r="L30" s="11"/>
    </row>
    <row r="31" spans="1:12" x14ac:dyDescent="0.25">
      <c r="A31" s="11"/>
      <c r="B31" s="11"/>
      <c r="C31" s="11"/>
      <c r="D31" s="11"/>
      <c r="E31" s="11"/>
      <c r="F31" s="11"/>
      <c r="G31" s="11"/>
      <c r="H31" s="11"/>
      <c r="I31" s="11"/>
      <c r="J31" s="11"/>
      <c r="K31" s="11"/>
      <c r="L31" s="11"/>
    </row>
    <row r="32" spans="1:12" x14ac:dyDescent="0.25">
      <c r="A32" s="11"/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</row>
    <row r="33" spans="1:12" x14ac:dyDescent="0.25">
      <c r="A33" s="11"/>
      <c r="B33" s="11"/>
      <c r="C33" s="11"/>
      <c r="D33" s="11"/>
      <c r="E33" s="11"/>
      <c r="F33" s="11"/>
      <c r="G33" s="11"/>
      <c r="H33" s="11"/>
      <c r="I33" s="11"/>
      <c r="J33" s="11"/>
      <c r="K33" s="11"/>
      <c r="L33" s="11"/>
    </row>
    <row r="34" spans="1:12" x14ac:dyDescent="0.25">
      <c r="A34" s="11"/>
      <c r="B34" s="11"/>
      <c r="C34" s="11"/>
      <c r="D34" s="11"/>
      <c r="E34" s="11"/>
      <c r="F34" s="11"/>
      <c r="G34" s="11"/>
      <c r="H34" s="11"/>
      <c r="I34" s="11"/>
      <c r="J34" s="11"/>
      <c r="K34" s="11"/>
      <c r="L34" s="11"/>
    </row>
    <row r="35" spans="1:12" x14ac:dyDescent="0.25">
      <c r="A35" s="11"/>
      <c r="B35" s="11"/>
      <c r="C35" s="11"/>
      <c r="D35" s="11"/>
      <c r="E35" s="11"/>
      <c r="F35" s="11"/>
      <c r="G35" s="11"/>
      <c r="H35" s="11"/>
      <c r="I35" s="11"/>
      <c r="J35" s="11"/>
      <c r="K35" s="11"/>
      <c r="L35" s="11"/>
    </row>
    <row r="36" spans="1:12" x14ac:dyDescent="0.25">
      <c r="A36" s="11"/>
      <c r="B36" s="11"/>
      <c r="C36" s="11"/>
      <c r="D36" s="11"/>
      <c r="E36" s="11"/>
      <c r="F36" s="11"/>
      <c r="G36" s="11"/>
      <c r="H36" s="11"/>
      <c r="I36" s="11"/>
      <c r="J36" s="11"/>
      <c r="K36" s="11"/>
      <c r="L36" s="11"/>
    </row>
    <row r="37" spans="1:12" x14ac:dyDescent="0.25">
      <c r="A37" s="11"/>
      <c r="B37" s="11"/>
      <c r="C37" s="11"/>
      <c r="D37" s="11"/>
      <c r="E37" s="11"/>
      <c r="F37" s="11"/>
      <c r="G37" s="11"/>
      <c r="H37" s="11"/>
      <c r="I37" s="11"/>
      <c r="J37" s="11"/>
      <c r="K37" s="11"/>
      <c r="L37" s="11"/>
    </row>
    <row r="38" spans="1:12" x14ac:dyDescent="0.25">
      <c r="A38" s="11"/>
      <c r="B38" s="11"/>
      <c r="C38" s="11"/>
      <c r="D38" s="11"/>
      <c r="E38" s="11"/>
      <c r="F38" s="11"/>
      <c r="G38" s="11"/>
      <c r="H38" s="11"/>
      <c r="I38" s="11"/>
      <c r="J38" s="11"/>
      <c r="K38" s="11"/>
      <c r="L38" s="11"/>
    </row>
    <row r="39" spans="1:12" x14ac:dyDescent="0.25">
      <c r="A39" s="11"/>
      <c r="B39" s="11"/>
      <c r="C39" s="11"/>
      <c r="D39" s="11"/>
      <c r="E39" s="11"/>
      <c r="F39" s="11"/>
      <c r="G39" s="11"/>
      <c r="H39" s="11"/>
      <c r="I39" s="11"/>
      <c r="J39" s="11"/>
      <c r="K39" s="11"/>
      <c r="L39" s="11"/>
    </row>
    <row r="40" spans="1:12" x14ac:dyDescent="0.25">
      <c r="A40" s="11"/>
      <c r="B40" s="11"/>
      <c r="C40" s="11"/>
      <c r="D40" s="11"/>
      <c r="E40" s="11"/>
      <c r="F40" s="11"/>
      <c r="G40" s="11"/>
      <c r="H40" s="11"/>
      <c r="I40" s="11"/>
      <c r="J40" s="11"/>
      <c r="K40" s="11"/>
      <c r="L40" s="11"/>
    </row>
    <row r="41" spans="1:12" x14ac:dyDescent="0.25">
      <c r="A41" s="11"/>
      <c r="B41" s="11"/>
      <c r="C41" s="11"/>
      <c r="D41" s="11"/>
      <c r="E41" s="11"/>
      <c r="F41" s="11"/>
      <c r="G41" s="11"/>
      <c r="H41" s="11"/>
      <c r="I41" s="11"/>
      <c r="J41" s="11"/>
      <c r="K41" s="11"/>
      <c r="L41" s="11"/>
    </row>
    <row r="42" spans="1:12" x14ac:dyDescent="0.25">
      <c r="A42" s="11"/>
      <c r="B42" s="11"/>
      <c r="C42" s="11"/>
      <c r="D42" s="11"/>
      <c r="E42" s="11"/>
      <c r="F42" s="11"/>
      <c r="G42" s="11"/>
      <c r="H42" s="11"/>
      <c r="I42" s="11"/>
      <c r="J42" s="11"/>
      <c r="K42" s="11"/>
      <c r="L42" s="11"/>
    </row>
    <row r="43" spans="1:12" x14ac:dyDescent="0.25">
      <c r="A43" s="11"/>
      <c r="B43" s="11"/>
      <c r="C43" s="11"/>
      <c r="D43" s="11"/>
      <c r="E43" s="11"/>
      <c r="F43" s="11"/>
      <c r="G43" s="11"/>
      <c r="H43" s="11"/>
      <c r="I43" s="11"/>
      <c r="J43" s="11"/>
      <c r="K43" s="11"/>
      <c r="L43" s="11"/>
    </row>
    <row r="44" spans="1:12" x14ac:dyDescent="0.25">
      <c r="A44" s="11"/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</row>
    <row r="45" spans="1:12" x14ac:dyDescent="0.25">
      <c r="A45" s="11"/>
      <c r="B45" s="11"/>
      <c r="C45" s="11"/>
      <c r="D45" s="11"/>
      <c r="E45" s="11"/>
      <c r="F45" s="11"/>
      <c r="G45" s="11"/>
      <c r="H45" s="11"/>
      <c r="I45" s="11"/>
      <c r="J45" s="11"/>
      <c r="K45" s="11"/>
      <c r="L45" s="11"/>
    </row>
    <row r="46" spans="1:12" x14ac:dyDescent="0.25">
      <c r="A46" s="11"/>
      <c r="B46" s="11"/>
      <c r="C46" s="11"/>
      <c r="D46" s="11"/>
      <c r="E46" s="11"/>
      <c r="F46" s="11"/>
      <c r="G46" s="11"/>
      <c r="H46" s="11"/>
      <c r="I46" s="11"/>
      <c r="J46" s="11"/>
      <c r="K46" s="11"/>
      <c r="L46" s="11"/>
    </row>
    <row r="47" spans="1:12" x14ac:dyDescent="0.25">
      <c r="A47" s="11"/>
      <c r="B47" s="11"/>
      <c r="C47" s="11"/>
      <c r="D47" s="11"/>
      <c r="E47" s="11"/>
      <c r="F47" s="11"/>
      <c r="G47" s="11"/>
      <c r="H47" s="11"/>
      <c r="I47" s="11"/>
      <c r="J47" s="11"/>
      <c r="K47" s="11"/>
      <c r="L47" s="11"/>
    </row>
    <row r="48" spans="1:12" x14ac:dyDescent="0.25">
      <c r="A48" s="11"/>
      <c r="B48" s="11"/>
      <c r="C48" s="11"/>
      <c r="D48" s="11"/>
      <c r="E48" s="11"/>
      <c r="F48" s="11"/>
      <c r="G48" s="11"/>
      <c r="H48" s="11"/>
      <c r="I48" s="11"/>
      <c r="J48" s="11"/>
      <c r="K48" s="11"/>
      <c r="L48" s="11"/>
    </row>
    <row r="49" spans="1:12" x14ac:dyDescent="0.25">
      <c r="A49" s="11"/>
      <c r="B49" s="11"/>
      <c r="C49" s="11"/>
      <c r="D49" s="11"/>
      <c r="E49" s="11"/>
      <c r="F49" s="11"/>
      <c r="G49" s="11"/>
      <c r="H49" s="11"/>
      <c r="I49" s="11"/>
      <c r="J49" s="11"/>
      <c r="K49" s="11"/>
      <c r="L49" s="11"/>
    </row>
    <row r="50" spans="1:12" x14ac:dyDescent="0.25">
      <c r="A50" s="11"/>
      <c r="B50" s="11"/>
      <c r="C50" s="11"/>
      <c r="D50" s="11"/>
      <c r="E50" s="11"/>
      <c r="F50" s="11"/>
      <c r="G50" s="11"/>
      <c r="H50" s="11"/>
      <c r="I50" s="11"/>
      <c r="J50" s="11"/>
      <c r="K50" s="11"/>
      <c r="L50" s="11"/>
    </row>
    <row r="51" spans="1:12" x14ac:dyDescent="0.25">
      <c r="A51" s="11"/>
      <c r="B51" s="11"/>
      <c r="C51" s="11"/>
      <c r="D51" s="11"/>
      <c r="E51" s="11"/>
      <c r="F51" s="11"/>
      <c r="G51" s="11"/>
      <c r="H51" s="11"/>
      <c r="I51" s="11"/>
      <c r="J51" s="11"/>
      <c r="K51" s="11"/>
      <c r="L51" s="11"/>
    </row>
    <row r="52" spans="1:12" x14ac:dyDescent="0.25">
      <c r="A52" s="11"/>
      <c r="B52" s="11"/>
      <c r="C52" s="11"/>
      <c r="D52" s="11"/>
      <c r="E52" s="11"/>
      <c r="F52" s="11"/>
      <c r="G52" s="11"/>
      <c r="H52" s="11"/>
      <c r="I52" s="11"/>
      <c r="J52" s="11"/>
      <c r="K52" s="11"/>
      <c r="L52" s="11"/>
    </row>
    <row r="53" spans="1:12" x14ac:dyDescent="0.25">
      <c r="A53" s="11"/>
      <c r="B53" s="11"/>
      <c r="C53" s="11"/>
      <c r="D53" s="11"/>
      <c r="E53" s="11"/>
      <c r="F53" s="11"/>
      <c r="G53" s="11"/>
      <c r="H53" s="11"/>
      <c r="I53" s="11"/>
      <c r="J53" s="11"/>
      <c r="K53" s="11"/>
      <c r="L53" s="11"/>
    </row>
    <row r="54" spans="1:12" x14ac:dyDescent="0.25">
      <c r="A54" s="11"/>
      <c r="B54" s="11"/>
      <c r="C54" s="11"/>
      <c r="D54" s="11"/>
      <c r="E54" s="11"/>
      <c r="F54" s="11"/>
      <c r="G54" s="11"/>
      <c r="H54" s="11"/>
      <c r="I54" s="11"/>
      <c r="J54" s="11"/>
      <c r="K54" s="11"/>
      <c r="L54" s="11"/>
    </row>
    <row r="55" spans="1:12" x14ac:dyDescent="0.25">
      <c r="A55" s="11"/>
      <c r="B55" s="11"/>
      <c r="C55" s="11"/>
      <c r="D55" s="11"/>
      <c r="E55" s="11"/>
      <c r="F55" s="11"/>
      <c r="G55" s="11"/>
      <c r="H55" s="11"/>
      <c r="I55" s="11"/>
      <c r="J55" s="11"/>
      <c r="K55" s="11"/>
      <c r="L55" s="11"/>
    </row>
    <row r="56" spans="1:12" x14ac:dyDescent="0.25">
      <c r="A56" s="11"/>
      <c r="B56" s="11"/>
      <c r="C56" s="11"/>
      <c r="D56" s="11"/>
      <c r="E56" s="11"/>
      <c r="F56" s="11"/>
      <c r="G56" s="11"/>
      <c r="H56" s="11"/>
      <c r="I56" s="11"/>
      <c r="J56" s="11"/>
      <c r="K56" s="11"/>
      <c r="L56" s="11"/>
    </row>
    <row r="57" spans="1:12" x14ac:dyDescent="0.25">
      <c r="A57" s="11"/>
      <c r="B57" s="11"/>
      <c r="C57" s="11"/>
      <c r="D57" s="11"/>
      <c r="E57" s="11"/>
      <c r="F57" s="11"/>
      <c r="G57" s="11"/>
      <c r="H57" s="11"/>
      <c r="I57" s="11"/>
      <c r="J57" s="11"/>
      <c r="K57" s="11"/>
      <c r="L57" s="11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InicioGrowth">
                <anchor moveWithCells="1">
                  <from>
                    <xdr:col>0</xdr:col>
                    <xdr:colOff>247650</xdr:colOff>
                    <xdr:row>5</xdr:row>
                    <xdr:rowOff>0</xdr:rowOff>
                  </from>
                  <to>
                    <xdr:col>2</xdr:col>
                    <xdr:colOff>9525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Data-Plot</vt:lpstr>
      <vt:lpstr>TempData</vt:lpstr>
      <vt:lpstr>Growth-Plot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René</dc:creator>
  <cp:lastModifiedBy>René</cp:lastModifiedBy>
  <dcterms:created xsi:type="dcterms:W3CDTF">2024-07-29T17:43:56Z</dcterms:created>
  <dcterms:modified xsi:type="dcterms:W3CDTF">2024-09-25T01:15:32Z</dcterms:modified>
</cp:coreProperties>
</file>