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AB36" i="1" l="1"/>
  <c r="AC36" i="1"/>
  <c r="AD36" i="1"/>
  <c r="AE36" i="1"/>
  <c r="AF36" i="1"/>
  <c r="AB37" i="1"/>
  <c r="AC37" i="1"/>
  <c r="AD37" i="1"/>
  <c r="AE37" i="1"/>
  <c r="AF37" i="1"/>
  <c r="AB38" i="1"/>
  <c r="AC38" i="1"/>
  <c r="AD38" i="1"/>
  <c r="AE38" i="1"/>
  <c r="AF38" i="1"/>
  <c r="AB39" i="1"/>
  <c r="AC39" i="1"/>
  <c r="AD39" i="1"/>
  <c r="AE39" i="1"/>
  <c r="AF39" i="1"/>
  <c r="AB40" i="1"/>
  <c r="AC40" i="1"/>
  <c r="AD40" i="1"/>
  <c r="AE40" i="1"/>
  <c r="AF40" i="1"/>
  <c r="AC35" i="1"/>
  <c r="AD35" i="1"/>
  <c r="AE35" i="1"/>
  <c r="AF35" i="1"/>
  <c r="AB35" i="1"/>
  <c r="AB20" i="1"/>
  <c r="AB19" i="1"/>
  <c r="AB12" i="1"/>
  <c r="AB11" i="1"/>
  <c r="A15" i="2" l="1"/>
  <c r="A14" i="2"/>
  <c r="A16" i="2" l="1"/>
  <c r="A17" i="2"/>
  <c r="AC1" i="2" l="1"/>
  <c r="A274" i="2" l="1"/>
  <c r="A21" i="2" l="1"/>
  <c r="B172" i="2"/>
  <c r="B162" i="2"/>
  <c r="B152" i="2"/>
  <c r="B142" i="2"/>
  <c r="B132" i="2"/>
  <c r="B122" i="2"/>
  <c r="B112" i="2"/>
</calcChain>
</file>

<file path=xl/sharedStrings.xml><?xml version="1.0" encoding="utf-8"?>
<sst xmlns="http://schemas.openxmlformats.org/spreadsheetml/2006/main" count="48" uniqueCount="43">
  <si>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</si>
  <si>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</si>
  <si>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</si>
  <si>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</si>
  <si>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</si>
  <si>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</si>
  <si>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</si>
  <si>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</si>
  <si>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</si>
  <si>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</si>
  <si>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</si>
  <si>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</si>
  <si>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</si>
  <si>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</si>
  <si>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</si>
  <si>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</si>
  <si>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</si>
  <si>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</si>
  <si>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</si>
  <si>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</si>
  <si>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</si>
  <si>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</si>
  <si>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</si>
  <si>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</si>
  <si>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</si>
  <si>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</si>
  <si>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</si>
  <si>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</si>
  <si>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</si>
  <si>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</si>
  <si>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</si>
  <si>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</si>
  <si>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</si>
  <si>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Empty</t>
  </si>
  <si>
    <t>Fit1</t>
  </si>
  <si>
    <t>Peak1</t>
  </si>
  <si>
    <t>P5-351.5</t>
  </si>
  <si>
    <t>P1-183.2</t>
  </si>
  <si>
    <t>P2-211</t>
  </si>
  <si>
    <t>P3-239.9</t>
  </si>
  <si>
    <t>P4-306.9</t>
  </si>
  <si>
    <t>TL (K)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</si>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</sst>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quotePrefix="1" applyFont="1" applyFill="1" applyBorder="1"/>
    <xf numFmtId="0" fontId="8" fillId="0" borderId="0" xfId="0" applyFont="1" applyFill="1"/>
    <xf numFmtId="11" fontId="7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2755008"/>
        <c:axId val="-1922756096"/>
      </c:scatterChart>
      <c:valAx>
        <c:axId val="-1922755008"/>
        <c:scaling>
          <c:orientation val="minMax"/>
          <c:max val="398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922756096"/>
        <c:crosses val="autoZero"/>
        <c:crossBetween val="midCat"/>
        <c:majorUnit val="100"/>
        <c:minorUnit val="50"/>
      </c:valAx>
      <c:valAx>
        <c:axId val="-1922756096"/>
        <c:scaling>
          <c:orientation val="minMax"/>
          <c:max val="3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922755008"/>
        <c:crosses val="autoZero"/>
        <c:crossBetween val="midCat"/>
        <c:majorUnit val="1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2750656"/>
        <c:axId val="-1922756640"/>
      </c:scatterChart>
      <c:valAx>
        <c:axId val="-192275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2756640"/>
        <c:crosses val="autoZero"/>
        <c:crossBetween val="midCat"/>
      </c:valAx>
      <c:valAx>
        <c:axId val="-192275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27506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2755552"/>
        <c:axId val="-1922754464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2755552"/>
        <c:axId val="-1922754464"/>
      </c:scatterChart>
      <c:valAx>
        <c:axId val="-1922755552"/>
        <c:scaling>
          <c:orientation val="minMax"/>
          <c:max val="1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layout/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922754464"/>
        <c:crosses val="autoZero"/>
        <c:crossBetween val="midCat"/>
        <c:majorUnit val="25"/>
      </c:valAx>
      <c:valAx>
        <c:axId val="-1922754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1922755552"/>
        <c:crosses val="autoZero"/>
        <c:crossBetween val="midCat"/>
        <c:majorUnit val="4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/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11" sqref="B11:C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28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28" x14ac:dyDescent="0.25">
      <c r="A2" s="4" t="s">
        <v>9</v>
      </c>
      <c r="B2" s="2" t="s">
        <v>41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28" x14ac:dyDescent="0.25">
      <c r="A3" s="4" t="s">
        <v>10</v>
      </c>
      <c r="B3" s="2" t="s">
        <v>33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28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28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28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28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28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28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28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28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AB11">
        <f>COUNTIF(V11:Z16,"&gt;100")</f>
        <v>0</v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AB12">
        <f>COUNTIF(V11:Z16,"&lt;100")</f>
        <v>0</v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AB19">
        <f>COUNTIF(V19:Z24,"&gt;100")</f>
        <v>0</v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AB20">
        <f>COUNTIF(V19:Z24,"&lt;100")</f>
        <v>0</v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2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2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2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2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2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2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2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2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2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2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2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B35">
        <f>P3-P35</f>
        <v>0</v>
      </c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B36">
        <f t="shared" ref="AB36:AB40" si="1">P4-P36</f>
        <v>0</v>
      </c>
      <c r="AC36">
        <f t="shared" ref="AC36:AC40" si="2">Q4-Q36</f>
        <v>0</v>
      </c>
      <c r="AD36">
        <f t="shared" ref="AD36:AD40" si="3">R4-R36</f>
        <v>0</v>
      </c>
      <c r="AE36">
        <f t="shared" ref="AE36:AE40" si="4">S4-S36</f>
        <v>0</v>
      </c>
      <c r="AF36">
        <f t="shared" ref="AF36:AF40" si="5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B37">
        <f t="shared" si="1"/>
        <v>0</v>
      </c>
      <c r="AC37">
        <f t="shared" si="2"/>
        <v>0</v>
      </c>
      <c r="AD37">
        <f t="shared" si="3"/>
        <v>0</v>
      </c>
      <c r="AE37">
        <f t="shared" si="4"/>
        <v>0</v>
      </c>
      <c r="AF37">
        <f t="shared" si="5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B38">
        <f t="shared" si="1"/>
        <v>0</v>
      </c>
      <c r="AC38">
        <f t="shared" si="2"/>
        <v>0</v>
      </c>
      <c r="AD38">
        <f t="shared" si="3"/>
        <v>0</v>
      </c>
      <c r="AE38">
        <f t="shared" si="4"/>
        <v>0</v>
      </c>
      <c r="AF38">
        <f t="shared" si="5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B39">
        <f t="shared" si="1"/>
        <v>0</v>
      </c>
      <c r="AC39">
        <f t="shared" si="2"/>
        <v>0</v>
      </c>
      <c r="AD39">
        <f t="shared" si="3"/>
        <v>0</v>
      </c>
      <c r="AE39">
        <f t="shared" si="4"/>
        <v>0</v>
      </c>
      <c r="AF39">
        <f t="shared" si="5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B40">
        <f t="shared" si="1"/>
        <v>0</v>
      </c>
      <c r="AC40">
        <f t="shared" si="2"/>
        <v>0</v>
      </c>
      <c r="AD40">
        <f t="shared" si="3"/>
        <v>0</v>
      </c>
      <c r="AE40">
        <f t="shared" si="4"/>
        <v>0</v>
      </c>
      <c r="AF40">
        <f t="shared" si="5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140625" style="16" bestFit="1" customWidth="1"/>
    <col min="2" max="2" width="9.28515625" style="16" bestFit="1" customWidth="1"/>
    <col min="3" max="6" width="11" style="16" bestFit="1" customWidth="1"/>
    <col min="7" max="10" width="9.28515625" style="16" bestFit="1" customWidth="1"/>
    <col min="11" max="11" width="12.140625" style="16" bestFit="1" customWidth="1"/>
    <col min="12" max="12" width="9.28515625" style="16" bestFit="1" customWidth="1"/>
    <col min="13" max="15" width="9.140625" style="16"/>
    <col min="16" max="17" width="9.28515625" style="16" bestFit="1" customWidth="1"/>
    <col min="18" max="18" width="9.140625" style="16"/>
    <col min="19" max="19" width="12" style="16" bestFit="1" customWidth="1"/>
    <col min="20" max="21" width="9.28515625" style="16" bestFit="1" customWidth="1"/>
    <col min="22" max="22" width="11" style="16" bestFit="1" customWidth="1"/>
    <col min="23" max="23" width="12" style="16" bestFit="1" customWidth="1"/>
    <col min="24" max="24" width="9.28515625" style="16" bestFit="1" customWidth="1"/>
    <col min="25" max="28" width="9.140625" style="16"/>
    <col min="29" max="33" width="9.28515625" style="16" bestFit="1" customWidth="1"/>
    <col min="34" max="38" width="12" style="16" bestFit="1" customWidth="1"/>
    <col min="39" max="45" width="9.140625" style="16"/>
    <col min="46" max="48" width="9.28515625" style="16" bestFit="1" customWidth="1"/>
    <col min="49" max="51" width="12" style="16" bestFit="1" customWidth="1"/>
    <col min="52" max="52" width="11" style="16" bestFit="1" customWidth="1"/>
    <col min="53" max="53" width="12" style="16" bestFit="1" customWidth="1"/>
    <col min="54" max="60" width="9.140625" style="16"/>
    <col min="61" max="63" width="9.28515625" style="16" bestFit="1" customWidth="1"/>
    <col min="64" max="68" width="12" style="16" bestFit="1" customWidth="1"/>
    <col min="69" max="75" width="9.140625" style="16"/>
    <col min="76" max="78" width="9.28515625" style="16" bestFit="1" customWidth="1"/>
    <col min="79" max="83" width="12" style="16" bestFit="1" customWidth="1"/>
    <col min="84" max="16384" width="9.140625" style="16"/>
  </cols>
  <sheetData>
    <row r="1" spans="1:29" x14ac:dyDescent="0.25">
      <c r="A1" s="14">
        <v>1000</v>
      </c>
      <c r="B1" s="15" t="s">
        <v>0</v>
      </c>
      <c r="C1" s="15" t="s">
        <v>1</v>
      </c>
      <c r="D1" s="14">
        <v>1</v>
      </c>
      <c r="E1" s="12">
        <v>0</v>
      </c>
      <c r="F1" s="12">
        <v>1</v>
      </c>
      <c r="G1" s="15">
        <v>1</v>
      </c>
      <c r="H1" s="14" t="s">
        <v>22</v>
      </c>
      <c r="I1" s="14"/>
      <c r="J1" s="14"/>
      <c r="K1" s="11"/>
      <c r="AC1" s="16">
        <f>COLUMN()</f>
        <v>29</v>
      </c>
    </row>
    <row r="2" spans="1:29" x14ac:dyDescent="0.25">
      <c r="A2" s="14">
        <v>3</v>
      </c>
      <c r="B2" s="15" t="s">
        <v>28</v>
      </c>
      <c r="C2" s="15" t="s">
        <v>42</v>
      </c>
      <c r="D2" s="12">
        <v>1</v>
      </c>
      <c r="E2" s="12">
        <v>0</v>
      </c>
      <c r="F2" s="12">
        <v>0</v>
      </c>
      <c r="G2" s="13">
        <v>2</v>
      </c>
      <c r="H2" s="12" t="s">
        <v>23</v>
      </c>
      <c r="I2" s="12"/>
      <c r="J2" s="12"/>
      <c r="L2" s="11"/>
      <c r="M2" s="11"/>
      <c r="N2" s="11"/>
    </row>
    <row r="3" spans="1:29" x14ac:dyDescent="0.25">
      <c r="A3" s="14">
        <v>3</v>
      </c>
      <c r="B3" s="14">
        <v>0</v>
      </c>
      <c r="C3" s="14">
        <v>1</v>
      </c>
      <c r="D3" s="13">
        <v>9</v>
      </c>
      <c r="E3" s="12">
        <v>9</v>
      </c>
      <c r="F3" s="12">
        <v>100</v>
      </c>
      <c r="G3" s="13">
        <v>3</v>
      </c>
      <c r="H3" s="11" t="s">
        <v>24</v>
      </c>
      <c r="I3" s="11"/>
      <c r="J3" s="17"/>
      <c r="L3" s="11"/>
      <c r="M3" s="11"/>
      <c r="N3" s="11"/>
    </row>
    <row r="4" spans="1:29" x14ac:dyDescent="0.25">
      <c r="A4" s="14">
        <v>4</v>
      </c>
      <c r="B4" s="15" t="s">
        <v>2</v>
      </c>
      <c r="C4" s="15" t="s">
        <v>1</v>
      </c>
      <c r="D4" s="13" t="s">
        <v>7</v>
      </c>
      <c r="E4" s="12"/>
      <c r="F4" s="12">
        <v>50</v>
      </c>
      <c r="G4" s="13">
        <v>4</v>
      </c>
      <c r="H4" s="16" t="s">
        <v>25</v>
      </c>
    </row>
    <row r="5" spans="1:29" x14ac:dyDescent="0.25">
      <c r="A5" s="14">
        <v>4</v>
      </c>
      <c r="B5" s="15" t="s">
        <v>31</v>
      </c>
      <c r="C5" s="15" t="s">
        <v>32</v>
      </c>
      <c r="D5" s="13" t="s">
        <v>29</v>
      </c>
      <c r="E5" s="12"/>
      <c r="F5" s="12">
        <v>1</v>
      </c>
      <c r="G5" s="13">
        <v>5</v>
      </c>
      <c r="H5" s="16" t="s">
        <v>26</v>
      </c>
      <c r="S5" s="16">
        <v>10</v>
      </c>
    </row>
    <row r="6" spans="1:29" x14ac:dyDescent="0.25">
      <c r="A6" s="14"/>
      <c r="B6" s="16">
        <v>0</v>
      </c>
      <c r="C6" s="16">
        <v>90000</v>
      </c>
      <c r="D6" s="12"/>
      <c r="E6" s="12"/>
      <c r="F6" s="12">
        <v>1</v>
      </c>
      <c r="K6" s="11"/>
      <c r="S6" s="16">
        <v>0</v>
      </c>
    </row>
    <row r="7" spans="1:29" x14ac:dyDescent="0.25">
      <c r="A7" s="14"/>
      <c r="D7" s="12"/>
      <c r="E7" s="11"/>
      <c r="F7" s="11"/>
      <c r="G7" s="11"/>
      <c r="H7" s="11"/>
      <c r="I7" s="11"/>
      <c r="S7" s="16">
        <v>5</v>
      </c>
    </row>
    <row r="8" spans="1:29" x14ac:dyDescent="0.25">
      <c r="A8" s="16" t="s">
        <v>3</v>
      </c>
      <c r="C8" s="16">
        <v>183.03800000000001</v>
      </c>
      <c r="D8" s="16">
        <v>211.047</v>
      </c>
      <c r="E8" s="16">
        <v>239.89599999999999</v>
      </c>
      <c r="F8" s="16">
        <v>304.608</v>
      </c>
      <c r="G8" s="16">
        <v>348.262</v>
      </c>
      <c r="S8" s="16">
        <v>22</v>
      </c>
    </row>
    <row r="9" spans="1:29" x14ac:dyDescent="0.25">
      <c r="A9" s="16" t="s">
        <v>4</v>
      </c>
      <c r="C9" s="16">
        <v>184.77699999999999</v>
      </c>
      <c r="D9" s="16">
        <v>213.34299999999999</v>
      </c>
      <c r="E9" s="16">
        <v>245.34299999999999</v>
      </c>
      <c r="F9" s="16">
        <v>306.87299999999999</v>
      </c>
      <c r="G9" s="16">
        <v>351.53100000000001</v>
      </c>
      <c r="P9" s="16">
        <v>1</v>
      </c>
      <c r="Q9" s="16">
        <v>5</v>
      </c>
    </row>
    <row r="10" spans="1:29" x14ac:dyDescent="0.25">
      <c r="A10" s="16" t="s">
        <v>5</v>
      </c>
      <c r="B10" s="18">
        <v>0</v>
      </c>
      <c r="C10" s="14" t="s">
        <v>34</v>
      </c>
      <c r="E10" s="12" t="s">
        <v>35</v>
      </c>
      <c r="G10" s="12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37</v>
      </c>
      <c r="U10" s="16" t="s">
        <v>38</v>
      </c>
      <c r="V10" s="16" t="s">
        <v>39</v>
      </c>
      <c r="W10" s="16" t="s">
        <v>40</v>
      </c>
      <c r="X10" s="16" t="s">
        <v>36</v>
      </c>
    </row>
    <row r="11" spans="1:29" x14ac:dyDescent="0.25">
      <c r="A11" s="16" t="s">
        <v>6</v>
      </c>
      <c r="B11" s="18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4"/>
      <c r="T11" s="14"/>
      <c r="U11" s="14"/>
      <c r="V11" s="14"/>
      <c r="W11" s="14"/>
      <c r="X11" s="14"/>
    </row>
    <row r="12" spans="1:29" x14ac:dyDescent="0.25">
      <c r="B12" s="18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4"/>
      <c r="T12" s="14"/>
      <c r="U12" s="14"/>
      <c r="V12" s="14"/>
      <c r="W12" s="14"/>
      <c r="X12" s="14"/>
    </row>
    <row r="13" spans="1:29" x14ac:dyDescent="0.25">
      <c r="B13" s="18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4"/>
      <c r="T13" s="14"/>
      <c r="U13" s="14"/>
      <c r="V13" s="14"/>
      <c r="W13" s="14"/>
      <c r="X13" s="14"/>
    </row>
    <row r="14" spans="1:29" x14ac:dyDescent="0.25">
      <c r="A14" s="16" t="str">
        <f>0&amp;"."&amp;5</f>
        <v>0.5</v>
      </c>
      <c r="B14" s="18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4"/>
      <c r="T14" s="14"/>
      <c r="U14" s="14"/>
      <c r="V14" s="14"/>
      <c r="W14" s="14"/>
      <c r="X14" s="14"/>
    </row>
    <row r="15" spans="1:29" x14ac:dyDescent="0.25">
      <c r="A15" s="16">
        <f>1/2</f>
        <v>0.5</v>
      </c>
      <c r="B15" s="18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4"/>
      <c r="T15" s="14"/>
      <c r="U15" s="14"/>
      <c r="V15" s="14"/>
      <c r="W15" s="14"/>
      <c r="X15" s="14"/>
    </row>
    <row r="16" spans="1:29" x14ac:dyDescent="0.25">
      <c r="A16" s="16">
        <f>IFERROR(VALUE(A14)+VALUE(A15),0)</f>
        <v>1</v>
      </c>
      <c r="B16" s="18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4"/>
      <c r="T16" s="14"/>
      <c r="U16" s="14"/>
      <c r="V16" s="14"/>
      <c r="W16" s="14"/>
      <c r="X16" s="14"/>
    </row>
    <row r="17" spans="1:24" x14ac:dyDescent="0.25">
      <c r="A17" s="16">
        <f>VALUE(A14)</f>
        <v>0.5</v>
      </c>
      <c r="B17" s="18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4"/>
      <c r="T17" s="14"/>
      <c r="U17" s="14"/>
      <c r="V17" s="14"/>
      <c r="W17" s="14"/>
      <c r="X17" s="14"/>
    </row>
    <row r="18" spans="1:24" x14ac:dyDescent="0.25">
      <c r="B18" s="18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4"/>
      <c r="T18" s="14"/>
      <c r="U18" s="14"/>
      <c r="V18" s="14"/>
      <c r="W18" s="14"/>
      <c r="X18" s="14"/>
    </row>
    <row r="19" spans="1:24" x14ac:dyDescent="0.25">
      <c r="B19" s="18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4"/>
      <c r="T19" s="14"/>
      <c r="U19" s="14"/>
      <c r="V19" s="14"/>
      <c r="W19" s="14"/>
      <c r="X19" s="14"/>
    </row>
    <row r="20" spans="1:24" x14ac:dyDescent="0.25">
      <c r="A20" s="16">
        <v>0</v>
      </c>
      <c r="B20" s="18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4"/>
      <c r="T20" s="14"/>
      <c r="U20" s="14"/>
      <c r="V20" s="14"/>
      <c r="W20" s="14"/>
      <c r="X20" s="14"/>
    </row>
    <row r="21" spans="1:24" x14ac:dyDescent="0.25">
      <c r="A21" s="16">
        <f>COUNTA(A22:A271)</f>
        <v>0</v>
      </c>
      <c r="B21" s="18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4"/>
      <c r="T21" s="14"/>
      <c r="U21" s="14"/>
      <c r="V21" s="14"/>
      <c r="W21" s="14"/>
      <c r="X21" s="14"/>
    </row>
    <row r="22" spans="1:24" x14ac:dyDescent="0.25">
      <c r="B22" s="18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4"/>
      <c r="T22" s="14"/>
      <c r="U22" s="14"/>
      <c r="V22" s="14"/>
      <c r="W22" s="14"/>
      <c r="X22" s="14"/>
    </row>
    <row r="23" spans="1:24" x14ac:dyDescent="0.25">
      <c r="B23" s="18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4"/>
      <c r="T23" s="14"/>
      <c r="U23" s="14"/>
      <c r="V23" s="14"/>
      <c r="W23" s="14"/>
      <c r="X23" s="14"/>
    </row>
    <row r="24" spans="1:24" x14ac:dyDescent="0.25">
      <c r="B24" s="18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4"/>
      <c r="T24" s="14"/>
      <c r="U24" s="14"/>
      <c r="V24" s="14"/>
      <c r="W24" s="14"/>
      <c r="X24" s="14"/>
    </row>
    <row r="25" spans="1:24" x14ac:dyDescent="0.25">
      <c r="B25" s="18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4"/>
      <c r="T25" s="14"/>
      <c r="U25" s="14"/>
      <c r="V25" s="14"/>
      <c r="W25" s="14"/>
      <c r="X25" s="14"/>
    </row>
    <row r="26" spans="1:24" x14ac:dyDescent="0.25">
      <c r="B26" s="18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4"/>
      <c r="T26" s="14"/>
      <c r="U26" s="14"/>
      <c r="V26" s="14"/>
      <c r="W26" s="14"/>
      <c r="X26" s="14"/>
    </row>
    <row r="27" spans="1:24" x14ac:dyDescent="0.25">
      <c r="B27" s="18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4"/>
      <c r="T27" s="14"/>
      <c r="U27" s="14"/>
      <c r="V27" s="14"/>
      <c r="W27" s="14"/>
      <c r="X27" s="14"/>
    </row>
    <row r="28" spans="1:24" x14ac:dyDescent="0.25">
      <c r="B28" s="18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4"/>
      <c r="T28" s="14"/>
      <c r="U28" s="14"/>
      <c r="V28" s="14"/>
      <c r="W28" s="14"/>
      <c r="X28" s="14"/>
    </row>
    <row r="29" spans="1:24" x14ac:dyDescent="0.25">
      <c r="B29" s="18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4"/>
      <c r="T29" s="14"/>
      <c r="U29" s="14"/>
      <c r="V29" s="14"/>
      <c r="W29" s="14"/>
      <c r="X29" s="14"/>
    </row>
    <row r="30" spans="1:24" x14ac:dyDescent="0.25">
      <c r="B30" s="18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4"/>
      <c r="T30" s="14"/>
      <c r="U30" s="14"/>
      <c r="V30" s="14"/>
      <c r="W30" s="14"/>
      <c r="X30" s="14"/>
    </row>
    <row r="31" spans="1:24" x14ac:dyDescent="0.25">
      <c r="B31" s="18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4"/>
      <c r="T31" s="14"/>
      <c r="U31" s="14"/>
      <c r="V31" s="14"/>
      <c r="W31" s="14"/>
      <c r="X31" s="14"/>
    </row>
    <row r="32" spans="1:24" x14ac:dyDescent="0.25">
      <c r="B32" s="18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4"/>
      <c r="T32" s="14"/>
      <c r="U32" s="14"/>
      <c r="V32" s="14"/>
      <c r="W32" s="14"/>
      <c r="X32" s="14"/>
    </row>
    <row r="33" spans="2:24" x14ac:dyDescent="0.25">
      <c r="B33" s="18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4"/>
      <c r="T33" s="14"/>
      <c r="U33" s="14"/>
      <c r="V33" s="14"/>
      <c r="W33" s="14"/>
      <c r="X33" s="14"/>
    </row>
    <row r="34" spans="2:24" x14ac:dyDescent="0.25">
      <c r="B34" s="18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4"/>
      <c r="T34" s="14"/>
      <c r="U34" s="14"/>
      <c r="V34" s="14"/>
      <c r="W34" s="14"/>
      <c r="X34" s="14"/>
    </row>
    <row r="35" spans="2:24" x14ac:dyDescent="0.25">
      <c r="B35" s="18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4"/>
      <c r="T35" s="14"/>
      <c r="U35" s="14"/>
      <c r="V35" s="14"/>
      <c r="W35" s="14"/>
      <c r="X35" s="14"/>
    </row>
    <row r="36" spans="2:24" x14ac:dyDescent="0.25">
      <c r="B36" s="18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4"/>
      <c r="T36" s="14"/>
      <c r="U36" s="14"/>
      <c r="V36" s="14"/>
      <c r="W36" s="14"/>
      <c r="X36" s="14"/>
    </row>
    <row r="37" spans="2:24" x14ac:dyDescent="0.25">
      <c r="B37" s="18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4"/>
      <c r="T37" s="14"/>
      <c r="U37" s="14"/>
      <c r="V37" s="14"/>
      <c r="W37" s="14"/>
      <c r="X37" s="14"/>
    </row>
    <row r="38" spans="2:24" x14ac:dyDescent="0.25">
      <c r="B38" s="18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4"/>
      <c r="T38" s="14"/>
      <c r="U38" s="14"/>
      <c r="V38" s="14"/>
      <c r="W38" s="14"/>
      <c r="X38" s="14"/>
    </row>
    <row r="39" spans="2:24" x14ac:dyDescent="0.25">
      <c r="B39" s="18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4"/>
      <c r="T39" s="14"/>
      <c r="U39" s="14"/>
      <c r="V39" s="14"/>
      <c r="W39" s="14"/>
      <c r="X39" s="14"/>
    </row>
    <row r="40" spans="2:24" x14ac:dyDescent="0.25">
      <c r="B40" s="18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4"/>
      <c r="T40" s="14"/>
      <c r="U40" s="14"/>
      <c r="V40" s="14"/>
      <c r="W40" s="14"/>
      <c r="X40" s="14"/>
    </row>
    <row r="41" spans="2:24" x14ac:dyDescent="0.25">
      <c r="B41" s="18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4"/>
      <c r="T41" s="14"/>
      <c r="U41" s="14"/>
      <c r="V41" s="14"/>
      <c r="W41" s="14"/>
      <c r="X41" s="14"/>
    </row>
    <row r="42" spans="2:24" x14ac:dyDescent="0.25">
      <c r="B42" s="18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4"/>
      <c r="T42" s="14"/>
      <c r="U42" s="14"/>
      <c r="V42" s="14"/>
      <c r="W42" s="14"/>
      <c r="X42" s="14"/>
    </row>
    <row r="43" spans="2:24" x14ac:dyDescent="0.25">
      <c r="B43" s="18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4"/>
      <c r="T43" s="14"/>
      <c r="U43" s="14"/>
      <c r="V43" s="14"/>
      <c r="W43" s="14"/>
      <c r="X43" s="14"/>
    </row>
    <row r="44" spans="2:24" x14ac:dyDescent="0.25">
      <c r="B44" s="18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4"/>
      <c r="T44" s="14"/>
      <c r="U44" s="14"/>
      <c r="V44" s="14"/>
      <c r="W44" s="14"/>
      <c r="X44" s="14"/>
    </row>
    <row r="45" spans="2:24" x14ac:dyDescent="0.25">
      <c r="B45" s="18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4"/>
      <c r="T45" s="14"/>
      <c r="U45" s="14"/>
      <c r="V45" s="14"/>
      <c r="W45" s="14"/>
      <c r="X45" s="14"/>
    </row>
    <row r="46" spans="2:24" x14ac:dyDescent="0.25">
      <c r="B46" s="18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4"/>
      <c r="T46" s="14"/>
      <c r="U46" s="14"/>
      <c r="V46" s="14"/>
      <c r="W46" s="14"/>
      <c r="X46" s="14"/>
    </row>
    <row r="47" spans="2:24" x14ac:dyDescent="0.25">
      <c r="B47" s="18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4"/>
      <c r="T47" s="14"/>
      <c r="U47" s="14"/>
      <c r="V47" s="14"/>
      <c r="W47" s="14"/>
      <c r="X47" s="14"/>
    </row>
    <row r="48" spans="2:24" x14ac:dyDescent="0.25">
      <c r="B48" s="18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4"/>
      <c r="T48" s="14"/>
      <c r="U48" s="14"/>
      <c r="V48" s="14"/>
      <c r="W48" s="14"/>
      <c r="X48" s="14"/>
    </row>
    <row r="49" spans="2:24" x14ac:dyDescent="0.25">
      <c r="B49" s="18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4"/>
      <c r="T49" s="14"/>
      <c r="U49" s="14"/>
      <c r="V49" s="14"/>
      <c r="W49" s="14"/>
      <c r="X49" s="14"/>
    </row>
    <row r="50" spans="2:24" x14ac:dyDescent="0.25">
      <c r="B50" s="18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4"/>
      <c r="T50" s="14"/>
      <c r="U50" s="14"/>
      <c r="V50" s="14"/>
      <c r="W50" s="14"/>
      <c r="X50" s="14"/>
    </row>
    <row r="51" spans="2:24" x14ac:dyDescent="0.25">
      <c r="B51" s="18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4"/>
      <c r="T51" s="14"/>
      <c r="U51" s="14"/>
      <c r="V51" s="14"/>
      <c r="W51" s="14"/>
      <c r="X51" s="14"/>
    </row>
    <row r="52" spans="2:24" x14ac:dyDescent="0.25">
      <c r="B52" s="18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4"/>
      <c r="T52" s="14"/>
      <c r="U52" s="14"/>
      <c r="V52" s="14"/>
      <c r="W52" s="14"/>
      <c r="X52" s="14"/>
    </row>
    <row r="53" spans="2:24" x14ac:dyDescent="0.25">
      <c r="B53" s="18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4"/>
      <c r="T53" s="14"/>
      <c r="U53" s="14"/>
      <c r="V53" s="14"/>
      <c r="W53" s="14"/>
      <c r="X53" s="14"/>
    </row>
    <row r="54" spans="2:24" x14ac:dyDescent="0.25">
      <c r="B54" s="18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4"/>
      <c r="T54" s="14"/>
      <c r="U54" s="14"/>
      <c r="V54" s="14"/>
      <c r="W54" s="14"/>
      <c r="X54" s="14"/>
    </row>
    <row r="55" spans="2:24" x14ac:dyDescent="0.25">
      <c r="B55" s="18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4"/>
      <c r="T55" s="14"/>
      <c r="U55" s="14"/>
      <c r="V55" s="14"/>
      <c r="W55" s="14"/>
      <c r="X55" s="14"/>
    </row>
    <row r="56" spans="2:24" x14ac:dyDescent="0.25">
      <c r="B56" s="18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4"/>
      <c r="T56" s="14"/>
      <c r="U56" s="14"/>
      <c r="V56" s="14"/>
      <c r="W56" s="14"/>
      <c r="X56" s="14"/>
    </row>
    <row r="57" spans="2:24" x14ac:dyDescent="0.25">
      <c r="B57" s="18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4"/>
      <c r="T57" s="14"/>
      <c r="U57" s="14"/>
      <c r="V57" s="14"/>
      <c r="W57" s="14"/>
      <c r="X57" s="14"/>
    </row>
    <row r="58" spans="2:24" x14ac:dyDescent="0.25">
      <c r="B58" s="18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4"/>
      <c r="T58" s="14"/>
      <c r="U58" s="14"/>
      <c r="V58" s="14"/>
      <c r="W58" s="14"/>
      <c r="X58" s="14"/>
    </row>
    <row r="59" spans="2:24" x14ac:dyDescent="0.25">
      <c r="B59" s="18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4"/>
      <c r="T59" s="14"/>
      <c r="U59" s="14"/>
      <c r="V59" s="14"/>
      <c r="W59" s="14"/>
      <c r="X59" s="14"/>
    </row>
    <row r="60" spans="2:24" x14ac:dyDescent="0.25">
      <c r="B60" s="18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4"/>
      <c r="T60" s="14"/>
      <c r="U60" s="14"/>
      <c r="V60" s="14"/>
      <c r="W60" s="14"/>
      <c r="X60" s="14"/>
    </row>
    <row r="61" spans="2:24" x14ac:dyDescent="0.25">
      <c r="B61" s="18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4"/>
      <c r="T61" s="14"/>
      <c r="U61" s="14"/>
      <c r="V61" s="14"/>
      <c r="W61" s="14"/>
      <c r="X61" s="14"/>
    </row>
    <row r="62" spans="2:24" x14ac:dyDescent="0.25">
      <c r="B62" s="18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4"/>
      <c r="T62" s="14"/>
      <c r="U62" s="14"/>
      <c r="V62" s="14"/>
      <c r="W62" s="14"/>
      <c r="X62" s="14"/>
    </row>
    <row r="63" spans="2:24" x14ac:dyDescent="0.25">
      <c r="B63" s="18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4"/>
      <c r="T63" s="14"/>
      <c r="U63" s="14"/>
      <c r="V63" s="14"/>
      <c r="W63" s="14"/>
      <c r="X63" s="14"/>
    </row>
    <row r="64" spans="2:24" x14ac:dyDescent="0.25">
      <c r="B64" s="18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4"/>
      <c r="T64" s="14"/>
      <c r="U64" s="14"/>
      <c r="V64" s="14"/>
      <c r="W64" s="14"/>
      <c r="X64" s="14"/>
    </row>
    <row r="65" spans="2:24" x14ac:dyDescent="0.25">
      <c r="B65" s="18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4"/>
      <c r="T65" s="14"/>
      <c r="U65" s="14"/>
      <c r="V65" s="14"/>
      <c r="W65" s="14"/>
      <c r="X65" s="14"/>
    </row>
    <row r="66" spans="2:24" x14ac:dyDescent="0.25">
      <c r="B66" s="18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4"/>
      <c r="T66" s="14"/>
      <c r="U66" s="14"/>
      <c r="V66" s="14"/>
      <c r="W66" s="14"/>
      <c r="X66" s="14"/>
    </row>
    <row r="67" spans="2:24" x14ac:dyDescent="0.25">
      <c r="B67" s="18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4"/>
      <c r="T67" s="14"/>
      <c r="U67" s="14"/>
      <c r="V67" s="14"/>
      <c r="W67" s="14"/>
      <c r="X67" s="14"/>
    </row>
    <row r="68" spans="2:24" x14ac:dyDescent="0.25">
      <c r="B68" s="18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4"/>
      <c r="T68" s="14"/>
      <c r="U68" s="14"/>
      <c r="V68" s="14"/>
      <c r="W68" s="14"/>
      <c r="X68" s="14"/>
    </row>
    <row r="69" spans="2:24" x14ac:dyDescent="0.25">
      <c r="B69" s="18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4"/>
      <c r="T69" s="14"/>
      <c r="U69" s="14"/>
      <c r="V69" s="14"/>
      <c r="W69" s="14"/>
      <c r="X69" s="14"/>
    </row>
    <row r="70" spans="2:24" x14ac:dyDescent="0.25">
      <c r="B70" s="18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4"/>
      <c r="T70" s="14"/>
      <c r="U70" s="14"/>
      <c r="V70" s="14"/>
      <c r="W70" s="14"/>
      <c r="X70" s="14"/>
    </row>
    <row r="71" spans="2:24" x14ac:dyDescent="0.25">
      <c r="B71" s="18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4"/>
      <c r="T71" s="14"/>
      <c r="U71" s="14"/>
      <c r="V71" s="14"/>
      <c r="W71" s="14"/>
      <c r="X71" s="14"/>
    </row>
    <row r="72" spans="2:24" x14ac:dyDescent="0.25">
      <c r="B72" s="18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4"/>
      <c r="T72" s="14"/>
      <c r="U72" s="14"/>
      <c r="V72" s="14"/>
      <c r="W72" s="14"/>
      <c r="X72" s="14"/>
    </row>
    <row r="73" spans="2:24" x14ac:dyDescent="0.25">
      <c r="B73" s="18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4"/>
      <c r="T73" s="14"/>
      <c r="U73" s="14"/>
      <c r="V73" s="14"/>
      <c r="W73" s="14"/>
      <c r="X73" s="14"/>
    </row>
    <row r="74" spans="2:24" x14ac:dyDescent="0.25">
      <c r="B74" s="18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4"/>
      <c r="T74" s="14"/>
      <c r="U74" s="14"/>
      <c r="V74" s="14"/>
      <c r="W74" s="14"/>
      <c r="X74" s="14"/>
    </row>
    <row r="75" spans="2:24" x14ac:dyDescent="0.25">
      <c r="B75" s="18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4"/>
      <c r="T75" s="14"/>
      <c r="U75" s="14"/>
      <c r="V75" s="14"/>
      <c r="W75" s="14"/>
      <c r="X75" s="14"/>
    </row>
    <row r="76" spans="2:24" x14ac:dyDescent="0.25">
      <c r="B76" s="18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4"/>
      <c r="T76" s="14"/>
      <c r="U76" s="14"/>
      <c r="V76" s="14"/>
      <c r="W76" s="14"/>
      <c r="X76" s="14"/>
    </row>
    <row r="77" spans="2:24" x14ac:dyDescent="0.25">
      <c r="B77" s="18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4"/>
      <c r="T77" s="14"/>
      <c r="U77" s="14"/>
      <c r="V77" s="14"/>
      <c r="W77" s="14"/>
      <c r="X77" s="14"/>
    </row>
    <row r="78" spans="2:24" x14ac:dyDescent="0.25">
      <c r="B78" s="18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4"/>
      <c r="T78" s="14"/>
      <c r="U78" s="14"/>
      <c r="V78" s="14"/>
      <c r="W78" s="14"/>
      <c r="X78" s="14"/>
    </row>
    <row r="79" spans="2:24" x14ac:dyDescent="0.25">
      <c r="B79" s="18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4"/>
      <c r="T79" s="14"/>
      <c r="U79" s="14"/>
      <c r="V79" s="14"/>
      <c r="W79" s="14"/>
      <c r="X79" s="14"/>
    </row>
    <row r="80" spans="2:24" x14ac:dyDescent="0.25">
      <c r="B80" s="18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4"/>
      <c r="T80" s="14"/>
      <c r="U80" s="14"/>
      <c r="V80" s="14"/>
      <c r="W80" s="14"/>
      <c r="X80" s="14"/>
    </row>
    <row r="81" spans="2:24" x14ac:dyDescent="0.25">
      <c r="B81" s="18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4"/>
      <c r="T81" s="14"/>
      <c r="U81" s="14"/>
      <c r="V81" s="14"/>
      <c r="W81" s="14"/>
      <c r="X81" s="14"/>
    </row>
    <row r="82" spans="2:24" x14ac:dyDescent="0.25">
      <c r="B82" s="18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4"/>
      <c r="T82" s="14"/>
      <c r="U82" s="14"/>
      <c r="V82" s="14"/>
      <c r="W82" s="14"/>
      <c r="X82" s="14"/>
    </row>
    <row r="83" spans="2:24" x14ac:dyDescent="0.25">
      <c r="B83" s="18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4"/>
      <c r="T83" s="14"/>
      <c r="U83" s="14"/>
      <c r="V83" s="14"/>
      <c r="W83" s="14"/>
      <c r="X83" s="14"/>
    </row>
    <row r="84" spans="2:24" x14ac:dyDescent="0.25">
      <c r="B84" s="18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4"/>
      <c r="T84" s="14"/>
      <c r="U84" s="14"/>
      <c r="V84" s="14"/>
      <c r="W84" s="14"/>
      <c r="X84" s="14"/>
    </row>
    <row r="85" spans="2:24" x14ac:dyDescent="0.25">
      <c r="B85" s="18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4"/>
      <c r="T85" s="14"/>
      <c r="U85" s="14"/>
      <c r="V85" s="14"/>
      <c r="W85" s="14"/>
      <c r="X85" s="14"/>
    </row>
    <row r="86" spans="2:24" x14ac:dyDescent="0.25">
      <c r="B86" s="18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4"/>
      <c r="T86" s="14"/>
      <c r="U86" s="14"/>
      <c r="V86" s="14"/>
      <c r="W86" s="14"/>
      <c r="X86" s="14"/>
    </row>
    <row r="87" spans="2:24" x14ac:dyDescent="0.25">
      <c r="B87" s="18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4"/>
      <c r="T87" s="14"/>
      <c r="U87" s="14"/>
      <c r="V87" s="14"/>
      <c r="W87" s="14"/>
      <c r="X87" s="14"/>
    </row>
    <row r="88" spans="2:24" x14ac:dyDescent="0.25">
      <c r="B88" s="18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4"/>
      <c r="T88" s="14"/>
      <c r="U88" s="14"/>
      <c r="V88" s="14"/>
      <c r="W88" s="14"/>
      <c r="X88" s="14"/>
    </row>
    <row r="89" spans="2:24" x14ac:dyDescent="0.25">
      <c r="B89" s="18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4"/>
      <c r="T89" s="14"/>
      <c r="U89" s="14"/>
      <c r="V89" s="14"/>
      <c r="W89" s="14"/>
      <c r="X89" s="14"/>
    </row>
    <row r="90" spans="2:24" x14ac:dyDescent="0.25">
      <c r="B90" s="18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4"/>
      <c r="T90" s="14"/>
      <c r="U90" s="14"/>
      <c r="V90" s="14"/>
      <c r="W90" s="14"/>
      <c r="X90" s="14"/>
    </row>
    <row r="91" spans="2:24" x14ac:dyDescent="0.25">
      <c r="B91" s="18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4"/>
      <c r="T91" s="14"/>
      <c r="U91" s="14"/>
      <c r="V91" s="14"/>
      <c r="W91" s="14"/>
      <c r="X91" s="14"/>
    </row>
    <row r="92" spans="2:24" x14ac:dyDescent="0.25">
      <c r="B92" s="18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4"/>
      <c r="T92" s="14"/>
      <c r="U92" s="14"/>
      <c r="V92" s="14"/>
      <c r="W92" s="14"/>
      <c r="X92" s="14"/>
    </row>
    <row r="93" spans="2:24" x14ac:dyDescent="0.25">
      <c r="B93" s="18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4"/>
      <c r="T93" s="14"/>
      <c r="U93" s="14"/>
      <c r="V93" s="14"/>
      <c r="W93" s="14"/>
      <c r="X93" s="14"/>
    </row>
    <row r="94" spans="2:24" x14ac:dyDescent="0.25">
      <c r="B94" s="18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4"/>
      <c r="T94" s="14"/>
      <c r="U94" s="14"/>
      <c r="V94" s="14"/>
      <c r="W94" s="14"/>
      <c r="X94" s="14"/>
    </row>
    <row r="95" spans="2:24" x14ac:dyDescent="0.25">
      <c r="B95" s="18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4"/>
      <c r="T95" s="14"/>
      <c r="U95" s="14"/>
      <c r="V95" s="14"/>
      <c r="W95" s="14"/>
      <c r="X95" s="14"/>
    </row>
    <row r="96" spans="2:24" x14ac:dyDescent="0.25">
      <c r="B96" s="18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4"/>
      <c r="T96" s="14"/>
      <c r="U96" s="14"/>
      <c r="V96" s="14"/>
      <c r="W96" s="14"/>
      <c r="X96" s="14"/>
    </row>
    <row r="97" spans="2:24" x14ac:dyDescent="0.25">
      <c r="B97" s="18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4"/>
      <c r="T97" s="14"/>
      <c r="U97" s="14"/>
      <c r="V97" s="14"/>
      <c r="W97" s="14"/>
      <c r="X97" s="14"/>
    </row>
    <row r="98" spans="2:24" x14ac:dyDescent="0.25">
      <c r="B98" s="18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4"/>
      <c r="T98" s="14"/>
      <c r="U98" s="14"/>
      <c r="V98" s="14"/>
      <c r="W98" s="14"/>
      <c r="X98" s="14"/>
    </row>
    <row r="99" spans="2:24" x14ac:dyDescent="0.25">
      <c r="B99" s="18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4"/>
      <c r="T99" s="14"/>
      <c r="U99" s="14"/>
      <c r="V99" s="14"/>
      <c r="W99" s="14"/>
      <c r="X99" s="14"/>
    </row>
    <row r="100" spans="2:24" x14ac:dyDescent="0.25">
      <c r="B100" s="18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4"/>
      <c r="T100" s="14"/>
      <c r="U100" s="14"/>
      <c r="V100" s="14"/>
      <c r="W100" s="14"/>
      <c r="X100" s="14"/>
    </row>
    <row r="101" spans="2:24" x14ac:dyDescent="0.25">
      <c r="B101" s="18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4"/>
      <c r="T101" s="14"/>
      <c r="U101" s="14"/>
      <c r="V101" s="14"/>
      <c r="W101" s="14"/>
      <c r="X101" s="14"/>
    </row>
    <row r="102" spans="2:24" x14ac:dyDescent="0.25">
      <c r="B102" s="18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4"/>
      <c r="T102" s="14"/>
      <c r="U102" s="14"/>
      <c r="V102" s="14"/>
      <c r="W102" s="14"/>
      <c r="X102" s="14"/>
    </row>
    <row r="103" spans="2:24" x14ac:dyDescent="0.25">
      <c r="B103" s="18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4"/>
      <c r="T103" s="14"/>
      <c r="U103" s="14"/>
      <c r="V103" s="14"/>
      <c r="W103" s="14"/>
      <c r="X103" s="14"/>
    </row>
    <row r="104" spans="2:24" x14ac:dyDescent="0.25">
      <c r="B104" s="18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4"/>
      <c r="T104" s="14"/>
      <c r="U104" s="14"/>
      <c r="V104" s="14"/>
      <c r="W104" s="14"/>
      <c r="X104" s="14"/>
    </row>
    <row r="105" spans="2:24" x14ac:dyDescent="0.25">
      <c r="B105" s="18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4"/>
      <c r="T105" s="14"/>
      <c r="U105" s="14"/>
      <c r="V105" s="14"/>
      <c r="W105" s="14"/>
      <c r="X105" s="14"/>
    </row>
    <row r="106" spans="2:24" x14ac:dyDescent="0.25">
      <c r="B106" s="18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4"/>
      <c r="T106" s="14"/>
      <c r="U106" s="14"/>
      <c r="V106" s="14"/>
      <c r="W106" s="14"/>
      <c r="X106" s="14"/>
    </row>
    <row r="107" spans="2:24" x14ac:dyDescent="0.25">
      <c r="B107" s="18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4"/>
      <c r="T107" s="14"/>
      <c r="U107" s="14"/>
      <c r="V107" s="14"/>
      <c r="W107" s="14"/>
      <c r="X107" s="14"/>
    </row>
    <row r="108" spans="2:24" x14ac:dyDescent="0.25">
      <c r="B108" s="18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4"/>
      <c r="T108" s="14"/>
      <c r="U108" s="14"/>
      <c r="V108" s="14"/>
      <c r="W108" s="14"/>
      <c r="X108" s="14"/>
    </row>
    <row r="109" spans="2:24" x14ac:dyDescent="0.25">
      <c r="B109" s="18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4"/>
      <c r="T109" s="14"/>
      <c r="U109" s="14"/>
      <c r="V109" s="14"/>
      <c r="W109" s="14"/>
      <c r="X109" s="14"/>
    </row>
    <row r="110" spans="2:24" x14ac:dyDescent="0.25">
      <c r="B110" s="18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4"/>
      <c r="T110" s="14"/>
      <c r="U110" s="14"/>
      <c r="V110" s="14"/>
      <c r="W110" s="14"/>
      <c r="X110" s="14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4"/>
      <c r="T111" s="14"/>
      <c r="U111" s="14"/>
      <c r="V111" s="14"/>
      <c r="W111" s="14"/>
      <c r="X111" s="14"/>
    </row>
    <row r="112" spans="2:24" x14ac:dyDescent="0.25">
      <c r="B112" s="16">
        <f>COUNTIF(C112:L112,"&lt;&gt;1")</f>
        <v>10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4"/>
      <c r="T112" s="14"/>
      <c r="U112" s="14"/>
      <c r="V112" s="14"/>
      <c r="W112" s="14"/>
      <c r="X112" s="14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4"/>
      <c r="T113" s="14"/>
      <c r="U113" s="14"/>
      <c r="V113" s="14"/>
      <c r="W113" s="14"/>
      <c r="X113" s="14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4"/>
      <c r="T114" s="14"/>
      <c r="U114" s="14"/>
      <c r="V114" s="14"/>
      <c r="W114" s="14"/>
      <c r="X114" s="14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4"/>
      <c r="T115" s="14"/>
      <c r="U115" s="14"/>
      <c r="V115" s="14"/>
      <c r="W115" s="14"/>
      <c r="X115" s="14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4"/>
      <c r="T116" s="14"/>
      <c r="U116" s="14"/>
      <c r="V116" s="14"/>
      <c r="W116" s="14"/>
      <c r="X116" s="14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4"/>
      <c r="T117" s="14"/>
      <c r="U117" s="14"/>
      <c r="V117" s="14"/>
      <c r="W117" s="14"/>
      <c r="X117" s="14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4"/>
      <c r="T118" s="14"/>
      <c r="U118" s="14"/>
      <c r="V118" s="14"/>
      <c r="W118" s="14"/>
      <c r="X118" s="14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4"/>
      <c r="T119" s="14"/>
      <c r="U119" s="14"/>
      <c r="V119" s="14"/>
      <c r="W119" s="14"/>
      <c r="X119" s="14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4"/>
      <c r="T120" s="14"/>
      <c r="U120" s="14"/>
      <c r="V120" s="14"/>
      <c r="W120" s="14"/>
      <c r="X120" s="14"/>
    </row>
    <row r="121" spans="2:24" x14ac:dyDescent="0.25"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4"/>
      <c r="T121" s="14"/>
      <c r="U121" s="14"/>
      <c r="V121" s="14"/>
      <c r="W121" s="14"/>
      <c r="X121" s="14"/>
    </row>
    <row r="122" spans="2:24" x14ac:dyDescent="0.25">
      <c r="B122" s="16">
        <f>COUNTIF(C122:L122,"&lt;&gt;1")</f>
        <v>10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4"/>
      <c r="T122" s="14"/>
      <c r="U122" s="14"/>
      <c r="V122" s="14"/>
      <c r="W122" s="14"/>
      <c r="X122" s="14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4"/>
      <c r="T123" s="14"/>
      <c r="U123" s="14"/>
      <c r="V123" s="14"/>
      <c r="W123" s="14"/>
      <c r="X123" s="14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4"/>
      <c r="T124" s="14"/>
      <c r="U124" s="14"/>
      <c r="V124" s="14"/>
      <c r="W124" s="14"/>
      <c r="X124" s="14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4"/>
      <c r="T125" s="14"/>
      <c r="U125" s="14"/>
      <c r="V125" s="14"/>
      <c r="W125" s="14"/>
      <c r="X125" s="14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4"/>
      <c r="T126" s="14"/>
      <c r="U126" s="14"/>
      <c r="V126" s="14"/>
      <c r="W126" s="14"/>
      <c r="X126" s="14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4"/>
      <c r="T127" s="14"/>
      <c r="U127" s="14"/>
      <c r="V127" s="14"/>
      <c r="W127" s="14"/>
      <c r="X127" s="14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4"/>
      <c r="T128" s="14"/>
      <c r="U128" s="14"/>
      <c r="V128" s="14"/>
      <c r="W128" s="14"/>
      <c r="X128" s="14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G131" s="19"/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COUNTIF(C132:L132,"&lt;&gt;1")</f>
        <v>10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COUNTIF(C142:L142,"&lt;&gt;1")</f>
        <v>10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COUNTIF(C152:L152,"&lt;&gt;1")</f>
        <v>10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COUNTIF(C162:L162,"&lt;&gt;1")</f>
        <v>10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COUNTIF(C172:L172,"&lt;&gt;1")</f>
        <v>10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4624.0890547656136</v>
      </c>
      <c r="T201" s="16">
        <v>3.201015849900589</v>
      </c>
      <c r="U201" s="16">
        <v>6.546959066465627E-3</v>
      </c>
      <c r="V201" s="16">
        <v>6.9435575427952907</v>
      </c>
      <c r="W201" s="16">
        <v>1.3522724999146482E-6</v>
      </c>
      <c r="X201" s="16">
        <v>4613.9379330615784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4330.1679461843905</v>
      </c>
      <c r="T202" s="16">
        <v>2.9875292065271015</v>
      </c>
      <c r="U202" s="16">
        <v>5.6278894710046091E-3</v>
      </c>
      <c r="V202" s="16">
        <v>6.4190467508452054</v>
      </c>
      <c r="W202" s="16">
        <v>3.4978585785521377E-7</v>
      </c>
      <c r="X202" s="16">
        <v>4320.7557419877612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4048.8423417184526</v>
      </c>
      <c r="T203" s="16">
        <v>2.7893433300955661</v>
      </c>
      <c r="U203" s="16">
        <v>4.8419398447452165E-3</v>
      </c>
      <c r="V203" s="16">
        <v>5.936697333184684</v>
      </c>
      <c r="W203" s="16">
        <v>8.6642855706792819E-8</v>
      </c>
      <c r="X203" s="16">
        <v>4040.1114590286847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3913.0733455250161</v>
      </c>
      <c r="T204" s="16">
        <v>2.6956188956457088</v>
      </c>
      <c r="U204" s="16">
        <v>4.4925543511675744E-3</v>
      </c>
      <c r="V204" s="16">
        <v>5.7102009601394519</v>
      </c>
      <c r="W204" s="16">
        <v>4.2442390855099681E-8</v>
      </c>
      <c r="X204" s="16">
        <v>3904.6630330724374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3651.5393557420266</v>
      </c>
      <c r="T205" s="16">
        <v>2.5182212052164261</v>
      </c>
      <c r="U205" s="16">
        <v>3.8700223036027119E-3</v>
      </c>
      <c r="V205" s="16">
        <v>5.2844787070492085</v>
      </c>
      <c r="W205" s="16">
        <v>9.8735624764209163E-9</v>
      </c>
      <c r="X205" s="16">
        <v>3643.7327857975838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</row>
    <row r="209" spans="16:23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</row>
    <row r="210" spans="16:23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</row>
    <row r="211" spans="16:23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1377.6356285874033</v>
      </c>
      <c r="T211" s="16">
        <v>0</v>
      </c>
      <c r="U211" s="16">
        <v>7.9379710039080557E-12</v>
      </c>
      <c r="V211" s="16">
        <v>138.06690068766173</v>
      </c>
      <c r="W211" s="16">
        <v>1239.5687278997336</v>
      </c>
    </row>
    <row r="212" spans="16:23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1411.4154873845537</v>
      </c>
      <c r="T212" s="16">
        <v>0</v>
      </c>
      <c r="U212" s="16">
        <v>5.550045223979965E-13</v>
      </c>
      <c r="V212" s="16">
        <v>106.47156368637631</v>
      </c>
      <c r="W212" s="16">
        <v>1304.9439236981768</v>
      </c>
    </row>
    <row r="213" spans="16:23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1447.4295833650822</v>
      </c>
      <c r="T213" s="16">
        <v>0</v>
      </c>
      <c r="U213" s="16">
        <v>3.2916770335420395E-14</v>
      </c>
      <c r="V213" s="16">
        <v>80.272065340176226</v>
      </c>
      <c r="W213" s="16">
        <v>1367.1575180249058</v>
      </c>
    </row>
    <row r="214" spans="16:23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1484.9828141174255</v>
      </c>
      <c r="T214" s="16">
        <v>0</v>
      </c>
      <c r="U214" s="16">
        <v>1.5452349135484626E-15</v>
      </c>
      <c r="V214" s="16">
        <v>58.729080270456571</v>
      </c>
      <c r="W214" s="16">
        <v>1426.253733846969</v>
      </c>
    </row>
    <row r="215" spans="16:23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1521.9985530620067</v>
      </c>
      <c r="T215" s="16">
        <v>0</v>
      </c>
      <c r="U215" s="16">
        <v>5.8202548057822342E-17</v>
      </c>
      <c r="V215" s="16">
        <v>41.728863562566502</v>
      </c>
      <c r="W215" s="16">
        <v>1480.2696894994403</v>
      </c>
    </row>
    <row r="216" spans="16:23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1556.5187046895135</v>
      </c>
      <c r="T216" s="16">
        <v>0</v>
      </c>
      <c r="U216" s="16">
        <v>1.7336608184966916E-18</v>
      </c>
      <c r="V216" s="16">
        <v>28.735918379606741</v>
      </c>
      <c r="W216" s="16">
        <v>1527.7827863099067</v>
      </c>
    </row>
    <row r="217" spans="16:23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1586.4418345773215</v>
      </c>
      <c r="T217" s="16">
        <v>0</v>
      </c>
      <c r="U217" s="16">
        <v>4.0214134674124247E-20</v>
      </c>
      <c r="V217" s="16">
        <v>19.136847975119711</v>
      </c>
      <c r="W217" s="16">
        <v>1567.3049866022018</v>
      </c>
    </row>
    <row r="218" spans="16:23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1609.4304847915589</v>
      </c>
      <c r="T218" s="16">
        <v>0</v>
      </c>
      <c r="U218" s="16">
        <v>7.4475906303374232E-22</v>
      </c>
      <c r="V218" s="16">
        <v>12.352171921139863</v>
      </c>
      <c r="W218" s="16">
        <v>1597.078312870419</v>
      </c>
    </row>
    <row r="219" spans="16:23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1623.8686526467357</v>
      </c>
      <c r="T219" s="16">
        <v>0</v>
      </c>
      <c r="U219" s="16">
        <v>9.9947013322453877E-24</v>
      </c>
      <c r="V219" s="16">
        <v>7.6414033225261724</v>
      </c>
      <c r="W219" s="16">
        <v>1616.2272493242094</v>
      </c>
    </row>
    <row r="220" spans="16:23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1627.5520867676075</v>
      </c>
      <c r="T220" s="16">
        <v>0</v>
      </c>
      <c r="U220" s="16">
        <v>9.917590922188182E-26</v>
      </c>
      <c r="V220" s="16">
        <v>4.5376944060800684</v>
      </c>
      <c r="W220" s="16">
        <v>1623.0143923615274</v>
      </c>
    </row>
    <row r="221" spans="16:23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1618.7971702692412</v>
      </c>
      <c r="T221" s="16">
        <v>0</v>
      </c>
      <c r="U221" s="16">
        <v>7.1362498523947729E-28</v>
      </c>
      <c r="V221" s="16">
        <v>2.5793355905596669</v>
      </c>
      <c r="W221" s="16">
        <v>1616.2178346786816</v>
      </c>
    </row>
    <row r="222" spans="16:23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1596.2659181179822</v>
      </c>
      <c r="T222" s="16">
        <v>0</v>
      </c>
      <c r="U222" s="16">
        <v>3.6475269641043787E-30</v>
      </c>
      <c r="V222" s="16">
        <v>1.3992323729470453</v>
      </c>
      <c r="W222" s="16">
        <v>1594.8666857450351</v>
      </c>
    </row>
    <row r="223" spans="16:23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1559.492316879293</v>
      </c>
      <c r="T223" s="16">
        <v>0</v>
      </c>
      <c r="U223" s="16">
        <v>1.3726249790156473E-32</v>
      </c>
      <c r="V223" s="16">
        <v>0.7270287817193225</v>
      </c>
      <c r="W223" s="16">
        <v>1558.7652880975736</v>
      </c>
    </row>
    <row r="224" spans="16:23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1507.3365695361272</v>
      </c>
      <c r="T224" s="16">
        <v>0</v>
      </c>
      <c r="U224" s="16">
        <v>3.3240086778270061E-35</v>
      </c>
      <c r="V224" s="16">
        <v>0.35591383290024647</v>
      </c>
      <c r="W224" s="16">
        <v>1506.9806557032268</v>
      </c>
    </row>
    <row r="225" spans="16:23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1440.2455980982731</v>
      </c>
      <c r="T225" s="16">
        <v>0</v>
      </c>
      <c r="U225" s="16">
        <v>5.3348211799924503E-38</v>
      </c>
      <c r="V225" s="16">
        <v>0.16460230104892298</v>
      </c>
      <c r="W225" s="16">
        <v>1440.0809957972242</v>
      </c>
    </row>
    <row r="226" spans="16:23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1358.9772087176916</v>
      </c>
      <c r="T226" s="16">
        <v>0</v>
      </c>
      <c r="U226" s="16">
        <v>5.5289168703209421E-41</v>
      </c>
      <c r="V226" s="16">
        <v>7.1640290457997746E-2</v>
      </c>
      <c r="W226" s="16">
        <v>1358.9055684272337</v>
      </c>
    </row>
    <row r="227" spans="16:23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1264.9105451252076</v>
      </c>
      <c r="T227" s="16">
        <v>0</v>
      </c>
      <c r="U227" s="16">
        <v>3.5997652946014029E-44</v>
      </c>
      <c r="V227" s="16">
        <v>2.9223755319229966E-2</v>
      </c>
      <c r="W227" s="16">
        <v>1264.8813213698884</v>
      </c>
    </row>
    <row r="228" spans="16:23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1161.1128976372911</v>
      </c>
      <c r="T228" s="16">
        <v>0</v>
      </c>
      <c r="U228" s="16">
        <v>1.5493190842245874E-47</v>
      </c>
      <c r="V228" s="16">
        <v>1.1235523724914142E-2</v>
      </c>
      <c r="W228" s="16">
        <v>1161.1016621135661</v>
      </c>
    </row>
    <row r="229" spans="16:23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1048.0166267977952</v>
      </c>
      <c r="T229" s="16">
        <v>0</v>
      </c>
      <c r="U229" s="16">
        <v>3.6613905263292688E-51</v>
      </c>
      <c r="V229" s="16">
        <v>3.9759390019677423E-3</v>
      </c>
      <c r="W229" s="16">
        <v>1048.0126508587932</v>
      </c>
    </row>
    <row r="230" spans="16:23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929.58375265575989</v>
      </c>
      <c r="T230" s="16">
        <v>0</v>
      </c>
      <c r="U230" s="16">
        <v>4.9569381192293537E-55</v>
      </c>
      <c r="V230" s="16">
        <v>1.3006092668018123E-3</v>
      </c>
      <c r="W230" s="16">
        <v>929.58245204649313</v>
      </c>
    </row>
    <row r="231" spans="16:23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809.08942215651268</v>
      </c>
      <c r="T231" s="16">
        <v>0</v>
      </c>
      <c r="U231" s="16">
        <v>3.714245694451549E-59</v>
      </c>
      <c r="V231" s="16">
        <v>3.9124969904495092E-4</v>
      </c>
      <c r="W231" s="16">
        <v>809.0890309068136</v>
      </c>
    </row>
    <row r="232" spans="16:23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689.92454175339788</v>
      </c>
      <c r="T232" s="16">
        <v>0</v>
      </c>
      <c r="U232" s="16">
        <v>1.4851938358713531E-63</v>
      </c>
      <c r="V232" s="16">
        <v>1.0763663968639943E-4</v>
      </c>
      <c r="W232" s="16">
        <v>689.92443411675822</v>
      </c>
    </row>
    <row r="233" spans="16:23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576.48467516709673</v>
      </c>
      <c r="T233" s="16">
        <v>0</v>
      </c>
      <c r="U233" s="16">
        <v>3.4048388489711504E-68</v>
      </c>
      <c r="V233" s="16">
        <v>2.7307743368194841E-5</v>
      </c>
      <c r="W233" s="16">
        <v>576.48464785935334</v>
      </c>
    </row>
    <row r="234" spans="16:23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469.45606302981696</v>
      </c>
      <c r="T234" s="16">
        <v>0</v>
      </c>
      <c r="U234" s="16">
        <v>3.471128254797006E-73</v>
      </c>
      <c r="V234" s="16">
        <v>6.1778038270309921E-6</v>
      </c>
      <c r="W234" s="16">
        <v>469.45605685201315</v>
      </c>
    </row>
    <row r="235" spans="16:23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372.46301292337586</v>
      </c>
      <c r="T235" s="16">
        <v>0</v>
      </c>
      <c r="U235" s="16">
        <v>1.6716636365255353E-78</v>
      </c>
      <c r="V235" s="16">
        <v>1.254532765460726E-6</v>
      </c>
      <c r="W235" s="16">
        <v>372.46301166884308</v>
      </c>
    </row>
    <row r="236" spans="16:23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287.28396780685631</v>
      </c>
      <c r="T236" s="16">
        <v>0</v>
      </c>
      <c r="U236" s="16">
        <v>3.6339679079084757E-84</v>
      </c>
      <c r="V236" s="16">
        <v>2.2708237531442959E-7</v>
      </c>
      <c r="W236" s="16">
        <v>287.28396757977396</v>
      </c>
    </row>
    <row r="237" spans="16:23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214.91339890190773</v>
      </c>
      <c r="T237" s="16">
        <v>0</v>
      </c>
      <c r="U237" s="16">
        <v>3.398632929667015E-90</v>
      </c>
      <c r="V237" s="16">
        <v>3.6366967601729966E-8</v>
      </c>
      <c r="W237" s="16">
        <v>214.91339886554076</v>
      </c>
    </row>
    <row r="238" spans="16:23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156.06551648371968</v>
      </c>
      <c r="T238" s="16">
        <v>0</v>
      </c>
      <c r="U238" s="16">
        <v>1.5114775735765566E-96</v>
      </c>
      <c r="V238" s="16">
        <v>5.2161688776961156E-9</v>
      </c>
      <c r="W238" s="16">
        <v>156.0655164785035</v>
      </c>
    </row>
    <row r="239" spans="16:23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109.01565872037455</v>
      </c>
      <c r="T239" s="16">
        <v>0</v>
      </c>
      <c r="U239" s="16">
        <v>2.2623958884088835E-103</v>
      </c>
      <c r="V239" s="16">
        <v>6.3921575640916835E-10</v>
      </c>
      <c r="W239" s="16">
        <v>109.01565871973533</v>
      </c>
    </row>
    <row r="240" spans="16:23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73.25705189793095</v>
      </c>
      <c r="T240" s="16">
        <v>0</v>
      </c>
      <c r="U240" s="16">
        <v>1.2411351022637359E-110</v>
      </c>
      <c r="V240" s="16">
        <v>6.7591614097505605E-11</v>
      </c>
      <c r="W240" s="16">
        <v>73.257051897863363</v>
      </c>
    </row>
    <row r="241" spans="16:23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47.20759821840128</v>
      </c>
      <c r="T241" s="16">
        <v>0</v>
      </c>
      <c r="U241" s="16">
        <v>2.3509711496751853E-118</v>
      </c>
      <c r="V241" s="16">
        <v>6.1095350283189962E-12</v>
      </c>
      <c r="W241" s="16">
        <v>47.207598218395169</v>
      </c>
    </row>
    <row r="242" spans="16:23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29.073135056487672</v>
      </c>
      <c r="T242" s="16">
        <v>0</v>
      </c>
      <c r="U242" s="16">
        <v>1.4438371378073503E-126</v>
      </c>
      <c r="V242" s="16">
        <v>4.673810960826878E-13</v>
      </c>
      <c r="W242" s="16">
        <v>29.073135056487203</v>
      </c>
    </row>
    <row r="243" spans="16:23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17.143287602257086</v>
      </c>
      <c r="T243" s="16">
        <v>0</v>
      </c>
      <c r="U243" s="16">
        <v>3.3026627634711343E-135</v>
      </c>
      <c r="V243" s="16">
        <v>3.0797238013771956E-14</v>
      </c>
      <c r="W243" s="16">
        <v>17.143287602257054</v>
      </c>
    </row>
    <row r="244" spans="16:23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9.5394054542594109</v>
      </c>
      <c r="T244" s="16">
        <v>0</v>
      </c>
      <c r="U244" s="16">
        <v>1.7632585785245097E-144</v>
      </c>
      <c r="V244" s="16">
        <v>1.6371905022238821E-15</v>
      </c>
      <c r="W244" s="16">
        <v>9.5394054542594091</v>
      </c>
    </row>
    <row r="245" spans="16:23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5.0130644889194897</v>
      </c>
      <c r="T245" s="16">
        <v>0</v>
      </c>
      <c r="U245" s="16">
        <v>2.4752141191439882E-154</v>
      </c>
      <c r="V245" s="16">
        <v>7.1240184567330973E-17</v>
      </c>
      <c r="W245" s="16">
        <v>5.0130644889194897</v>
      </c>
    </row>
    <row r="246" spans="16:23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2.4765159462371917</v>
      </c>
      <c r="T246" s="16">
        <v>0</v>
      </c>
      <c r="U246" s="16">
        <v>8.4520115042247306E-165</v>
      </c>
      <c r="V246" s="16">
        <v>2.5058651190968373E-18</v>
      </c>
      <c r="W246" s="16">
        <v>2.4765159462371917</v>
      </c>
    </row>
    <row r="247" spans="16:23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1.144412828465557</v>
      </c>
      <c r="T247" s="16">
        <v>0</v>
      </c>
      <c r="U247" s="16">
        <v>6.467513206069258E-176</v>
      </c>
      <c r="V247" s="16">
        <v>7.031515791890759E-20</v>
      </c>
      <c r="W247" s="16">
        <v>1.144412828465557</v>
      </c>
    </row>
    <row r="248" spans="16:23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0.49636661789476677</v>
      </c>
      <c r="T248" s="16">
        <v>0</v>
      </c>
      <c r="U248" s="16">
        <v>1.3420431246697348E-187</v>
      </c>
      <c r="V248" s="16">
        <v>1.6137848237235134E-21</v>
      </c>
      <c r="W248" s="16">
        <v>0.49636661789476677</v>
      </c>
    </row>
    <row r="249" spans="16:23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0.1975941630185617</v>
      </c>
      <c r="T249" s="16">
        <v>0</v>
      </c>
      <c r="U249" s="16">
        <v>4.0287925439898581E-200</v>
      </c>
      <c r="V249" s="16">
        <v>2.768118752566524E-23</v>
      </c>
      <c r="W249" s="16">
        <v>0.1975941630185617</v>
      </c>
    </row>
    <row r="250" spans="16:23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7.2324786689347151E-2</v>
      </c>
      <c r="T250" s="16">
        <v>0</v>
      </c>
      <c r="U250" s="16">
        <v>2.0639070836491368E-213</v>
      </c>
      <c r="V250" s="16">
        <v>3.6235288101634118E-25</v>
      </c>
      <c r="W250" s="16">
        <v>7.2324786689347151E-2</v>
      </c>
    </row>
    <row r="251" spans="16:23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2.4180242293637987E-2</v>
      </c>
      <c r="T251" s="16">
        <v>0</v>
      </c>
      <c r="U251" s="16">
        <v>1.631025145856413E-227</v>
      </c>
      <c r="V251" s="16">
        <v>3.5603783226755203E-27</v>
      </c>
      <c r="W251" s="16">
        <v>2.4180242293637987E-2</v>
      </c>
    </row>
    <row r="252" spans="16:23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7.3315741050957632E-3</v>
      </c>
      <c r="T252" s="16">
        <v>0</v>
      </c>
      <c r="U252" s="16">
        <v>1.7877786396794714E-242</v>
      </c>
      <c r="V252" s="16">
        <v>2.5803391153576335E-29</v>
      </c>
      <c r="W252" s="16">
        <v>7.3315741050957632E-3</v>
      </c>
    </row>
    <row r="253" spans="16:23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2.0276274554894961E-3</v>
      </c>
      <c r="T253" s="16">
        <v>0</v>
      </c>
      <c r="U253" s="16">
        <v>3.5265162187928838E-258</v>
      </c>
      <c r="V253" s="16">
        <v>1.4286608430892782E-31</v>
      </c>
      <c r="W253" s="16">
        <v>2.0276274554894961E-3</v>
      </c>
    </row>
    <row r="254" spans="16:23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4.9445091040437549E-4</v>
      </c>
      <c r="T254" s="16">
        <v>0</v>
      </c>
      <c r="U254" s="16">
        <v>5.4042240946941243E-275</v>
      </c>
      <c r="V254" s="16">
        <v>5.3419736003002432E-34</v>
      </c>
      <c r="W254" s="16">
        <v>4.9445091040437549E-4</v>
      </c>
    </row>
    <row r="255" spans="16:23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1.0668733564407162E-4</v>
      </c>
      <c r="T255" s="16">
        <v>0</v>
      </c>
      <c r="U255" s="16">
        <v>8.0751600189495529E-293</v>
      </c>
      <c r="V255" s="16">
        <v>1.389606188223445E-36</v>
      </c>
      <c r="W255" s="16">
        <v>1.0668733564407162E-4</v>
      </c>
    </row>
    <row r="256" spans="16:23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2.0175963100995689E-5</v>
      </c>
      <c r="T256" s="16">
        <v>0</v>
      </c>
      <c r="U256" s="16">
        <v>0</v>
      </c>
      <c r="V256" s="16">
        <v>2.4605525045498338E-39</v>
      </c>
      <c r="W256" s="16">
        <v>2.0175963100995689E-5</v>
      </c>
    </row>
    <row r="257" spans="16:23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3.3102526996477447E-6</v>
      </c>
      <c r="T257" s="16">
        <v>0</v>
      </c>
      <c r="U257" s="16">
        <v>0</v>
      </c>
      <c r="V257" s="16">
        <v>2.8981986902068259E-42</v>
      </c>
      <c r="W257" s="16">
        <v>3.3102526996477447E-6</v>
      </c>
    </row>
    <row r="258" spans="16:23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4.7557034662669887E-7</v>
      </c>
      <c r="T258" s="16">
        <v>0</v>
      </c>
      <c r="U258" s="16">
        <v>0</v>
      </c>
      <c r="V258" s="16">
        <v>2.384715077435791E-45</v>
      </c>
      <c r="W258" s="16">
        <v>4.7557034662669887E-7</v>
      </c>
    </row>
    <row r="259" spans="16:23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5.6883815902637721E-8</v>
      </c>
      <c r="T259" s="16">
        <v>0</v>
      </c>
      <c r="U259" s="16">
        <v>0</v>
      </c>
      <c r="V259" s="16">
        <v>1.1593623995847492E-48</v>
      </c>
      <c r="W259" s="16">
        <v>5.6883815902637721E-8</v>
      </c>
    </row>
    <row r="260" spans="16:23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5.6991314632729566E-9</v>
      </c>
      <c r="T260" s="16">
        <v>0</v>
      </c>
      <c r="U260" s="16">
        <v>0</v>
      </c>
      <c r="V260" s="16">
        <v>3.4723857682799926E-52</v>
      </c>
      <c r="W260" s="16">
        <v>5.6991314632729566E-9</v>
      </c>
    </row>
    <row r="261" spans="16:23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4.7186219757563675E-10</v>
      </c>
      <c r="T261" s="16">
        <v>0</v>
      </c>
      <c r="U261" s="16">
        <v>0</v>
      </c>
      <c r="V261" s="16">
        <v>6.2268269137149656E-56</v>
      </c>
      <c r="W261" s="16">
        <v>4.7186219757563675E-10</v>
      </c>
    </row>
    <row r="262" spans="16:23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3.1821915663790463E-11</v>
      </c>
      <c r="T262" s="16">
        <v>0</v>
      </c>
      <c r="U262" s="16">
        <v>0</v>
      </c>
      <c r="V262" s="16">
        <v>6.48723773115236E-60</v>
      </c>
      <c r="W262" s="16">
        <v>3.1821915663790463E-11</v>
      </c>
    </row>
    <row r="263" spans="16:23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1.7735582982345027E-12</v>
      </c>
      <c r="T263" s="16">
        <v>0</v>
      </c>
      <c r="U263" s="16">
        <v>0</v>
      </c>
      <c r="V263" s="16">
        <v>4.2013274455117906E-64</v>
      </c>
      <c r="W263" s="16">
        <v>1.7735582982345027E-12</v>
      </c>
    </row>
    <row r="264" spans="16:23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7.5847665488497317E-14</v>
      </c>
      <c r="T264" s="16">
        <v>0</v>
      </c>
      <c r="U264" s="16">
        <v>0</v>
      </c>
      <c r="V264" s="16">
        <v>1.349138557532273E-68</v>
      </c>
      <c r="W264" s="16">
        <v>7.5847665488497317E-14</v>
      </c>
    </row>
    <row r="265" spans="16:23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2.5138901356886155E-15</v>
      </c>
      <c r="T265" s="16">
        <v>0</v>
      </c>
      <c r="U265" s="16">
        <v>0</v>
      </c>
      <c r="V265" s="16">
        <v>2.2770758657732445E-73</v>
      </c>
      <c r="W265" s="16">
        <v>2.5138901356886155E-15</v>
      </c>
    </row>
    <row r="266" spans="16:23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6.3355764920345504E-17</v>
      </c>
      <c r="T266" s="16">
        <v>0</v>
      </c>
      <c r="U266" s="16">
        <v>0</v>
      </c>
      <c r="V266" s="16">
        <v>1.9462653187199975E-78</v>
      </c>
      <c r="W266" s="16">
        <v>6.3355764920345504E-17</v>
      </c>
    </row>
    <row r="267" spans="16:23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</row>
    <row r="268" spans="16:23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</row>
    <row r="269" spans="16:23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</row>
    <row r="270" spans="16:23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</row>
    <row r="271" spans="16:23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</row>
    <row r="272" spans="16:23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</row>
    <row r="273" spans="1:18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</row>
    <row r="274" spans="1:18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</row>
    <row r="275" spans="1:18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</row>
    <row r="276" spans="1:18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</row>
    <row r="277" spans="1:18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</row>
    <row r="278" spans="1:18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</row>
    <row r="279" spans="1:18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</row>
    <row r="280" spans="1:18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</row>
    <row r="281" spans="1:18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</row>
    <row r="282" spans="1:18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</row>
    <row r="283" spans="1:18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</row>
    <row r="284" spans="1:18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</row>
    <row r="285" spans="1:18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</row>
    <row r="286" spans="1:18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</row>
    <row r="287" spans="1:18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</row>
    <row r="288" spans="1:18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</row>
    <row r="289" spans="16:18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</row>
    <row r="290" spans="16:18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</row>
    <row r="291" spans="16:18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</row>
    <row r="292" spans="16:18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</row>
    <row r="293" spans="16:18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</row>
    <row r="294" spans="16:18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</row>
    <row r="295" spans="16:18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</row>
    <row r="296" spans="16:18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</row>
    <row r="297" spans="16:18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</row>
    <row r="298" spans="16:18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</row>
    <row r="299" spans="16:18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</row>
    <row r="300" spans="16:18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</row>
    <row r="301" spans="16:18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</row>
    <row r="302" spans="16:18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</row>
    <row r="303" spans="16:18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</row>
    <row r="304" spans="16:18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</row>
    <row r="305" spans="16:18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</row>
    <row r="306" spans="16:18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</row>
    <row r="307" spans="16:18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</row>
    <row r="308" spans="16:18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</row>
    <row r="309" spans="16:18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</row>
    <row r="310" spans="16:18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</row>
    <row r="311" spans="16:18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</row>
    <row r="312" spans="16:18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</row>
    <row r="313" spans="16:18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</row>
    <row r="314" spans="16:18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</row>
    <row r="315" spans="16:18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</row>
    <row r="316" spans="16:18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</row>
    <row r="317" spans="16:18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</row>
    <row r="318" spans="16:18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</row>
    <row r="319" spans="16:18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</row>
    <row r="320" spans="16:18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</row>
    <row r="321" spans="16:18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</row>
    <row r="322" spans="16:18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</row>
    <row r="323" spans="16:18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</row>
    <row r="324" spans="16:18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</row>
    <row r="325" spans="16:18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</row>
    <row r="326" spans="16:18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</row>
    <row r="327" spans="16:18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</row>
    <row r="328" spans="16:18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</row>
    <row r="329" spans="16:18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</row>
    <row r="330" spans="16:18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</row>
    <row r="331" spans="16:18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</row>
    <row r="332" spans="16:18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</row>
    <row r="333" spans="16:18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</row>
    <row r="334" spans="16:18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</row>
    <row r="335" spans="16:18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</row>
    <row r="336" spans="16:18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</row>
    <row r="337" spans="16:18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</row>
    <row r="338" spans="16:18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</row>
    <row r="339" spans="16:18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</row>
    <row r="340" spans="16:18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</row>
    <row r="341" spans="16:18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</row>
    <row r="342" spans="16:18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</row>
    <row r="343" spans="16:18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</row>
    <row r="344" spans="16:18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</row>
    <row r="345" spans="16:18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</row>
    <row r="346" spans="16:18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</row>
    <row r="347" spans="16:18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</row>
    <row r="348" spans="16:18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</row>
    <row r="349" spans="16:18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</row>
    <row r="350" spans="16:18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</row>
    <row r="351" spans="16:18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</row>
    <row r="352" spans="16:18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</row>
    <row r="353" spans="16:18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</row>
    <row r="354" spans="16:18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</row>
    <row r="355" spans="16:18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</row>
    <row r="356" spans="16:18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</row>
    <row r="357" spans="16:18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</row>
    <row r="358" spans="16:18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</row>
    <row r="359" spans="16:18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</row>
    <row r="360" spans="16:18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</row>
    <row r="361" spans="16:18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</row>
    <row r="362" spans="16:18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</row>
    <row r="363" spans="16:18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</row>
    <row r="364" spans="16:18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</row>
    <row r="365" spans="16:18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</row>
    <row r="366" spans="16:18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</row>
    <row r="367" spans="16:18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</row>
    <row r="368" spans="16:18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</row>
    <row r="369" spans="16:18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</row>
    <row r="370" spans="16:18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</row>
    <row r="371" spans="16:18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</row>
    <row r="372" spans="16:18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</row>
    <row r="373" spans="16:18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</row>
    <row r="374" spans="16:18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</row>
    <row r="375" spans="16:18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</row>
    <row r="376" spans="16:18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</row>
    <row r="377" spans="16:18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</row>
    <row r="378" spans="16:18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</row>
    <row r="379" spans="16:18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</row>
    <row r="380" spans="16:18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</row>
    <row r="381" spans="16:18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</row>
    <row r="382" spans="16:18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</row>
    <row r="383" spans="16:18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</row>
    <row r="384" spans="16:18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</row>
    <row r="385" spans="16:18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</row>
    <row r="386" spans="16:18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</row>
    <row r="387" spans="16:18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</row>
    <row r="388" spans="16:18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</row>
    <row r="389" spans="16:18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</row>
    <row r="390" spans="16:18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</row>
    <row r="391" spans="16:18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</row>
    <row r="392" spans="16:18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</row>
    <row r="393" spans="16:18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</row>
    <row r="394" spans="16:18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</row>
    <row r="395" spans="16:18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</row>
    <row r="396" spans="16:18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</row>
    <row r="397" spans="16:18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</row>
    <row r="398" spans="16:18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</row>
    <row r="399" spans="16:18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</row>
    <row r="400" spans="16:18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</row>
    <row r="401" spans="16:18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</row>
    <row r="402" spans="16:18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</row>
    <row r="403" spans="16:18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</row>
    <row r="404" spans="16:18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</row>
    <row r="405" spans="16:18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</row>
    <row r="406" spans="16:18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</row>
    <row r="407" spans="16:18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</row>
    <row r="408" spans="16:18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</row>
    <row r="409" spans="16:18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</row>
    <row r="410" spans="16:18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</row>
    <row r="411" spans="16:18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</row>
    <row r="412" spans="16:18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</row>
    <row r="413" spans="16:18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</row>
    <row r="414" spans="16:18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</row>
    <row r="415" spans="16:18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</row>
    <row r="416" spans="16:18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</row>
    <row r="417" spans="16:18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</row>
    <row r="418" spans="16:18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</row>
    <row r="419" spans="16:18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</row>
    <row r="420" spans="16:18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</row>
    <row r="421" spans="16:18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</row>
    <row r="422" spans="16:18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</row>
    <row r="423" spans="16:18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</row>
    <row r="424" spans="16:18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</row>
    <row r="425" spans="16:18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</row>
    <row r="426" spans="16:18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</row>
    <row r="427" spans="16:18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</row>
    <row r="428" spans="16:18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</row>
    <row r="429" spans="16:18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</row>
    <row r="430" spans="16:18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</row>
    <row r="431" spans="16:18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</row>
    <row r="432" spans="16:18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</row>
    <row r="433" spans="16:18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</row>
    <row r="434" spans="16:18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</row>
    <row r="435" spans="16:18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</row>
    <row r="436" spans="16:18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</row>
    <row r="437" spans="16:18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</row>
    <row r="438" spans="16:18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</row>
    <row r="439" spans="16:18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</row>
    <row r="440" spans="16:18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</row>
    <row r="441" spans="16:18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</row>
    <row r="442" spans="16:18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</row>
    <row r="443" spans="16:18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</row>
    <row r="444" spans="16:18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</row>
    <row r="445" spans="16:18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</row>
    <row r="446" spans="16:18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</row>
    <row r="447" spans="16:18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</row>
    <row r="448" spans="16:18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</row>
    <row r="449" spans="16:18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</row>
    <row r="450" spans="16:18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</row>
    <row r="451" spans="16:18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</row>
    <row r="452" spans="16:18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</row>
    <row r="453" spans="16:18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</row>
    <row r="454" spans="16:18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</row>
    <row r="455" spans="16:18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</row>
    <row r="456" spans="16:18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</row>
    <row r="457" spans="16:18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</row>
    <row r="458" spans="16:18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</row>
    <row r="459" spans="16:18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</row>
    <row r="460" spans="16:18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</row>
    <row r="461" spans="16:18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</row>
    <row r="462" spans="16:18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</row>
    <row r="463" spans="16:18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</row>
    <row r="464" spans="16:18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</row>
    <row r="465" spans="16:18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</row>
    <row r="466" spans="16:18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</row>
    <row r="467" spans="16:18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</row>
    <row r="468" spans="16:18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</row>
    <row r="469" spans="16:18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</row>
    <row r="470" spans="16:18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</row>
    <row r="471" spans="16:18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</row>
    <row r="472" spans="16:18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</row>
    <row r="473" spans="16:18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</row>
    <row r="474" spans="16:18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</row>
    <row r="475" spans="16:18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</row>
    <row r="476" spans="16:18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</row>
    <row r="477" spans="16:18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</row>
    <row r="478" spans="16:18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</row>
    <row r="479" spans="16:18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</row>
    <row r="480" spans="16:18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</row>
    <row r="481" spans="16:18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</row>
    <row r="482" spans="16:18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</row>
    <row r="483" spans="16:18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</row>
    <row r="484" spans="16:18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</row>
    <row r="485" spans="16:18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</row>
    <row r="486" spans="16:18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</row>
    <row r="487" spans="16:18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</row>
    <row r="488" spans="16:18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</row>
    <row r="489" spans="16:18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</row>
    <row r="490" spans="16:18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</row>
    <row r="491" spans="16:18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</row>
    <row r="492" spans="16:18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</row>
    <row r="493" spans="16:18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</row>
    <row r="494" spans="16:18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</row>
    <row r="495" spans="16:18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</row>
    <row r="496" spans="16:18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</row>
    <row r="497" spans="16:18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</row>
    <row r="498" spans="16:18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</row>
    <row r="499" spans="16:18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</row>
    <row r="500" spans="16:18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</row>
    <row r="501" spans="16:18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</row>
    <row r="502" spans="16:18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</row>
    <row r="503" spans="16:18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</row>
    <row r="504" spans="16:18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</row>
    <row r="505" spans="16:18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</row>
    <row r="506" spans="16:18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</row>
    <row r="507" spans="16:18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</row>
    <row r="508" spans="16:18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</row>
    <row r="509" spans="16:18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</row>
    <row r="510" spans="16:18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</row>
    <row r="511" spans="16:18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18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8:M16"/>
  <sheetViews>
    <sheetView zoomScale="85" zoomScaleNormal="85" workbookViewId="0">
      <selection activeCell="L14" sqref="L14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</cols>
  <sheetData>
    <row r="8" spans="13:13" x14ac:dyDescent="0.25">
      <c r="M8" s="10"/>
    </row>
    <row r="9" spans="13:13" x14ac:dyDescent="0.25">
      <c r="M9" s="10"/>
    </row>
    <row r="10" spans="13:13" x14ac:dyDescent="0.25">
      <c r="M10" s="10"/>
    </row>
    <row r="11" spans="13:13" x14ac:dyDescent="0.25">
      <c r="M11" s="10"/>
    </row>
    <row r="12" spans="13:13" x14ac:dyDescent="0.25">
      <c r="M12" s="10"/>
    </row>
    <row r="13" spans="13:13" x14ac:dyDescent="0.25">
      <c r="M13" s="10"/>
    </row>
    <row r="14" spans="13:13" x14ac:dyDescent="0.25">
      <c r="M14" s="10"/>
    </row>
    <row r="15" spans="13:13" x14ac:dyDescent="0.25">
      <c r="M15" s="10"/>
    </row>
    <row r="16" spans="13:13" x14ac:dyDescent="0.25">
      <c r="M16" s="1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2024-10-06T03:28:34Z</dcterms:modified>
</cp:coreProperties>
</file>